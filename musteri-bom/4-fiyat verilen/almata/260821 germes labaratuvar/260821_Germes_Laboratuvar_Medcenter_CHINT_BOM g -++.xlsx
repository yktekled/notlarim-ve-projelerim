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21 germes labaratuvar\"/>
    </mc:Choice>
  </mc:AlternateContent>
  <xr:revisionPtr revIDLastSave="0" documentId="13_ncr:1_{E2BE3E12-CDAC-49A4-947A-FB5C12E0B0F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AB_ med centrCHINT_BOM" sheetId="1" r:id="rId1"/>
    <sheet name="Sayfa1" sheetId="6" r:id="rId2"/>
  </sheets>
  <definedNames>
    <definedName name="_xlnm._FilterDatabase" localSheetId="0" hidden="1">'LAB_ med centrCHINT_BOM'!$A$1:$K$247</definedName>
    <definedName name="_xlnm._FilterDatabase" localSheetId="1" hidden="1">Sayfa1!$A$1:$K$31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2" i="6"/>
  <c r="H71" i="1"/>
  <c r="G244" i="1"/>
  <c r="H244" i="1" s="1"/>
  <c r="G243" i="1"/>
  <c r="H243" i="1" s="1"/>
  <c r="G242" i="1"/>
  <c r="H242" i="1" s="1"/>
  <c r="G241" i="1"/>
  <c r="H241" i="1" s="1"/>
  <c r="G236" i="1"/>
  <c r="H236" i="1" s="1"/>
  <c r="G235" i="1"/>
  <c r="H235" i="1" s="1"/>
  <c r="G234" i="1"/>
  <c r="H234" i="1" s="1"/>
  <c r="G229" i="1"/>
  <c r="H229" i="1" s="1"/>
  <c r="G228" i="1"/>
  <c r="H228" i="1" s="1"/>
  <c r="G227" i="1"/>
  <c r="H227" i="1" s="1"/>
  <c r="G222" i="1"/>
  <c r="H222" i="1" s="1"/>
  <c r="G221" i="1"/>
  <c r="H221" i="1" s="1"/>
  <c r="G220" i="1"/>
  <c r="H220" i="1" s="1"/>
  <c r="G215" i="1"/>
  <c r="H215" i="1" s="1"/>
  <c r="G214" i="1"/>
  <c r="H214" i="1" s="1"/>
  <c r="G213" i="1"/>
  <c r="H213" i="1" s="1"/>
  <c r="G212" i="1"/>
  <c r="H212" i="1" s="1"/>
  <c r="G207" i="1"/>
  <c r="H207" i="1" s="1"/>
  <c r="G206" i="1"/>
  <c r="H206" i="1" s="1"/>
  <c r="G205" i="1"/>
  <c r="H205" i="1" s="1"/>
  <c r="G200" i="1"/>
  <c r="H200" i="1" s="1"/>
  <c r="G199" i="1"/>
  <c r="H199" i="1" s="1"/>
  <c r="G198" i="1"/>
  <c r="H198" i="1" s="1"/>
  <c r="G197" i="1"/>
  <c r="H197" i="1" s="1"/>
  <c r="G196" i="1"/>
  <c r="H196" i="1" s="1"/>
  <c r="G191" i="1"/>
  <c r="H191" i="1" s="1"/>
  <c r="G190" i="1"/>
  <c r="H190" i="1" s="1"/>
  <c r="G189" i="1"/>
  <c r="H189" i="1" s="1"/>
  <c r="G188" i="1"/>
  <c r="H188" i="1" s="1"/>
  <c r="G183" i="1"/>
  <c r="H183" i="1" s="1"/>
  <c r="G182" i="1"/>
  <c r="H182" i="1" s="1"/>
  <c r="G181" i="1"/>
  <c r="H181" i="1" s="1"/>
  <c r="G180" i="1"/>
  <c r="H180" i="1" s="1"/>
  <c r="G175" i="1"/>
  <c r="H175" i="1" s="1"/>
  <c r="G174" i="1"/>
  <c r="H174" i="1" s="1"/>
  <c r="G173" i="1"/>
  <c r="H173" i="1" s="1"/>
  <c r="G172" i="1"/>
  <c r="H172" i="1" s="1"/>
  <c r="G167" i="1"/>
  <c r="H167" i="1" s="1"/>
  <c r="G166" i="1"/>
  <c r="H166" i="1" s="1"/>
  <c r="G165" i="1"/>
  <c r="H165" i="1" s="1"/>
  <c r="G164" i="1"/>
  <c r="H164" i="1" s="1"/>
  <c r="G159" i="1"/>
  <c r="H159" i="1" s="1"/>
  <c r="G158" i="1"/>
  <c r="H158" i="1" s="1"/>
  <c r="G157" i="1"/>
  <c r="H157" i="1" s="1"/>
  <c r="G155" i="1"/>
  <c r="H155" i="1" s="1"/>
  <c r="G154" i="1"/>
  <c r="H154" i="1" s="1"/>
  <c r="G153" i="1"/>
  <c r="H153" i="1" s="1"/>
  <c r="G148" i="1"/>
  <c r="H148" i="1" s="1"/>
  <c r="G147" i="1"/>
  <c r="H147" i="1" s="1"/>
  <c r="G146" i="1"/>
  <c r="H146" i="1" s="1"/>
  <c r="G145" i="1"/>
  <c r="H145" i="1" s="1"/>
  <c r="G144" i="1"/>
  <c r="H144" i="1" s="1"/>
  <c r="H151" i="1" s="1"/>
  <c r="G143" i="1"/>
  <c r="H143" i="1" s="1"/>
  <c r="G138" i="1"/>
  <c r="H138" i="1" s="1"/>
  <c r="G135" i="1"/>
  <c r="H135" i="1" s="1"/>
  <c r="H141" i="1" s="1"/>
  <c r="G134" i="1"/>
  <c r="H134" i="1" s="1"/>
  <c r="G129" i="1"/>
  <c r="H129" i="1" s="1"/>
  <c r="G128" i="1"/>
  <c r="H128" i="1" s="1"/>
  <c r="G127" i="1"/>
  <c r="H127" i="1" s="1"/>
  <c r="G122" i="1"/>
  <c r="H122" i="1" s="1"/>
  <c r="G121" i="1"/>
  <c r="H121" i="1" s="1"/>
  <c r="G120" i="1"/>
  <c r="H120" i="1" s="1"/>
  <c r="G115" i="1"/>
  <c r="H115" i="1" s="1"/>
  <c r="G114" i="1"/>
  <c r="H114" i="1" s="1"/>
  <c r="G113" i="1"/>
  <c r="H113" i="1" s="1"/>
  <c r="G108" i="1"/>
  <c r="H108" i="1" s="1"/>
  <c r="G107" i="1"/>
  <c r="H107" i="1" s="1"/>
  <c r="G106" i="1"/>
  <c r="H106" i="1" s="1"/>
  <c r="G101" i="1"/>
  <c r="H101" i="1" s="1"/>
  <c r="G100" i="1"/>
  <c r="H100" i="1" s="1"/>
  <c r="G99" i="1"/>
  <c r="H99" i="1" s="1"/>
  <c r="G94" i="1"/>
  <c r="H94" i="1" s="1"/>
  <c r="G93" i="1"/>
  <c r="H93" i="1" s="1"/>
  <c r="G92" i="1"/>
  <c r="H92" i="1" s="1"/>
  <c r="G87" i="1"/>
  <c r="H87" i="1" s="1"/>
  <c r="G86" i="1"/>
  <c r="H86" i="1" s="1"/>
  <c r="G85" i="1"/>
  <c r="H85" i="1" s="1"/>
  <c r="G80" i="1"/>
  <c r="H80" i="1" s="1"/>
  <c r="G79" i="1"/>
  <c r="H79" i="1" s="1"/>
  <c r="G78" i="1"/>
  <c r="H78" i="1" s="1"/>
  <c r="G77" i="1"/>
  <c r="H77" i="1" s="1"/>
  <c r="G72" i="1"/>
  <c r="H72" i="1" s="1"/>
  <c r="G71" i="1"/>
  <c r="G70" i="1"/>
  <c r="H70" i="1" s="1"/>
  <c r="G69" i="1"/>
  <c r="H69" i="1" s="1"/>
  <c r="G64" i="1"/>
  <c r="H64" i="1" s="1"/>
  <c r="G63" i="1"/>
  <c r="H63" i="1" s="1"/>
  <c r="G62" i="1"/>
  <c r="H62" i="1" s="1"/>
  <c r="G61" i="1"/>
  <c r="H61" i="1" s="1"/>
  <c r="G60" i="1"/>
  <c r="H60" i="1" s="1"/>
  <c r="G55" i="1"/>
  <c r="H55" i="1" s="1"/>
  <c r="G54" i="1"/>
  <c r="H54" i="1" s="1"/>
  <c r="G53" i="1"/>
  <c r="H53" i="1" s="1"/>
  <c r="G52" i="1"/>
  <c r="H52" i="1" s="1"/>
  <c r="H58" i="1" s="1"/>
  <c r="G47" i="1"/>
  <c r="H47" i="1" s="1"/>
  <c r="G46" i="1"/>
  <c r="H46" i="1" s="1"/>
  <c r="G45" i="1"/>
  <c r="H45" i="1" s="1"/>
  <c r="G44" i="1"/>
  <c r="H44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28" i="1"/>
  <c r="H28" i="1" s="1"/>
  <c r="G27" i="1"/>
  <c r="H27" i="1" s="1"/>
  <c r="G24" i="1"/>
  <c r="H24" i="1" s="1"/>
  <c r="G23" i="1"/>
  <c r="H23" i="1" s="1"/>
  <c r="G22" i="1"/>
  <c r="H22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4" i="1"/>
  <c r="H4" i="1" s="1"/>
  <c r="G29" i="1"/>
  <c r="H29" i="1" s="1"/>
  <c r="A3" i="1"/>
  <c r="A4" i="1"/>
  <c r="A5" i="1"/>
  <c r="A6" i="1"/>
  <c r="A7" i="1"/>
  <c r="A8" i="1"/>
  <c r="A9" i="1"/>
  <c r="A11" i="1"/>
  <c r="A12" i="1"/>
  <c r="A13" i="1"/>
  <c r="A14" i="1"/>
  <c r="A15" i="1"/>
  <c r="A16" i="1"/>
  <c r="A17" i="1"/>
  <c r="A18" i="1"/>
  <c r="A19" i="1"/>
  <c r="A21" i="1"/>
  <c r="A22" i="1"/>
  <c r="A23" i="1"/>
  <c r="A24" i="1"/>
  <c r="A25" i="1"/>
  <c r="A26" i="1"/>
  <c r="A27" i="1"/>
  <c r="A28" i="1"/>
  <c r="A29" i="1"/>
  <c r="A30" i="1"/>
  <c r="A31" i="1"/>
  <c r="A33" i="1"/>
  <c r="A34" i="1"/>
  <c r="A35" i="1"/>
  <c r="A36" i="1"/>
  <c r="A37" i="1"/>
  <c r="A38" i="1"/>
  <c r="A39" i="1"/>
  <c r="A40" i="1"/>
  <c r="A41" i="1"/>
  <c r="A43" i="1"/>
  <c r="A44" i="1"/>
  <c r="A45" i="1"/>
  <c r="A46" i="1"/>
  <c r="A47" i="1"/>
  <c r="A48" i="1"/>
  <c r="A49" i="1"/>
  <c r="A51" i="1"/>
  <c r="A52" i="1"/>
  <c r="A53" i="1"/>
  <c r="A54" i="1"/>
  <c r="A55" i="1"/>
  <c r="A56" i="1"/>
  <c r="A57" i="1"/>
  <c r="A59" i="1"/>
  <c r="A60" i="1"/>
  <c r="A61" i="1"/>
  <c r="A62" i="1"/>
  <c r="A63" i="1"/>
  <c r="A64" i="1"/>
  <c r="A65" i="1"/>
  <c r="A66" i="1"/>
  <c r="A68" i="1"/>
  <c r="A69" i="1"/>
  <c r="A70" i="1"/>
  <c r="A71" i="1"/>
  <c r="A72" i="1"/>
  <c r="A73" i="1"/>
  <c r="A74" i="1"/>
  <c r="A76" i="1"/>
  <c r="A77" i="1"/>
  <c r="A78" i="1"/>
  <c r="A79" i="1"/>
  <c r="A80" i="1"/>
  <c r="A81" i="1"/>
  <c r="A82" i="1"/>
  <c r="A84" i="1"/>
  <c r="A85" i="1"/>
  <c r="A86" i="1"/>
  <c r="A87" i="1"/>
  <c r="A88" i="1"/>
  <c r="A89" i="1"/>
  <c r="A91" i="1"/>
  <c r="A92" i="1"/>
  <c r="A93" i="1"/>
  <c r="A94" i="1"/>
  <c r="A95" i="1"/>
  <c r="A96" i="1"/>
  <c r="A98" i="1"/>
  <c r="A99" i="1"/>
  <c r="A100" i="1"/>
  <c r="A101" i="1"/>
  <c r="A102" i="1"/>
  <c r="A103" i="1"/>
  <c r="A105" i="1"/>
  <c r="A106" i="1"/>
  <c r="A107" i="1"/>
  <c r="A108" i="1"/>
  <c r="A109" i="1"/>
  <c r="A110" i="1"/>
  <c r="A112" i="1"/>
  <c r="A113" i="1"/>
  <c r="A114" i="1"/>
  <c r="A115" i="1"/>
  <c r="A116" i="1"/>
  <c r="A117" i="1"/>
  <c r="A119" i="1"/>
  <c r="A120" i="1"/>
  <c r="A121" i="1"/>
  <c r="A122" i="1"/>
  <c r="A123" i="1"/>
  <c r="A124" i="1"/>
  <c r="A126" i="1"/>
  <c r="A127" i="1"/>
  <c r="A128" i="1"/>
  <c r="A129" i="1"/>
  <c r="A130" i="1"/>
  <c r="A131" i="1"/>
  <c r="A133" i="1"/>
  <c r="A134" i="1"/>
  <c r="A135" i="1"/>
  <c r="A136" i="1"/>
  <c r="A137" i="1"/>
  <c r="A138" i="1"/>
  <c r="A139" i="1"/>
  <c r="A140" i="1"/>
  <c r="A142" i="1"/>
  <c r="A143" i="1"/>
  <c r="A144" i="1"/>
  <c r="A145" i="1"/>
  <c r="A146" i="1"/>
  <c r="A147" i="1"/>
  <c r="A148" i="1"/>
  <c r="A149" i="1"/>
  <c r="A150" i="1"/>
  <c r="A152" i="1"/>
  <c r="A153" i="1"/>
  <c r="A154" i="1"/>
  <c r="A155" i="1"/>
  <c r="A156" i="1"/>
  <c r="A157" i="1"/>
  <c r="A158" i="1"/>
  <c r="A159" i="1"/>
  <c r="A160" i="1"/>
  <c r="A161" i="1"/>
  <c r="A163" i="1"/>
  <c r="A164" i="1"/>
  <c r="A165" i="1"/>
  <c r="A166" i="1"/>
  <c r="A167" i="1"/>
  <c r="A168" i="1"/>
  <c r="A169" i="1"/>
  <c r="A171" i="1"/>
  <c r="A172" i="1"/>
  <c r="A173" i="1"/>
  <c r="A174" i="1"/>
  <c r="A175" i="1"/>
  <c r="A176" i="1"/>
  <c r="A177" i="1"/>
  <c r="A179" i="1"/>
  <c r="A180" i="1"/>
  <c r="A181" i="1"/>
  <c r="A182" i="1"/>
  <c r="A183" i="1"/>
  <c r="A184" i="1"/>
  <c r="A185" i="1"/>
  <c r="A187" i="1"/>
  <c r="A188" i="1"/>
  <c r="A189" i="1"/>
  <c r="A190" i="1"/>
  <c r="A191" i="1"/>
  <c r="A192" i="1"/>
  <c r="A193" i="1"/>
  <c r="A195" i="1"/>
  <c r="A196" i="1"/>
  <c r="A197" i="1"/>
  <c r="A198" i="1"/>
  <c r="A199" i="1"/>
  <c r="A200" i="1"/>
  <c r="A201" i="1"/>
  <c r="A202" i="1"/>
  <c r="A204" i="1"/>
  <c r="A205" i="1"/>
  <c r="A206" i="1"/>
  <c r="A207" i="1"/>
  <c r="A208" i="1"/>
  <c r="A209" i="1"/>
  <c r="A211" i="1"/>
  <c r="A212" i="1"/>
  <c r="A213" i="1"/>
  <c r="A214" i="1"/>
  <c r="A215" i="1"/>
  <c r="A216" i="1"/>
  <c r="A217" i="1"/>
  <c r="A219" i="1"/>
  <c r="A220" i="1"/>
  <c r="A221" i="1"/>
  <c r="A222" i="1"/>
  <c r="A223" i="1"/>
  <c r="A224" i="1"/>
  <c r="A226" i="1"/>
  <c r="A227" i="1"/>
  <c r="A228" i="1"/>
  <c r="A229" i="1"/>
  <c r="A230" i="1"/>
  <c r="A231" i="1"/>
  <c r="A233" i="1"/>
  <c r="A234" i="1"/>
  <c r="A235" i="1"/>
  <c r="A236" i="1"/>
  <c r="A237" i="1"/>
  <c r="A238" i="1"/>
  <c r="A240" i="1"/>
  <c r="A241" i="1"/>
  <c r="A242" i="1"/>
  <c r="A243" i="1"/>
  <c r="A244" i="1"/>
  <c r="A245" i="1"/>
  <c r="A246" i="1"/>
  <c r="A2" i="1"/>
  <c r="J246" i="1"/>
  <c r="H246" i="1" s="1"/>
  <c r="F245" i="1" s="1"/>
  <c r="G245" i="1" s="1"/>
  <c r="H245" i="1" s="1"/>
  <c r="H247" i="1" s="1"/>
  <c r="J238" i="1"/>
  <c r="H238" i="1" s="1"/>
  <c r="F237" i="1" s="1"/>
  <c r="G237" i="1" s="1"/>
  <c r="H237" i="1" s="1"/>
  <c r="H239" i="1" s="1"/>
  <c r="J231" i="1"/>
  <c r="H231" i="1" s="1"/>
  <c r="F230" i="1" s="1"/>
  <c r="G230" i="1" s="1"/>
  <c r="H230" i="1" s="1"/>
  <c r="J224" i="1"/>
  <c r="H224" i="1" s="1"/>
  <c r="F223" i="1" s="1"/>
  <c r="G223" i="1" s="1"/>
  <c r="H223" i="1" s="1"/>
  <c r="J217" i="1"/>
  <c r="H217" i="1" s="1"/>
  <c r="F216" i="1" s="1"/>
  <c r="G216" i="1" s="1"/>
  <c r="H216" i="1" s="1"/>
  <c r="H218" i="1" s="1"/>
  <c r="J209" i="1"/>
  <c r="H209" i="1" s="1"/>
  <c r="F208" i="1" s="1"/>
  <c r="G208" i="1" s="1"/>
  <c r="H208" i="1" s="1"/>
  <c r="J202" i="1"/>
  <c r="H202" i="1" s="1"/>
  <c r="F201" i="1" s="1"/>
  <c r="G201" i="1" s="1"/>
  <c r="H201" i="1" s="1"/>
  <c r="J193" i="1"/>
  <c r="H193" i="1" s="1"/>
  <c r="F192" i="1" s="1"/>
  <c r="G192" i="1" s="1"/>
  <c r="H192" i="1" s="1"/>
  <c r="H194" i="1" s="1"/>
  <c r="J185" i="1"/>
  <c r="H185" i="1" s="1"/>
  <c r="F184" i="1" s="1"/>
  <c r="G184" i="1" s="1"/>
  <c r="H184" i="1" s="1"/>
  <c r="J177" i="1"/>
  <c r="H177" i="1" s="1"/>
  <c r="F176" i="1" s="1"/>
  <c r="G176" i="1" s="1"/>
  <c r="H176" i="1" s="1"/>
  <c r="J169" i="1"/>
  <c r="H169" i="1" s="1"/>
  <c r="F168" i="1" s="1"/>
  <c r="G168" i="1" s="1"/>
  <c r="H168" i="1" s="1"/>
  <c r="J161" i="1"/>
  <c r="H161" i="1" s="1"/>
  <c r="F160" i="1" s="1"/>
  <c r="G160" i="1" s="1"/>
  <c r="H160" i="1" s="1"/>
  <c r="G156" i="1"/>
  <c r="H156" i="1" s="1"/>
  <c r="J150" i="1"/>
  <c r="H150" i="1" s="1"/>
  <c r="F149" i="1" s="1"/>
  <c r="G149" i="1" s="1"/>
  <c r="H149" i="1" s="1"/>
  <c r="J140" i="1"/>
  <c r="H140" i="1" s="1"/>
  <c r="F139" i="1" s="1"/>
  <c r="G139" i="1" s="1"/>
  <c r="H139" i="1" s="1"/>
  <c r="G137" i="1"/>
  <c r="H137" i="1" s="1"/>
  <c r="G136" i="1"/>
  <c r="H136" i="1" s="1"/>
  <c r="G26" i="1"/>
  <c r="H26" i="1" s="1"/>
  <c r="G25" i="1"/>
  <c r="H25" i="1" s="1"/>
  <c r="G7" i="1"/>
  <c r="H7" i="1" s="1"/>
  <c r="G6" i="1"/>
  <c r="H6" i="1" s="1"/>
  <c r="G3" i="1"/>
  <c r="H3" i="1" s="1"/>
  <c r="J131" i="1"/>
  <c r="H131" i="1" s="1"/>
  <c r="F130" i="1" s="1"/>
  <c r="G130" i="1" s="1"/>
  <c r="H130" i="1" s="1"/>
  <c r="J124" i="1"/>
  <c r="H124" i="1" s="1"/>
  <c r="F123" i="1" s="1"/>
  <c r="G123" i="1" s="1"/>
  <c r="H123" i="1" s="1"/>
  <c r="J117" i="1"/>
  <c r="H117" i="1" s="1"/>
  <c r="F116" i="1" s="1"/>
  <c r="G116" i="1" s="1"/>
  <c r="H116" i="1" s="1"/>
  <c r="H118" i="1" s="1"/>
  <c r="J110" i="1"/>
  <c r="H110" i="1" s="1"/>
  <c r="F109" i="1" s="1"/>
  <c r="G109" i="1" s="1"/>
  <c r="H109" i="1" s="1"/>
  <c r="J103" i="1"/>
  <c r="H103" i="1" s="1"/>
  <c r="F102" i="1" s="1"/>
  <c r="G102" i="1" s="1"/>
  <c r="H102" i="1" s="1"/>
  <c r="J96" i="1"/>
  <c r="H96" i="1" s="1"/>
  <c r="F95" i="1" s="1"/>
  <c r="G95" i="1" s="1"/>
  <c r="H95" i="1" s="1"/>
  <c r="J89" i="1"/>
  <c r="H89" i="1" s="1"/>
  <c r="F88" i="1" s="1"/>
  <c r="G88" i="1" s="1"/>
  <c r="H88" i="1" s="1"/>
  <c r="J82" i="1"/>
  <c r="H82" i="1" s="1"/>
  <c r="F81" i="1" s="1"/>
  <c r="G81" i="1" s="1"/>
  <c r="H81" i="1" s="1"/>
  <c r="J74" i="1"/>
  <c r="H74" i="1" s="1"/>
  <c r="F73" i="1" s="1"/>
  <c r="G73" i="1" s="1"/>
  <c r="H73" i="1" s="1"/>
  <c r="J66" i="1"/>
  <c r="H66" i="1" s="1"/>
  <c r="F65" i="1" s="1"/>
  <c r="G65" i="1" s="1"/>
  <c r="H65" i="1" s="1"/>
  <c r="J57" i="1"/>
  <c r="H57" i="1" s="1"/>
  <c r="F56" i="1" s="1"/>
  <c r="G56" i="1" s="1"/>
  <c r="H56" i="1" s="1"/>
  <c r="J49" i="1"/>
  <c r="H49" i="1" s="1"/>
  <c r="F48" i="1" s="1"/>
  <c r="G48" i="1" s="1"/>
  <c r="H48" i="1" s="1"/>
  <c r="J41" i="1"/>
  <c r="H41" i="1" s="1"/>
  <c r="F40" i="1" s="1"/>
  <c r="G40" i="1" s="1"/>
  <c r="H40" i="1" s="1"/>
  <c r="J31" i="1"/>
  <c r="H31" i="1" s="1"/>
  <c r="F30" i="1" s="1"/>
  <c r="G30" i="1" s="1"/>
  <c r="H30" i="1" s="1"/>
  <c r="J19" i="1"/>
  <c r="H19" i="1" s="1"/>
  <c r="F18" i="1" s="1"/>
  <c r="G18" i="1" s="1"/>
  <c r="H18" i="1" s="1"/>
  <c r="H20" i="1" s="1"/>
  <c r="J9" i="1"/>
  <c r="H9" i="1" s="1"/>
  <c r="F8" i="1" s="1"/>
  <c r="G8" i="1" s="1"/>
  <c r="H8" i="1" s="1"/>
  <c r="G5" i="1"/>
  <c r="H5" i="1" s="1"/>
  <c r="H32" i="1" l="1"/>
  <c r="H50" i="1"/>
  <c r="H125" i="1"/>
  <c r="H178" i="1"/>
  <c r="H132" i="1"/>
  <c r="H162" i="1"/>
  <c r="H232" i="1"/>
  <c r="H186" i="1"/>
  <c r="H97" i="1"/>
  <c r="H225" i="1"/>
  <c r="H111" i="1"/>
  <c r="H210" i="1"/>
  <c r="H83" i="1"/>
  <c r="H42" i="1"/>
  <c r="H104" i="1"/>
  <c r="H67" i="1"/>
  <c r="H75" i="1"/>
  <c r="H203" i="1"/>
  <c r="H90" i="1"/>
  <c r="H170" i="1"/>
  <c r="H10" i="1"/>
  <c r="H248" i="1" l="1"/>
</calcChain>
</file>

<file path=xl/sharedStrings.xml><?xml version="1.0" encoding="utf-8"?>
<sst xmlns="http://schemas.openxmlformats.org/spreadsheetml/2006/main" count="1410" uniqueCount="180">
  <si>
    <t>№</t>
  </si>
  <si>
    <t>Pano</t>
  </si>
  <si>
    <t>Malzeme</t>
  </si>
  <si>
    <t>Model / Teknik Özellik</t>
  </si>
  <si>
    <t>Marka</t>
  </si>
  <si>
    <t>SKU / Kod</t>
  </si>
  <si>
    <t>Adet</t>
  </si>
  <si>
    <t>Birim</t>
  </si>
  <si>
    <t>PANO KOMPLE / компл.</t>
  </si>
  <si>
    <t>Вводно-распределительное устройство ГОСТ 30011.1-2003 типа ВРУ-1-11-10 (вводная панель), номинальный ток панели 250 А, количество и номинальный ток вводного аппарата 2×250 А</t>
  </si>
  <si>
    <t>компл.</t>
  </si>
  <si>
    <t>Корпус / Korpus</t>
  </si>
  <si>
    <t>шт.</t>
  </si>
  <si>
    <t>ТМШ / MCCB</t>
  </si>
  <si>
    <t>CHINT</t>
  </si>
  <si>
    <t>Выключатель-разъединитель</t>
  </si>
  <si>
    <t>Счётчик</t>
  </si>
  <si>
    <t>DALA</t>
  </si>
  <si>
    <t>Трансформатор тока</t>
  </si>
  <si>
    <t>Монтажный материал</t>
  </si>
  <si>
    <t>EKT / ONKA / KLEMSAN sarf malzeme</t>
  </si>
  <si>
    <t>Монтажные работы</t>
  </si>
  <si>
    <t>Pano montaj ve kablaj işçiliği</t>
  </si>
  <si>
    <t>Вводно-распределительное устройство ГОСТ 30011.1-2003 типа ВРУ-1-47-00 (распределительная панель), количество и номинальный ток аппаратов линий ПН2 5×100+5×100А</t>
  </si>
  <si>
    <t>ОТО / MCB</t>
  </si>
  <si>
    <t>Вводно-распределительное устройство ГОСТ 30011.1-2003 типа ВРУ-1-21-10 (вводная панель), номинальный ток панели 100 А, количество и номинальный ток вводного аппарата 100 А</t>
  </si>
  <si>
    <t>Сигнальная лампа</t>
  </si>
  <si>
    <t>Шина</t>
  </si>
  <si>
    <t>Выключатель нагрузки</t>
  </si>
  <si>
    <t>Контактор модульный</t>
  </si>
  <si>
    <t>256091</t>
  </si>
  <si>
    <t>Расцепитель независимый</t>
  </si>
  <si>
    <t>814989</t>
  </si>
  <si>
    <t>Диф. / RCBO</t>
  </si>
  <si>
    <t>TEKLED electric</t>
  </si>
  <si>
    <t>ЦЕНА1</t>
  </si>
  <si>
    <t>ЦЕНА</t>
  </si>
  <si>
    <t>СУММ.</t>
  </si>
  <si>
    <t>193180</t>
  </si>
  <si>
    <t>Выключатель нагрузки NXHB-125 3P 20A (R)</t>
  </si>
  <si>
    <t>193181</t>
  </si>
  <si>
    <t>Выключатель нагрузки NXHB-125 3P 32A (R)</t>
  </si>
  <si>
    <t>193183</t>
  </si>
  <si>
    <t>Выключатель нагрузки NXHB-125 3P 63A (R)</t>
  </si>
  <si>
    <t>193184</t>
  </si>
  <si>
    <t>Выключатель нагрузки NXHB-125 3P 80A (R)</t>
  </si>
  <si>
    <t>tb-s-160-4p</t>
  </si>
  <si>
    <t>Рубильник 160A 4P без рукоятки управления TwinBlock EKF</t>
  </si>
  <si>
    <t>ekf</t>
  </si>
  <si>
    <t>515402</t>
  </si>
  <si>
    <t>Диф. авт. выкл. NXBLE-63YH 1P+N C32 30mA тип A, 6kA (R)</t>
  </si>
  <si>
    <t>515381</t>
  </si>
  <si>
    <t>Диф. авт. выкл. NXBLE-63YH 1P+N C16 30mA тип A, 6kA (R)</t>
  </si>
  <si>
    <t>Контактор модульный NCH8-25/22 25A 2НЗ+2НО AC230В 50Гц (R)</t>
  </si>
  <si>
    <t>719-15562</t>
  </si>
  <si>
    <t>Мет. Корпус ЩМП- 6 (1200х750х300) IP54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</si>
  <si>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</si>
  <si>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</si>
  <si>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</si>
  <si>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</si>
  <si>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</si>
  <si>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</si>
  <si>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714-15040</t>
  </si>
  <si>
    <t>Мет. Корпус ЩРН- 48 (660x310x120) IP31  (TS)</t>
  </si>
  <si>
    <t>719-15043</t>
  </si>
  <si>
    <t>Мет. Щит ВРУ 1700х800х450+10CM База</t>
  </si>
  <si>
    <t>kaztek</t>
  </si>
  <si>
    <t>296709</t>
  </si>
  <si>
    <t>Авт. выкл. NXB-63S 1P 10А 4.5kA х-ка C (R)</t>
  </si>
  <si>
    <t>296710</t>
  </si>
  <si>
    <t>Авт. выкл. NXB-63S 1P 16А 4.5kA х-ка C (R)</t>
  </si>
  <si>
    <t>296708</t>
  </si>
  <si>
    <t>Авт. выкл. NXB-63S 1P 6А 4.5kA х-ка C (R)</t>
  </si>
  <si>
    <t>296827</t>
  </si>
  <si>
    <t>Авт. выкл. NXB-63S 3P 16А 4.5kA х-ка C (R)</t>
  </si>
  <si>
    <t>296829</t>
  </si>
  <si>
    <t>Авт. выкл. NXB-63S 3P 25А 4.5kA х-ка C (R)</t>
  </si>
  <si>
    <t>296830</t>
  </si>
  <si>
    <t>Авт. выкл. NXB-63S 3P 32А 4.5kA х-ка C (R)</t>
  </si>
  <si>
    <t>296831</t>
  </si>
  <si>
    <t>Авт. выкл. NXB-63S 3P 40А 4.5kA х-ка C (R)</t>
  </si>
  <si>
    <t>296833</t>
  </si>
  <si>
    <t>Авт. выкл. NXB-63S 3P 63А 4.5kA х-ка C (R)</t>
  </si>
  <si>
    <t>Независимый расцепитель SHT-X1 AC230V/400V для NXB-63 (R)</t>
  </si>
  <si>
    <t>593077</t>
  </si>
  <si>
    <t>Индикатор ND16-22D/2 зеленый AC/DC230В (R)</t>
  </si>
  <si>
    <t>IA</t>
  </si>
  <si>
    <t>ДАЛА СА4У-Э720 R TX OP П RS1 Д W  (3x220/380V 5-7,5A)</t>
  </si>
  <si>
    <t>131362</t>
  </si>
  <si>
    <t>Авт. выкл. NXM-125S/3Р 100A 25кА (R)</t>
  </si>
  <si>
    <t>131365</t>
  </si>
  <si>
    <t>Авт. выкл. NXM-250S/3Р 160A 36кА (R)</t>
  </si>
  <si>
    <t>131361</t>
  </si>
  <si>
    <t>Авт. выкл. NXM-125S/3Р 80A 25кА (R)</t>
  </si>
  <si>
    <t>270300100_</t>
  </si>
  <si>
    <t>Трансформатор тока ТТИ-А  150/5А  5ВА  класс 0,5  IEK</t>
  </si>
  <si>
    <t>pys</t>
  </si>
  <si>
    <t>M.</t>
  </si>
  <si>
    <t>719-150</t>
  </si>
  <si>
    <t>Мет. Щит ВРУ 1700х600х450+10CM База</t>
  </si>
  <si>
    <t>ATS</t>
  </si>
  <si>
    <t>714-15105</t>
  </si>
  <si>
    <t>Щит ЩРн-54 (540x440x120) S/U  IP31</t>
  </si>
  <si>
    <t>256790</t>
  </si>
  <si>
    <t>Устройство автоматического ввода резерва NXZM-160S/3B 160A (R)</t>
  </si>
  <si>
    <t>KAZTEK</t>
  </si>
  <si>
    <t>844302</t>
  </si>
  <si>
    <t>Авт. выкл. NXM-125S/3Р 50A 25кА (R)</t>
  </si>
  <si>
    <t>256757</t>
  </si>
  <si>
    <t>Устройство автоматического ввода резерва NXZM-63S/3B 63A (R)</t>
  </si>
  <si>
    <t>IC</t>
  </si>
  <si>
    <t>ДАЛА СА4-Э720 R TX OP P П RS1 Д W (3x220/380V 5-60A)</t>
  </si>
  <si>
    <t>130300473_</t>
  </si>
  <si>
    <t>Шина медн.3х20х4000</t>
  </si>
  <si>
    <t>714-15015</t>
  </si>
  <si>
    <t>Pano met.ShRn-36 b/o (312х540х120)S/U 36 IP31 (TS)</t>
  </si>
  <si>
    <t>ВЩ-1(260824 Лаборатория)</t>
  </si>
  <si>
    <t>РЩ-1(260824 Лаборатория)</t>
  </si>
  <si>
    <t>ВЩ-1 (АВР)(260824 Лаборатория)</t>
  </si>
  <si>
    <t>ЩСБП-1(260824 Лаборатория)</t>
  </si>
  <si>
    <t>ЩО-1(260824 Лаборатория)</t>
  </si>
  <si>
    <t>ЩАО-1(260824 Лаборатория)</t>
  </si>
  <si>
    <t>ЩВ-1(260824 Лаборатория)</t>
  </si>
  <si>
    <t>ЩС-1(260824 Лаборатория)</t>
  </si>
  <si>
    <t>пЩР-1(260824 Лаборатория)</t>
  </si>
  <si>
    <t>1ЩР-1(260824 Лаборатория)</t>
  </si>
  <si>
    <t>2ЩР-1(260824 Лаборатория)</t>
  </si>
  <si>
    <t>3ЩР-1(260824 Лаборатория)</t>
  </si>
  <si>
    <t>пЩГР-1(260824 Лаборатория)</t>
  </si>
  <si>
    <t>1ЩГР-1(260824 Лаборатория)</t>
  </si>
  <si>
    <t>2ЩГР-1(260824 Лаборатория)</t>
  </si>
  <si>
    <t>3ЩГР-1(260824 Лаборатория)</t>
  </si>
  <si>
    <t>ВЩ-2(260824 Лаборатория)</t>
  </si>
  <si>
    <t>РЩ-2(260824 Лаборатория)</t>
  </si>
  <si>
    <t>ВЩ-2(АВР)(260824 Лаборатория)</t>
  </si>
  <si>
    <t>ЩСБП-2(260824 Лаборатория)</t>
  </si>
  <si>
    <t>ЩО-2.1(260824 Лаборатория)</t>
  </si>
  <si>
    <t>ЩО-2.2(260824 Лаборатория)</t>
  </si>
  <si>
    <t>ЩАО-2(260824 Лаборатория)</t>
  </si>
  <si>
    <t>ЩВ-2(260824 Лаборатория)</t>
  </si>
  <si>
    <t>ЩС-2(260824 Лаборатория)</t>
  </si>
  <si>
    <t>пЩР-2(260824 Лаборатория)</t>
  </si>
  <si>
    <t>1ЩР-2(260824 Лаборатория)</t>
  </si>
  <si>
    <t>2ЩР-2(260824 Лаборатория)</t>
  </si>
  <si>
    <t>3ЩР-2(260824 Лаборатория)</t>
  </si>
  <si>
    <t>ЩСоб2(260824 Лаборатория)</t>
  </si>
  <si>
    <t>Щит распределительный навесной ГОСТ 32397-2013</t>
  </si>
  <si>
    <t>Щит с монтажной панелью ГОСТ 32397-2013</t>
  </si>
  <si>
    <t>Toplam ВЩ-1(260824 Лаборатория)</t>
  </si>
  <si>
    <t>Toplam РЩ-1(260824 Лаборатория)</t>
  </si>
  <si>
    <t>Toplam ВЩ-1 (АВР)(260824 Лаборатория)</t>
  </si>
  <si>
    <t>Toplam ЩСБП-1(260824 Лаборатория)</t>
  </si>
  <si>
    <t>Toplam ЩО-1(260824 Лаборатория)</t>
  </si>
  <si>
    <t>Toplam ЩАО-1(260824 Лаборатория)</t>
  </si>
  <si>
    <t>Toplam ЩВ-1(260824 Лаборатория)</t>
  </si>
  <si>
    <t>Toplam ЩС-1(260824 Лаборатория)</t>
  </si>
  <si>
    <t>Toplam пЩР-1(260824 Лаборатория)</t>
  </si>
  <si>
    <t>Toplam 1ЩР-1(260824 Лаборатория)</t>
  </si>
  <si>
    <t>Toplam 2ЩР-1(260824 Лаборатория)</t>
  </si>
  <si>
    <t>Toplam 3ЩР-1(260824 Лаборатория)</t>
  </si>
  <si>
    <t>Toplam пЩГР-1(260824 Лаборатория)</t>
  </si>
  <si>
    <t>Toplam 1ЩГР-1(260824 Лаборатория)</t>
  </si>
  <si>
    <t>Toplam 2ЩГР-1(260824 Лаборатория)</t>
  </si>
  <si>
    <t>Toplam 3ЩГР-1(260824 Лаборатория)</t>
  </si>
  <si>
    <t>Toplam ВЩ-2(260824 Лаборатория)</t>
  </si>
  <si>
    <t>Toplam РЩ-2(260824 Лаборатория)</t>
  </si>
  <si>
    <t>Toplam ВЩ-2(АВР)(260824 Лаборатория)</t>
  </si>
  <si>
    <t>Toplam ЩСБП-2(260824 Лаборатория)</t>
  </si>
  <si>
    <t>Toplam ЩО-2.1(260824 Лаборатория)</t>
  </si>
  <si>
    <t>Toplam ЩО-2.2(260824 Лаборатория)</t>
  </si>
  <si>
    <t>Toplam ЩАО-2(260824 Лаборатория)</t>
  </si>
  <si>
    <t>Toplam ЩВ-2(260824 Лаборатория)</t>
  </si>
  <si>
    <t>Toplam ЩС-2(260824 Лаборатория)</t>
  </si>
  <si>
    <t>Toplam пЩР-2(260824 Лаборатория)</t>
  </si>
  <si>
    <t>Toplam 1ЩР-2(260824 Лаборатория)</t>
  </si>
  <si>
    <t>Toplam 2ЩР-2(260824 Лаборатория)</t>
  </si>
  <si>
    <t>Toplam 3ЩР-2(260824 Лаборатория)</t>
  </si>
  <si>
    <t>Toplam ЩСоб2(260824 Лаборатория)</t>
  </si>
  <si>
    <t>Genel Toplam</t>
  </si>
  <si>
    <t>malz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</si>
</sst>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>
    <font>
      <sz val="11"/>
      <name val="Carlito"/>
    </font>
    <font>
      <b/>
      <sz val="10"/>
      <color rgb="FFFFFFFF"/>
      <name val="Arial"/>
      <family val="2"/>
      <charset val="162"/>
    </font>
    <font>
      <sz val="10"/>
      <name val="Carlito"/>
      <charset val="162"/>
    </font>
    <font>
      <b/>
      <sz val="10"/>
      <color rgb="FF0F172A"/>
      <name val="Arial"/>
      <family val="2"/>
      <charset val="162"/>
    </font>
    <font>
      <sz val="10"/>
      <name val="Arial"/>
      <family val="2"/>
      <charset val="162"/>
    </font>
    <font>
      <sz val="8"/>
      <name val="Carlito"/>
    </font>
    <font>
      <b/>
      <sz val="10"/>
      <name val="Arial"/>
      <family val="2"/>
      <charset val="162"/>
    </font>
    <font>
      <b/>
      <sz val="10"/>
      <name val="Carlito"/>
      <charset val="16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rgb="FFFCCF6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2" fillId="3" borderId="0" xfId="0" applyFont="1" applyFill="1"/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7" fillId="3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vertical="center" wrapText="1"/>
    </xf>
    <xf numFmtId="3" fontId="4" fillId="3" borderId="0" xfId="0" applyNumberFormat="1" applyFont="1" applyFill="1" applyBorder="1" applyAlignment="1">
      <alignment vertical="center" wrapText="1"/>
    </xf>
    <xf numFmtId="3" fontId="2" fillId="0" borderId="0" xfId="0" applyNumberFormat="1" applyFont="1"/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CF6A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48"/>
  <sheetViews>
    <sheetView workbookViewId="0">
      <pane xSplit="10" ySplit="1" topLeftCell="K170" activePane="bottomRight" state="frozen"/>
      <selection pane="topRight" activeCell="K1" sqref="K1"/>
      <selection pane="bottomLeft" activeCell="A2" sqref="A2"/>
      <selection pane="bottomRight" activeCell="B1" sqref="B1:L247"/>
    </sheetView>
  </sheetViews>
  <sheetFormatPr defaultRowHeight="12.75" outlineLevelRow="2"/>
  <cols>
    <col min="1" max="1" width="6" style="1" customWidth="1"/>
    <col min="2" max="2" width="25.125" style="1" customWidth="1"/>
    <col min="3" max="3" width="24" style="1" customWidth="1"/>
    <col min="4" max="4" width="15" style="1" customWidth="1"/>
    <col min="5" max="5" width="55.5" style="1" customWidth="1"/>
    <col min="6" max="8" width="11.875" style="25" customWidth="1"/>
    <col min="9" max="9" width="15" style="13" customWidth="1"/>
    <col min="10" max="10" width="9" style="13" customWidth="1"/>
    <col min="11" max="11" width="10" style="13" customWidth="1"/>
    <col min="12" max="12" width="11.875" style="25" customWidth="1"/>
    <col min="13" max="16384" width="9" style="1"/>
  </cols>
  <sheetData>
    <row r="1" spans="1:12" ht="38.25" customHeight="1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0" t="s">
        <v>35</v>
      </c>
      <c r="G1" s="20" t="s">
        <v>36</v>
      </c>
      <c r="H1" s="20" t="s">
        <v>37</v>
      </c>
      <c r="I1" s="2" t="s">
        <v>4</v>
      </c>
      <c r="J1" s="2" t="s">
        <v>6</v>
      </c>
      <c r="K1" s="2" t="s">
        <v>7</v>
      </c>
      <c r="L1" s="20" t="s">
        <v>179</v>
      </c>
    </row>
    <row r="2" spans="1:12" ht="21.95" customHeight="1" outlineLevel="2">
      <c r="A2" s="3">
        <f>ROW(A1)</f>
        <v>1</v>
      </c>
      <c r="B2" s="3" t="s">
        <v>116</v>
      </c>
      <c r="C2" s="4" t="s">
        <v>8</v>
      </c>
      <c r="D2" s="4"/>
      <c r="E2" s="4" t="s">
        <v>9</v>
      </c>
      <c r="F2" s="21"/>
      <c r="G2" s="21"/>
      <c r="H2" s="21"/>
      <c r="I2" s="11" t="s">
        <v>34</v>
      </c>
      <c r="J2" s="11">
        <v>1</v>
      </c>
      <c r="K2" s="11" t="s">
        <v>10</v>
      </c>
      <c r="L2" s="21"/>
    </row>
    <row r="3" spans="1:12" s="5" customFormat="1" ht="21.95" hidden="1" customHeight="1" outlineLevel="2">
      <c r="A3" s="6">
        <f t="shared" ref="A3:A73" si="0">ROW(A2)</f>
        <v>2</v>
      </c>
      <c r="B3" s="6" t="s">
        <v>116</v>
      </c>
      <c r="C3" s="7" t="s">
        <v>11</v>
      </c>
      <c r="D3" s="7" t="s">
        <v>64</v>
      </c>
      <c r="E3" s="7" t="s">
        <v>65</v>
      </c>
      <c r="F3" s="22">
        <v>155000</v>
      </c>
      <c r="G3" s="22">
        <f>0.6*F3</f>
        <v>93000</v>
      </c>
      <c r="H3" s="22">
        <f>G3*J3</f>
        <v>93000</v>
      </c>
      <c r="I3" s="14" t="s">
        <v>66</v>
      </c>
      <c r="J3" s="14">
        <v>1</v>
      </c>
      <c r="K3" s="14" t="s">
        <v>12</v>
      </c>
      <c r="L3" s="22">
        <v>93000</v>
      </c>
    </row>
    <row r="4" spans="1:12" s="5" customFormat="1" ht="21.95" hidden="1" customHeight="1" outlineLevel="2">
      <c r="A4" s="6">
        <f t="shared" si="0"/>
        <v>3</v>
      </c>
      <c r="B4" s="6" t="s">
        <v>116</v>
      </c>
      <c r="C4" s="7" t="s">
        <v>13</v>
      </c>
      <c r="D4" s="7" t="s">
        <v>90</v>
      </c>
      <c r="E4" s="7" t="s">
        <v>91</v>
      </c>
      <c r="F4" s="22">
        <v>33910</v>
      </c>
      <c r="G4" s="22">
        <f>0.6*F4</f>
        <v>20346</v>
      </c>
      <c r="H4" s="22">
        <f>G4*J4</f>
        <v>40692</v>
      </c>
      <c r="I4" s="14" t="s">
        <v>14</v>
      </c>
      <c r="J4" s="14">
        <v>2</v>
      </c>
      <c r="K4" s="14" t="s">
        <v>12</v>
      </c>
      <c r="L4" s="22">
        <v>40692</v>
      </c>
    </row>
    <row r="5" spans="1:12" s="5" customFormat="1" ht="21.95" hidden="1" customHeight="1" outlineLevel="2">
      <c r="A5" s="6">
        <f t="shared" si="0"/>
        <v>4</v>
      </c>
      <c r="B5" s="6" t="s">
        <v>116</v>
      </c>
      <c r="C5" s="7" t="s">
        <v>15</v>
      </c>
      <c r="D5" s="7" t="s">
        <v>46</v>
      </c>
      <c r="E5" s="7" t="s">
        <v>47</v>
      </c>
      <c r="F5" s="22">
        <v>69000</v>
      </c>
      <c r="G5" s="22">
        <f>F5</f>
        <v>69000</v>
      </c>
      <c r="H5" s="22">
        <f t="shared" ref="H5:H9" si="1">G5*J5</f>
        <v>138000</v>
      </c>
      <c r="I5" s="14" t="s">
        <v>48</v>
      </c>
      <c r="J5" s="14">
        <v>2</v>
      </c>
      <c r="K5" s="14" t="s">
        <v>12</v>
      </c>
      <c r="L5" s="22">
        <v>138000</v>
      </c>
    </row>
    <row r="6" spans="1:12" s="5" customFormat="1" ht="21.95" hidden="1" customHeight="1" outlineLevel="2">
      <c r="A6" s="6">
        <f t="shared" si="0"/>
        <v>5</v>
      </c>
      <c r="B6" s="6" t="s">
        <v>116</v>
      </c>
      <c r="C6" s="7" t="s">
        <v>16</v>
      </c>
      <c r="D6" s="7" t="s">
        <v>86</v>
      </c>
      <c r="E6" s="7" t="s">
        <v>87</v>
      </c>
      <c r="F6" s="22">
        <v>90000</v>
      </c>
      <c r="G6" s="22">
        <f>F6</f>
        <v>90000</v>
      </c>
      <c r="H6" s="22">
        <f t="shared" si="1"/>
        <v>180000</v>
      </c>
      <c r="I6" s="14" t="s">
        <v>17</v>
      </c>
      <c r="J6" s="14">
        <v>2</v>
      </c>
      <c r="K6" s="14" t="s">
        <v>12</v>
      </c>
      <c r="L6" s="22">
        <v>180000</v>
      </c>
    </row>
    <row r="7" spans="1:12" s="5" customFormat="1" ht="21.95" hidden="1" customHeight="1" outlineLevel="2">
      <c r="A7" s="6">
        <f t="shared" si="0"/>
        <v>6</v>
      </c>
      <c r="B7" s="6" t="s">
        <v>116</v>
      </c>
      <c r="C7" s="7" t="s">
        <v>18</v>
      </c>
      <c r="D7" s="7" t="s">
        <v>94</v>
      </c>
      <c r="E7" s="7" t="s">
        <v>95</v>
      </c>
      <c r="F7" s="22">
        <v>6018</v>
      </c>
      <c r="G7" s="22">
        <f>F7</f>
        <v>6018</v>
      </c>
      <c r="H7" s="22">
        <f t="shared" si="1"/>
        <v>36108</v>
      </c>
      <c r="I7" s="14" t="s">
        <v>96</v>
      </c>
      <c r="J7" s="14">
        <v>6</v>
      </c>
      <c r="K7" s="14" t="s">
        <v>12</v>
      </c>
      <c r="L7" s="22">
        <v>36108</v>
      </c>
    </row>
    <row r="8" spans="1:12" s="5" customFormat="1" ht="21.95" hidden="1" customHeight="1" outlineLevel="2">
      <c r="A8" s="6">
        <f t="shared" si="0"/>
        <v>7</v>
      </c>
      <c r="B8" s="6" t="s">
        <v>116</v>
      </c>
      <c r="C8" s="7" t="s">
        <v>19</v>
      </c>
      <c r="D8" s="7"/>
      <c r="E8" s="7" t="s">
        <v>20</v>
      </c>
      <c r="F8" s="22">
        <f ca="1">OFFSET(F8,1,2)</f>
        <v>60000</v>
      </c>
      <c r="G8" s="22">
        <f ca="1">F8</f>
        <v>60000</v>
      </c>
      <c r="H8" s="22">
        <f t="shared" ca="1" si="1"/>
        <v>60000</v>
      </c>
      <c r="I8" s="14" t="s">
        <v>19</v>
      </c>
      <c r="J8" s="14">
        <v>1</v>
      </c>
      <c r="K8" s="14" t="s">
        <v>12</v>
      </c>
      <c r="L8" s="22">
        <v>60000</v>
      </c>
    </row>
    <row r="9" spans="1:12" s="5" customFormat="1" ht="21.95" hidden="1" customHeight="1" outlineLevel="2">
      <c r="A9" s="6">
        <f t="shared" si="0"/>
        <v>8</v>
      </c>
      <c r="B9" s="6" t="s">
        <v>116</v>
      </c>
      <c r="C9" s="7" t="s">
        <v>21</v>
      </c>
      <c r="D9" s="7"/>
      <c r="E9" s="7" t="s">
        <v>22</v>
      </c>
      <c r="F9" s="22">
        <v>10</v>
      </c>
      <c r="G9" s="22">
        <v>100</v>
      </c>
      <c r="H9" s="22">
        <f t="shared" si="1"/>
        <v>60000</v>
      </c>
      <c r="I9" s="14" t="s">
        <v>21</v>
      </c>
      <c r="J9" s="14">
        <f>60*F9</f>
        <v>600</v>
      </c>
      <c r="K9" s="14" t="s">
        <v>12</v>
      </c>
      <c r="L9" s="22">
        <v>60000</v>
      </c>
    </row>
    <row r="10" spans="1:12" s="5" customFormat="1" ht="21.95" customHeight="1" outlineLevel="1">
      <c r="A10" s="6"/>
      <c r="B10" s="15" t="s">
        <v>148</v>
      </c>
      <c r="C10" s="7"/>
      <c r="D10" s="7"/>
      <c r="E10" s="7"/>
      <c r="F10" s="22"/>
      <c r="G10" s="22"/>
      <c r="H10" s="22">
        <f>SUBTOTAL(9,H2:H9)</f>
        <v>0</v>
      </c>
      <c r="I10" s="14"/>
      <c r="J10" s="14"/>
      <c r="K10" s="14"/>
      <c r="L10" s="22">
        <v>607800</v>
      </c>
    </row>
    <row r="11" spans="1:12" ht="21.95" customHeight="1" outlineLevel="2">
      <c r="A11" s="3">
        <f>ROW(A9)</f>
        <v>9</v>
      </c>
      <c r="B11" s="3" t="s">
        <v>117</v>
      </c>
      <c r="C11" s="4" t="s">
        <v>8</v>
      </c>
      <c r="D11" s="4"/>
      <c r="E11" s="4" t="s">
        <v>23</v>
      </c>
      <c r="F11" s="21"/>
      <c r="G11" s="21"/>
      <c r="H11" s="21"/>
      <c r="I11" s="11" t="s">
        <v>34</v>
      </c>
      <c r="J11" s="11">
        <v>1</v>
      </c>
      <c r="K11" s="11" t="s">
        <v>10</v>
      </c>
      <c r="L11" s="21"/>
    </row>
    <row r="12" spans="1:12" s="5" customFormat="1" ht="21.95" hidden="1" customHeight="1" outlineLevel="2">
      <c r="A12" s="6">
        <f t="shared" si="0"/>
        <v>11</v>
      </c>
      <c r="B12" s="6" t="s">
        <v>117</v>
      </c>
      <c r="C12" s="7" t="s">
        <v>11</v>
      </c>
      <c r="D12" s="7" t="s">
        <v>98</v>
      </c>
      <c r="E12" s="7" t="s">
        <v>99</v>
      </c>
      <c r="F12" s="22">
        <v>145000</v>
      </c>
      <c r="G12" s="22">
        <f t="shared" ref="G12:G17" si="2">0.6*F12</f>
        <v>87000</v>
      </c>
      <c r="H12" s="22">
        <f t="shared" ref="H12:H17" si="3">G12*J12</f>
        <v>87000</v>
      </c>
      <c r="I12" s="14" t="s">
        <v>66</v>
      </c>
      <c r="J12" s="14">
        <v>1</v>
      </c>
      <c r="K12" s="14" t="s">
        <v>12</v>
      </c>
      <c r="L12" s="22">
        <v>87000</v>
      </c>
    </row>
    <row r="13" spans="1:12" s="5" customFormat="1" ht="21.95" hidden="1" customHeight="1" outlineLevel="2">
      <c r="A13" s="6">
        <f t="shared" si="0"/>
        <v>12</v>
      </c>
      <c r="B13" s="6" t="s">
        <v>117</v>
      </c>
      <c r="C13" s="7" t="s">
        <v>24</v>
      </c>
      <c r="D13" s="7" t="s">
        <v>77</v>
      </c>
      <c r="E13" s="7" t="s">
        <v>78</v>
      </c>
      <c r="F13" s="22">
        <v>2606</v>
      </c>
      <c r="G13" s="22">
        <f t="shared" si="2"/>
        <v>1563.6</v>
      </c>
      <c r="H13" s="22">
        <f t="shared" si="3"/>
        <v>1563.6</v>
      </c>
      <c r="I13" s="14" t="s">
        <v>14</v>
      </c>
      <c r="J13" s="14">
        <v>1</v>
      </c>
      <c r="K13" s="14" t="s">
        <v>12</v>
      </c>
      <c r="L13" s="22">
        <v>1563.6</v>
      </c>
    </row>
    <row r="14" spans="1:12" s="5" customFormat="1" ht="21.95" hidden="1" customHeight="1" outlineLevel="2">
      <c r="A14" s="6">
        <f t="shared" si="0"/>
        <v>13</v>
      </c>
      <c r="B14" s="6" t="s">
        <v>117</v>
      </c>
      <c r="C14" s="7" t="s">
        <v>24</v>
      </c>
      <c r="D14" s="7" t="s">
        <v>75</v>
      </c>
      <c r="E14" s="7" t="s">
        <v>76</v>
      </c>
      <c r="F14" s="22">
        <v>2429</v>
      </c>
      <c r="G14" s="22">
        <f t="shared" si="2"/>
        <v>1457.3999999999999</v>
      </c>
      <c r="H14" s="22">
        <f t="shared" si="3"/>
        <v>4372.2</v>
      </c>
      <c r="I14" s="14" t="s">
        <v>14</v>
      </c>
      <c r="J14" s="14">
        <v>3</v>
      </c>
      <c r="K14" s="14" t="s">
        <v>12</v>
      </c>
      <c r="L14" s="22">
        <v>4372.2</v>
      </c>
    </row>
    <row r="15" spans="1:12" s="5" customFormat="1" ht="21.95" hidden="1" customHeight="1" outlineLevel="2">
      <c r="A15" s="6">
        <f t="shared" si="0"/>
        <v>14</v>
      </c>
      <c r="B15" s="6" t="s">
        <v>117</v>
      </c>
      <c r="C15" s="7" t="s">
        <v>24</v>
      </c>
      <c r="D15" s="7" t="s">
        <v>81</v>
      </c>
      <c r="E15" s="7" t="s">
        <v>82</v>
      </c>
      <c r="F15" s="22">
        <v>3641</v>
      </c>
      <c r="G15" s="22">
        <f t="shared" si="2"/>
        <v>2184.6</v>
      </c>
      <c r="H15" s="22">
        <f t="shared" si="3"/>
        <v>4369.2</v>
      </c>
      <c r="I15" s="14" t="s">
        <v>14</v>
      </c>
      <c r="J15" s="14">
        <v>2</v>
      </c>
      <c r="K15" s="14" t="s">
        <v>12</v>
      </c>
      <c r="L15" s="22">
        <v>4369.2</v>
      </c>
    </row>
    <row r="16" spans="1:12" s="5" customFormat="1" ht="21.95" hidden="1" customHeight="1" outlineLevel="2">
      <c r="A16" s="6">
        <f t="shared" si="0"/>
        <v>15</v>
      </c>
      <c r="B16" s="6" t="s">
        <v>117</v>
      </c>
      <c r="C16" s="7" t="s">
        <v>13</v>
      </c>
      <c r="D16" s="7" t="s">
        <v>88</v>
      </c>
      <c r="E16" s="7" t="s">
        <v>89</v>
      </c>
      <c r="F16" s="22">
        <v>19443</v>
      </c>
      <c r="G16" s="22">
        <f t="shared" si="2"/>
        <v>11665.8</v>
      </c>
      <c r="H16" s="22">
        <f t="shared" si="3"/>
        <v>11665.8</v>
      </c>
      <c r="I16" s="14" t="s">
        <v>14</v>
      </c>
      <c r="J16" s="14">
        <v>1</v>
      </c>
      <c r="K16" s="14" t="s">
        <v>12</v>
      </c>
      <c r="L16" s="22">
        <v>11665.8</v>
      </c>
    </row>
    <row r="17" spans="1:12" s="5" customFormat="1" ht="21.95" hidden="1" customHeight="1" outlineLevel="2">
      <c r="A17" s="6">
        <f t="shared" si="0"/>
        <v>16</v>
      </c>
      <c r="B17" s="6" t="s">
        <v>117</v>
      </c>
      <c r="C17" s="7" t="s">
        <v>13</v>
      </c>
      <c r="D17" s="7" t="s">
        <v>92</v>
      </c>
      <c r="E17" s="7" t="s">
        <v>93</v>
      </c>
      <c r="F17" s="22">
        <v>19418</v>
      </c>
      <c r="G17" s="22">
        <f t="shared" si="2"/>
        <v>11650.8</v>
      </c>
      <c r="H17" s="22">
        <f t="shared" si="3"/>
        <v>11650.8</v>
      </c>
      <c r="I17" s="14" t="s">
        <v>14</v>
      </c>
      <c r="J17" s="14">
        <v>1</v>
      </c>
      <c r="K17" s="14" t="s">
        <v>12</v>
      </c>
      <c r="L17" s="22">
        <v>11650.8</v>
      </c>
    </row>
    <row r="18" spans="1:12" s="5" customFormat="1" ht="21.95" hidden="1" customHeight="1" outlineLevel="2">
      <c r="A18" s="6">
        <f t="shared" si="0"/>
        <v>17</v>
      </c>
      <c r="B18" s="6" t="s">
        <v>117</v>
      </c>
      <c r="C18" s="7" t="s">
        <v>19</v>
      </c>
      <c r="D18" s="7"/>
      <c r="E18" s="7" t="s">
        <v>20</v>
      </c>
      <c r="F18" s="22">
        <f ca="1">OFFSET(F18,1,2)</f>
        <v>30000</v>
      </c>
      <c r="G18" s="22">
        <f ca="1">F18</f>
        <v>30000</v>
      </c>
      <c r="H18" s="22">
        <f t="shared" ref="H18" ca="1" si="4">G18*J18</f>
        <v>30000</v>
      </c>
      <c r="I18" s="14" t="s">
        <v>19</v>
      </c>
      <c r="J18" s="14">
        <v>1</v>
      </c>
      <c r="K18" s="14" t="s">
        <v>12</v>
      </c>
      <c r="L18" s="22">
        <v>30000</v>
      </c>
    </row>
    <row r="19" spans="1:12" s="5" customFormat="1" ht="21.95" hidden="1" customHeight="1" outlineLevel="2">
      <c r="A19" s="6">
        <f t="shared" si="0"/>
        <v>18</v>
      </c>
      <c r="B19" s="6" t="s">
        <v>117</v>
      </c>
      <c r="C19" s="7" t="s">
        <v>21</v>
      </c>
      <c r="D19" s="7"/>
      <c r="E19" s="7" t="s">
        <v>22</v>
      </c>
      <c r="F19" s="22">
        <v>5</v>
      </c>
      <c r="G19" s="22">
        <v>100</v>
      </c>
      <c r="H19" s="22">
        <f t="shared" ref="H19" si="5">G19*J19</f>
        <v>30000</v>
      </c>
      <c r="I19" s="14" t="s">
        <v>21</v>
      </c>
      <c r="J19" s="14">
        <f>60*F19</f>
        <v>300</v>
      </c>
      <c r="K19" s="14" t="s">
        <v>12</v>
      </c>
      <c r="L19" s="22">
        <v>30000</v>
      </c>
    </row>
    <row r="20" spans="1:12" s="5" customFormat="1" ht="21.95" customHeight="1" outlineLevel="1">
      <c r="A20" s="6"/>
      <c r="B20" s="15" t="s">
        <v>149</v>
      </c>
      <c r="C20" s="7"/>
      <c r="D20" s="7"/>
      <c r="E20" s="7"/>
      <c r="F20" s="22"/>
      <c r="G20" s="22"/>
      <c r="H20" s="22">
        <f>SUBTOTAL(9,H11:H19)</f>
        <v>0</v>
      </c>
      <c r="I20" s="14"/>
      <c r="J20" s="14"/>
      <c r="K20" s="14"/>
      <c r="L20" s="22">
        <v>180621.6</v>
      </c>
    </row>
    <row r="21" spans="1:12" ht="21.95" customHeight="1" outlineLevel="2">
      <c r="A21" s="3">
        <f>ROW(A19)</f>
        <v>19</v>
      </c>
      <c r="B21" s="3" t="s">
        <v>118</v>
      </c>
      <c r="C21" s="4" t="s">
        <v>8</v>
      </c>
      <c r="D21" s="4"/>
      <c r="E21" s="4" t="s">
        <v>25</v>
      </c>
      <c r="F21" s="21"/>
      <c r="G21" s="21"/>
      <c r="H21" s="21"/>
      <c r="I21" s="11" t="s">
        <v>34</v>
      </c>
      <c r="J21" s="11">
        <v>1</v>
      </c>
      <c r="K21" s="11" t="s">
        <v>10</v>
      </c>
      <c r="L21" s="21"/>
    </row>
    <row r="22" spans="1:12" s="5" customFormat="1" ht="21.95" hidden="1" customHeight="1" outlineLevel="2">
      <c r="A22" s="6">
        <f t="shared" si="0"/>
        <v>21</v>
      </c>
      <c r="B22" s="6" t="s">
        <v>118</v>
      </c>
      <c r="C22" s="7" t="s">
        <v>11</v>
      </c>
      <c r="D22" s="7" t="s">
        <v>64</v>
      </c>
      <c r="E22" s="7" t="s">
        <v>65</v>
      </c>
      <c r="F22" s="22">
        <v>155000</v>
      </c>
      <c r="G22" s="22">
        <f t="shared" ref="G22:G24" si="6">0.6*F22</f>
        <v>93000</v>
      </c>
      <c r="H22" s="22">
        <f t="shared" ref="H22:H24" si="7">G22*J22</f>
        <v>93000</v>
      </c>
      <c r="I22" s="14" t="s">
        <v>66</v>
      </c>
      <c r="J22" s="14">
        <v>1</v>
      </c>
      <c r="K22" s="14" t="s">
        <v>12</v>
      </c>
      <c r="L22" s="22">
        <v>93000</v>
      </c>
    </row>
    <row r="23" spans="1:12" s="5" customFormat="1" ht="21.95" hidden="1" customHeight="1" outlineLevel="2">
      <c r="A23" s="6">
        <f t="shared" si="0"/>
        <v>22</v>
      </c>
      <c r="B23" s="6" t="s">
        <v>118</v>
      </c>
      <c r="C23" s="7" t="s">
        <v>13</v>
      </c>
      <c r="D23" s="7" t="s">
        <v>90</v>
      </c>
      <c r="E23" s="7" t="s">
        <v>91</v>
      </c>
      <c r="F23" s="22">
        <v>33910</v>
      </c>
      <c r="G23" s="22">
        <f t="shared" si="6"/>
        <v>20346</v>
      </c>
      <c r="H23" s="22">
        <f t="shared" si="7"/>
        <v>61038</v>
      </c>
      <c r="I23" s="14" t="s">
        <v>14</v>
      </c>
      <c r="J23" s="14">
        <v>3</v>
      </c>
      <c r="K23" s="14" t="s">
        <v>12</v>
      </c>
      <c r="L23" s="22">
        <v>61038</v>
      </c>
    </row>
    <row r="24" spans="1:12" s="5" customFormat="1" ht="21.95" hidden="1" customHeight="1" outlineLevel="2">
      <c r="A24" s="6">
        <f t="shared" si="0"/>
        <v>23</v>
      </c>
      <c r="B24" s="6" t="s">
        <v>118</v>
      </c>
      <c r="C24" s="7" t="s">
        <v>100</v>
      </c>
      <c r="D24" s="7" t="s">
        <v>103</v>
      </c>
      <c r="E24" s="7" t="s">
        <v>104</v>
      </c>
      <c r="F24" s="22">
        <v>238152</v>
      </c>
      <c r="G24" s="22">
        <f t="shared" si="6"/>
        <v>142891.19999999998</v>
      </c>
      <c r="H24" s="22">
        <f t="shared" si="7"/>
        <v>285782.39999999997</v>
      </c>
      <c r="I24" s="14" t="s">
        <v>14</v>
      </c>
      <c r="J24" s="14">
        <v>2</v>
      </c>
      <c r="K24" s="14" t="s">
        <v>12</v>
      </c>
      <c r="L24" s="22">
        <v>285782.39999999997</v>
      </c>
    </row>
    <row r="25" spans="1:12" s="5" customFormat="1" ht="21.95" hidden="1" customHeight="1" outlineLevel="2">
      <c r="A25" s="6">
        <f t="shared" si="0"/>
        <v>24</v>
      </c>
      <c r="B25" s="6" t="s">
        <v>118</v>
      </c>
      <c r="C25" s="7" t="s">
        <v>16</v>
      </c>
      <c r="D25" s="7" t="s">
        <v>86</v>
      </c>
      <c r="E25" s="7" t="s">
        <v>87</v>
      </c>
      <c r="F25" s="22">
        <v>90000</v>
      </c>
      <c r="G25" s="22">
        <f t="shared" ref="G25:G26" si="8">F25</f>
        <v>90000</v>
      </c>
      <c r="H25" s="22">
        <f t="shared" ref="H25:H29" si="9">G25*J25</f>
        <v>90000</v>
      </c>
      <c r="I25" s="14" t="s">
        <v>17</v>
      </c>
      <c r="J25" s="14">
        <v>1</v>
      </c>
      <c r="K25" s="14" t="s">
        <v>12</v>
      </c>
      <c r="L25" s="22">
        <v>90000</v>
      </c>
    </row>
    <row r="26" spans="1:12" s="5" customFormat="1" ht="21.95" hidden="1" customHeight="1" outlineLevel="2">
      <c r="A26" s="6">
        <f t="shared" si="0"/>
        <v>25</v>
      </c>
      <c r="B26" s="6" t="s">
        <v>118</v>
      </c>
      <c r="C26" s="7" t="s">
        <v>18</v>
      </c>
      <c r="D26" s="7" t="s">
        <v>94</v>
      </c>
      <c r="E26" s="7" t="s">
        <v>95</v>
      </c>
      <c r="F26" s="22">
        <v>6018</v>
      </c>
      <c r="G26" s="22">
        <f t="shared" si="8"/>
        <v>6018</v>
      </c>
      <c r="H26" s="22">
        <f t="shared" si="9"/>
        <v>36108</v>
      </c>
      <c r="I26" s="14" t="s">
        <v>96</v>
      </c>
      <c r="J26" s="14">
        <v>6</v>
      </c>
      <c r="K26" s="14" t="s">
        <v>12</v>
      </c>
      <c r="L26" s="22">
        <v>36108</v>
      </c>
    </row>
    <row r="27" spans="1:12" s="5" customFormat="1" ht="21.95" hidden="1" customHeight="1" outlineLevel="2">
      <c r="A27" s="6">
        <f t="shared" si="0"/>
        <v>26</v>
      </c>
      <c r="B27" s="6" t="s">
        <v>118</v>
      </c>
      <c r="C27" s="7" t="s">
        <v>26</v>
      </c>
      <c r="D27" s="7" t="s">
        <v>84</v>
      </c>
      <c r="E27" s="7" t="s">
        <v>85</v>
      </c>
      <c r="F27" s="22">
        <v>589</v>
      </c>
      <c r="G27" s="22">
        <f t="shared" ref="G27:G28" si="10">0.6*F27</f>
        <v>353.4</v>
      </c>
      <c r="H27" s="22">
        <f t="shared" si="9"/>
        <v>2120.3999999999996</v>
      </c>
      <c r="I27" s="14" t="s">
        <v>14</v>
      </c>
      <c r="J27" s="14">
        <v>6</v>
      </c>
      <c r="K27" s="14" t="s">
        <v>12</v>
      </c>
      <c r="L27" s="22">
        <v>2120.3999999999996</v>
      </c>
    </row>
    <row r="28" spans="1:12" s="5" customFormat="1" ht="21.95" hidden="1" customHeight="1" outlineLevel="2">
      <c r="A28" s="6">
        <f t="shared" si="0"/>
        <v>27</v>
      </c>
      <c r="B28" s="6" t="s">
        <v>118</v>
      </c>
      <c r="C28" s="7" t="s">
        <v>24</v>
      </c>
      <c r="D28" s="7" t="s">
        <v>71</v>
      </c>
      <c r="E28" s="7" t="s">
        <v>72</v>
      </c>
      <c r="F28" s="22">
        <v>975</v>
      </c>
      <c r="G28" s="22">
        <f t="shared" si="10"/>
        <v>585</v>
      </c>
      <c r="H28" s="22">
        <f t="shared" si="9"/>
        <v>1170</v>
      </c>
      <c r="I28" s="14" t="s">
        <v>14</v>
      </c>
      <c r="J28" s="14">
        <v>2</v>
      </c>
      <c r="K28" s="14" t="s">
        <v>12</v>
      </c>
      <c r="L28" s="22">
        <v>1170</v>
      </c>
    </row>
    <row r="29" spans="1:12" s="5" customFormat="1" ht="21.95" hidden="1" customHeight="1" outlineLevel="2">
      <c r="A29" s="6">
        <f t="shared" si="0"/>
        <v>28</v>
      </c>
      <c r="B29" s="6" t="s">
        <v>118</v>
      </c>
      <c r="C29" s="7" t="s">
        <v>27</v>
      </c>
      <c r="D29" s="7" t="s">
        <v>112</v>
      </c>
      <c r="E29" s="7" t="s">
        <v>113</v>
      </c>
      <c r="F29" s="22">
        <v>5538</v>
      </c>
      <c r="G29" s="22">
        <f>F29</f>
        <v>5538</v>
      </c>
      <c r="H29" s="22">
        <f t="shared" si="9"/>
        <v>77532</v>
      </c>
      <c r="I29" s="14" t="s">
        <v>96</v>
      </c>
      <c r="J29" s="14">
        <v>14</v>
      </c>
      <c r="K29" s="14" t="s">
        <v>97</v>
      </c>
      <c r="L29" s="22">
        <v>77532</v>
      </c>
    </row>
    <row r="30" spans="1:12" s="5" customFormat="1" ht="21.95" hidden="1" customHeight="1" outlineLevel="2">
      <c r="A30" s="6">
        <f t="shared" si="0"/>
        <v>29</v>
      </c>
      <c r="B30" s="6" t="s">
        <v>118</v>
      </c>
      <c r="C30" s="7" t="s">
        <v>19</v>
      </c>
      <c r="D30" s="7"/>
      <c r="E30" s="7" t="s">
        <v>20</v>
      </c>
      <c r="F30" s="22">
        <f ca="1">OFFSET(F30,1,2)</f>
        <v>42000</v>
      </c>
      <c r="G30" s="22">
        <f ca="1">F30</f>
        <v>42000</v>
      </c>
      <c r="H30" s="22">
        <f t="shared" ref="H30" ca="1" si="11">G30*J30</f>
        <v>42000</v>
      </c>
      <c r="I30" s="14" t="s">
        <v>19</v>
      </c>
      <c r="J30" s="14">
        <v>1</v>
      </c>
      <c r="K30" s="14" t="s">
        <v>12</v>
      </c>
      <c r="L30" s="22">
        <v>42000</v>
      </c>
    </row>
    <row r="31" spans="1:12" s="5" customFormat="1" ht="21.95" hidden="1" customHeight="1" outlineLevel="2">
      <c r="A31" s="6">
        <f t="shared" si="0"/>
        <v>30</v>
      </c>
      <c r="B31" s="6" t="s">
        <v>118</v>
      </c>
      <c r="C31" s="7" t="s">
        <v>21</v>
      </c>
      <c r="D31" s="7"/>
      <c r="E31" s="7" t="s">
        <v>22</v>
      </c>
      <c r="F31" s="22">
        <v>7</v>
      </c>
      <c r="G31" s="22">
        <v>100</v>
      </c>
      <c r="H31" s="22">
        <f t="shared" ref="H31" si="12">G31*J31</f>
        <v>42000</v>
      </c>
      <c r="I31" s="14" t="s">
        <v>21</v>
      </c>
      <c r="J31" s="14">
        <f>60*F31</f>
        <v>420</v>
      </c>
      <c r="K31" s="14" t="s">
        <v>12</v>
      </c>
      <c r="L31" s="22">
        <v>42000</v>
      </c>
    </row>
    <row r="32" spans="1:12" s="5" customFormat="1" ht="21.95" customHeight="1" outlineLevel="1">
      <c r="A32" s="6"/>
      <c r="B32" s="15" t="s">
        <v>150</v>
      </c>
      <c r="C32" s="7"/>
      <c r="D32" s="7"/>
      <c r="E32" s="7"/>
      <c r="F32" s="22"/>
      <c r="G32" s="22"/>
      <c r="H32" s="22">
        <f>SUBTOTAL(9,H21:H31)</f>
        <v>0</v>
      </c>
      <c r="I32" s="14"/>
      <c r="J32" s="14"/>
      <c r="K32" s="14"/>
      <c r="L32" s="22">
        <v>730750.79999999993</v>
      </c>
    </row>
    <row r="33" spans="1:12" ht="21.95" customHeight="1" outlineLevel="2">
      <c r="A33" s="3">
        <f>ROW(A31)</f>
        <v>31</v>
      </c>
      <c r="B33" s="3" t="s">
        <v>119</v>
      </c>
      <c r="C33" s="4" t="s">
        <v>8</v>
      </c>
      <c r="D33" s="4"/>
      <c r="E33" s="4" t="s">
        <v>147</v>
      </c>
      <c r="F33" s="21"/>
      <c r="G33" s="21"/>
      <c r="H33" s="21"/>
      <c r="I33" s="11" t="s">
        <v>34</v>
      </c>
      <c r="J33" s="11">
        <v>1</v>
      </c>
      <c r="K33" s="11" t="s">
        <v>10</v>
      </c>
      <c r="L33" s="21"/>
    </row>
    <row r="34" spans="1:12" s="5" customFormat="1" ht="21.95" hidden="1" customHeight="1" outlineLevel="2">
      <c r="A34" s="6">
        <f t="shared" si="0"/>
        <v>33</v>
      </c>
      <c r="B34" s="6" t="s">
        <v>119</v>
      </c>
      <c r="C34" s="7" t="s">
        <v>11</v>
      </c>
      <c r="D34" s="7" t="s">
        <v>54</v>
      </c>
      <c r="E34" s="7" t="s">
        <v>55</v>
      </c>
      <c r="F34" s="22">
        <v>65570</v>
      </c>
      <c r="G34" s="22">
        <f t="shared" ref="G34:G39" si="13">0.6*F34</f>
        <v>39342</v>
      </c>
      <c r="H34" s="22">
        <f t="shared" ref="H34:H39" si="14">G34*J34</f>
        <v>39342</v>
      </c>
      <c r="I34" s="14" t="s">
        <v>66</v>
      </c>
      <c r="J34" s="14">
        <v>1</v>
      </c>
      <c r="K34" s="14" t="s">
        <v>12</v>
      </c>
      <c r="L34" s="22">
        <v>39342</v>
      </c>
    </row>
    <row r="35" spans="1:12" s="5" customFormat="1" ht="21.95" hidden="1" customHeight="1" outlineLevel="2">
      <c r="A35" s="6">
        <f t="shared" si="0"/>
        <v>34</v>
      </c>
      <c r="B35" s="6" t="s">
        <v>119</v>
      </c>
      <c r="C35" s="7" t="s">
        <v>24</v>
      </c>
      <c r="D35" s="7" t="s">
        <v>73</v>
      </c>
      <c r="E35" s="7" t="s">
        <v>74</v>
      </c>
      <c r="F35" s="22">
        <v>2337</v>
      </c>
      <c r="G35" s="22">
        <f t="shared" si="13"/>
        <v>1402.2</v>
      </c>
      <c r="H35" s="22">
        <f t="shared" si="14"/>
        <v>1402.2</v>
      </c>
      <c r="I35" s="14" t="s">
        <v>14</v>
      </c>
      <c r="J35" s="14">
        <v>1</v>
      </c>
      <c r="K35" s="14" t="s">
        <v>12</v>
      </c>
      <c r="L35" s="22">
        <v>1402.2</v>
      </c>
    </row>
    <row r="36" spans="1:12" s="5" customFormat="1" ht="21.95" hidden="1" customHeight="1" outlineLevel="2">
      <c r="A36" s="6">
        <f t="shared" si="0"/>
        <v>35</v>
      </c>
      <c r="B36" s="6" t="s">
        <v>119</v>
      </c>
      <c r="C36" s="7" t="s">
        <v>24</v>
      </c>
      <c r="D36" s="7" t="s">
        <v>75</v>
      </c>
      <c r="E36" s="7" t="s">
        <v>76</v>
      </c>
      <c r="F36" s="22">
        <v>2429</v>
      </c>
      <c r="G36" s="22">
        <f t="shared" si="13"/>
        <v>1457.3999999999999</v>
      </c>
      <c r="H36" s="22">
        <f t="shared" si="14"/>
        <v>5829.5999999999995</v>
      </c>
      <c r="I36" s="14" t="s">
        <v>14</v>
      </c>
      <c r="J36" s="14">
        <v>4</v>
      </c>
      <c r="K36" s="14" t="s">
        <v>12</v>
      </c>
      <c r="L36" s="22">
        <v>5829.5999999999995</v>
      </c>
    </row>
    <row r="37" spans="1:12" s="5" customFormat="1" ht="21.95" hidden="1" customHeight="1" outlineLevel="2">
      <c r="A37" s="6">
        <f t="shared" si="0"/>
        <v>36</v>
      </c>
      <c r="B37" s="6" t="s">
        <v>119</v>
      </c>
      <c r="C37" s="7" t="s">
        <v>24</v>
      </c>
      <c r="D37" s="7" t="s">
        <v>77</v>
      </c>
      <c r="E37" s="7" t="s">
        <v>78</v>
      </c>
      <c r="F37" s="22">
        <v>2606</v>
      </c>
      <c r="G37" s="22">
        <f t="shared" si="13"/>
        <v>1563.6</v>
      </c>
      <c r="H37" s="22">
        <f t="shared" si="14"/>
        <v>1563.6</v>
      </c>
      <c r="I37" s="14" t="s">
        <v>14</v>
      </c>
      <c r="J37" s="14">
        <v>1</v>
      </c>
      <c r="K37" s="14" t="s">
        <v>12</v>
      </c>
      <c r="L37" s="22">
        <v>1563.6</v>
      </c>
    </row>
    <row r="38" spans="1:12" s="5" customFormat="1" ht="21.95" hidden="1" customHeight="1" outlineLevel="2">
      <c r="A38" s="6">
        <f t="shared" si="0"/>
        <v>37</v>
      </c>
      <c r="B38" s="6" t="s">
        <v>119</v>
      </c>
      <c r="C38" s="7" t="s">
        <v>24</v>
      </c>
      <c r="D38" s="7" t="s">
        <v>81</v>
      </c>
      <c r="E38" s="7" t="s">
        <v>82</v>
      </c>
      <c r="F38" s="22">
        <v>3641</v>
      </c>
      <c r="G38" s="22">
        <f t="shared" si="13"/>
        <v>2184.6</v>
      </c>
      <c r="H38" s="22">
        <f t="shared" si="14"/>
        <v>2184.6</v>
      </c>
      <c r="I38" s="14" t="s">
        <v>14</v>
      </c>
      <c r="J38" s="14">
        <v>1</v>
      </c>
      <c r="K38" s="14" t="s">
        <v>12</v>
      </c>
      <c r="L38" s="22">
        <v>2184.6</v>
      </c>
    </row>
    <row r="39" spans="1:12" s="5" customFormat="1" ht="21.95" hidden="1" customHeight="1" outlineLevel="2">
      <c r="A39" s="6">
        <f t="shared" si="0"/>
        <v>38</v>
      </c>
      <c r="B39" s="6" t="s">
        <v>119</v>
      </c>
      <c r="C39" s="7" t="s">
        <v>24</v>
      </c>
      <c r="D39" s="7" t="s">
        <v>79</v>
      </c>
      <c r="E39" s="7" t="s">
        <v>80</v>
      </c>
      <c r="F39" s="22">
        <v>2807</v>
      </c>
      <c r="G39" s="22">
        <f t="shared" si="13"/>
        <v>1684.2</v>
      </c>
      <c r="H39" s="22">
        <f t="shared" si="14"/>
        <v>1684.2</v>
      </c>
      <c r="I39" s="14" t="s">
        <v>14</v>
      </c>
      <c r="J39" s="14">
        <v>1</v>
      </c>
      <c r="K39" s="14" t="s">
        <v>12</v>
      </c>
      <c r="L39" s="22">
        <v>1684.2</v>
      </c>
    </row>
    <row r="40" spans="1:12" s="5" customFormat="1" ht="21.95" hidden="1" customHeight="1" outlineLevel="2">
      <c r="A40" s="6">
        <f t="shared" si="0"/>
        <v>39</v>
      </c>
      <c r="B40" s="6" t="s">
        <v>119</v>
      </c>
      <c r="C40" s="7" t="s">
        <v>19</v>
      </c>
      <c r="D40" s="7"/>
      <c r="E40" s="7" t="s">
        <v>20</v>
      </c>
      <c r="F40" s="22">
        <f ca="1">OFFSET(F40,1,2)</f>
        <v>18000</v>
      </c>
      <c r="G40" s="22">
        <f ca="1">F40</f>
        <v>18000</v>
      </c>
      <c r="H40" s="22">
        <f t="shared" ref="H40" ca="1" si="15">G40*J40</f>
        <v>18000</v>
      </c>
      <c r="I40" s="14" t="s">
        <v>19</v>
      </c>
      <c r="J40" s="14">
        <v>1</v>
      </c>
      <c r="K40" s="14" t="s">
        <v>12</v>
      </c>
      <c r="L40" s="22">
        <v>18000</v>
      </c>
    </row>
    <row r="41" spans="1:12" s="5" customFormat="1" ht="21.95" hidden="1" customHeight="1" outlineLevel="2">
      <c r="A41" s="6">
        <f t="shared" si="0"/>
        <v>40</v>
      </c>
      <c r="B41" s="6" t="s">
        <v>119</v>
      </c>
      <c r="C41" s="7" t="s">
        <v>21</v>
      </c>
      <c r="D41" s="7"/>
      <c r="E41" s="7" t="s">
        <v>22</v>
      </c>
      <c r="F41" s="22">
        <v>3</v>
      </c>
      <c r="G41" s="22">
        <v>100</v>
      </c>
      <c r="H41" s="22">
        <f t="shared" ref="H41" si="16">G41*J41</f>
        <v>18000</v>
      </c>
      <c r="I41" s="14" t="s">
        <v>21</v>
      </c>
      <c r="J41" s="14">
        <f>60*F41</f>
        <v>180</v>
      </c>
      <c r="K41" s="14" t="s">
        <v>12</v>
      </c>
      <c r="L41" s="22">
        <v>18000</v>
      </c>
    </row>
    <row r="42" spans="1:12" s="5" customFormat="1" ht="21.95" customHeight="1" outlineLevel="1">
      <c r="A42" s="6"/>
      <c r="B42" s="15" t="s">
        <v>151</v>
      </c>
      <c r="C42" s="7"/>
      <c r="D42" s="7"/>
      <c r="E42" s="7"/>
      <c r="F42" s="22"/>
      <c r="G42" s="22"/>
      <c r="H42" s="22">
        <f>SUBTOTAL(9,H33:H41)</f>
        <v>0</v>
      </c>
      <c r="I42" s="14"/>
      <c r="J42" s="14"/>
      <c r="K42" s="14"/>
      <c r="L42" s="22">
        <v>88006.199999999983</v>
      </c>
    </row>
    <row r="43" spans="1:12" ht="21.95" customHeight="1" outlineLevel="2">
      <c r="A43" s="3">
        <f>ROW(A41)</f>
        <v>41</v>
      </c>
      <c r="B43" s="3" t="s">
        <v>120</v>
      </c>
      <c r="C43" s="4" t="s">
        <v>8</v>
      </c>
      <c r="D43" s="4"/>
      <c r="E43" s="4" t="s">
        <v>146</v>
      </c>
      <c r="F43" s="21"/>
      <c r="G43" s="21"/>
      <c r="H43" s="21"/>
      <c r="I43" s="11" t="s">
        <v>34</v>
      </c>
      <c r="J43" s="11">
        <v>1</v>
      </c>
      <c r="K43" s="11" t="s">
        <v>10</v>
      </c>
      <c r="L43" s="21"/>
    </row>
    <row r="44" spans="1:12" s="5" customFormat="1" ht="21.95" hidden="1" customHeight="1" outlineLevel="2">
      <c r="A44" s="6">
        <f t="shared" si="0"/>
        <v>43</v>
      </c>
      <c r="B44" s="6" t="s">
        <v>120</v>
      </c>
      <c r="C44" s="7" t="s">
        <v>11</v>
      </c>
      <c r="D44" s="7" t="s">
        <v>58</v>
      </c>
      <c r="E44" s="7" t="s">
        <v>59</v>
      </c>
      <c r="F44" s="22">
        <v>14695</v>
      </c>
      <c r="G44" s="22">
        <f t="shared" ref="G44:G47" si="17">0.6*F44</f>
        <v>8817</v>
      </c>
      <c r="H44" s="22">
        <f t="shared" ref="H44:H47" si="18">G44*J44</f>
        <v>8817</v>
      </c>
      <c r="I44" s="14" t="s">
        <v>66</v>
      </c>
      <c r="J44" s="14">
        <v>1</v>
      </c>
      <c r="K44" s="14" t="s">
        <v>12</v>
      </c>
      <c r="L44" s="22">
        <v>8817</v>
      </c>
    </row>
    <row r="45" spans="1:12" s="5" customFormat="1" ht="21.95" hidden="1" customHeight="1" outlineLevel="2">
      <c r="A45" s="6">
        <f t="shared" si="0"/>
        <v>44</v>
      </c>
      <c r="B45" s="6" t="s">
        <v>120</v>
      </c>
      <c r="C45" s="7" t="s">
        <v>28</v>
      </c>
      <c r="D45" s="7" t="s">
        <v>38</v>
      </c>
      <c r="E45" s="7" t="s">
        <v>39</v>
      </c>
      <c r="F45" s="22">
        <v>3372</v>
      </c>
      <c r="G45" s="22">
        <f t="shared" si="17"/>
        <v>2023.1999999999998</v>
      </c>
      <c r="H45" s="22">
        <f t="shared" si="18"/>
        <v>2023.1999999999998</v>
      </c>
      <c r="I45" s="14" t="s">
        <v>14</v>
      </c>
      <c r="J45" s="14">
        <v>1</v>
      </c>
      <c r="K45" s="14" t="s">
        <v>12</v>
      </c>
      <c r="L45" s="22">
        <v>2023.1999999999998</v>
      </c>
    </row>
    <row r="46" spans="1:12" s="5" customFormat="1" ht="21.95" hidden="1" customHeight="1" outlineLevel="2">
      <c r="A46" s="6">
        <f t="shared" si="0"/>
        <v>45</v>
      </c>
      <c r="B46" s="6" t="s">
        <v>120</v>
      </c>
      <c r="C46" s="7" t="s">
        <v>24</v>
      </c>
      <c r="D46" s="7" t="s">
        <v>67</v>
      </c>
      <c r="E46" s="7" t="s">
        <v>68</v>
      </c>
      <c r="F46" s="22">
        <v>783</v>
      </c>
      <c r="G46" s="22">
        <f t="shared" si="17"/>
        <v>469.79999999999995</v>
      </c>
      <c r="H46" s="22">
        <f t="shared" si="18"/>
        <v>4698</v>
      </c>
      <c r="I46" s="14" t="s">
        <v>14</v>
      </c>
      <c r="J46" s="14">
        <v>10</v>
      </c>
      <c r="K46" s="14" t="s">
        <v>12</v>
      </c>
      <c r="L46" s="22">
        <v>4698</v>
      </c>
    </row>
    <row r="47" spans="1:12" s="5" customFormat="1" ht="21.95" hidden="1" customHeight="1" outlineLevel="2">
      <c r="A47" s="6">
        <f t="shared" si="0"/>
        <v>46</v>
      </c>
      <c r="B47" s="6" t="s">
        <v>120</v>
      </c>
      <c r="C47" s="7" t="s">
        <v>29</v>
      </c>
      <c r="D47" s="7" t="s">
        <v>30</v>
      </c>
      <c r="E47" s="7" t="s">
        <v>53</v>
      </c>
      <c r="F47" s="22">
        <v>13622</v>
      </c>
      <c r="G47" s="22">
        <f t="shared" si="17"/>
        <v>8173.2</v>
      </c>
      <c r="H47" s="22">
        <f t="shared" si="18"/>
        <v>8173.2</v>
      </c>
      <c r="I47" s="14" t="s">
        <v>14</v>
      </c>
      <c r="J47" s="14">
        <v>1</v>
      </c>
      <c r="K47" s="14" t="s">
        <v>12</v>
      </c>
      <c r="L47" s="22">
        <v>8173.2</v>
      </c>
    </row>
    <row r="48" spans="1:12" s="5" customFormat="1" ht="21.95" hidden="1" customHeight="1" outlineLevel="2">
      <c r="A48" s="6">
        <f t="shared" si="0"/>
        <v>47</v>
      </c>
      <c r="B48" s="6" t="s">
        <v>120</v>
      </c>
      <c r="C48" s="7" t="s">
        <v>19</v>
      </c>
      <c r="D48" s="7"/>
      <c r="E48" s="7" t="s">
        <v>20</v>
      </c>
      <c r="F48" s="22">
        <f ca="1">OFFSET(F48,1,2)</f>
        <v>4200</v>
      </c>
      <c r="G48" s="22">
        <f ca="1">F48</f>
        <v>4200</v>
      </c>
      <c r="H48" s="22">
        <f t="shared" ref="H48" ca="1" si="19">G48*J48</f>
        <v>4200</v>
      </c>
      <c r="I48" s="14" t="s">
        <v>19</v>
      </c>
      <c r="J48" s="14">
        <v>1</v>
      </c>
      <c r="K48" s="14" t="s">
        <v>12</v>
      </c>
      <c r="L48" s="22">
        <v>4200</v>
      </c>
    </row>
    <row r="49" spans="1:12" s="5" customFormat="1" ht="21.95" hidden="1" customHeight="1" outlineLevel="2">
      <c r="A49" s="6">
        <f t="shared" si="0"/>
        <v>48</v>
      </c>
      <c r="B49" s="6" t="s">
        <v>120</v>
      </c>
      <c r="C49" s="7" t="s">
        <v>21</v>
      </c>
      <c r="D49" s="7"/>
      <c r="E49" s="7" t="s">
        <v>22</v>
      </c>
      <c r="F49" s="22">
        <v>0.7</v>
      </c>
      <c r="G49" s="22">
        <v>100</v>
      </c>
      <c r="H49" s="22">
        <f t="shared" ref="H49" si="20">G49*J49</f>
        <v>4200</v>
      </c>
      <c r="I49" s="14" t="s">
        <v>21</v>
      </c>
      <c r="J49" s="14">
        <f>60*F49</f>
        <v>42</v>
      </c>
      <c r="K49" s="14" t="s">
        <v>12</v>
      </c>
      <c r="L49" s="22">
        <v>4200</v>
      </c>
    </row>
    <row r="50" spans="1:12" s="5" customFormat="1" ht="21.95" customHeight="1" outlineLevel="1">
      <c r="A50" s="6"/>
      <c r="B50" s="15" t="s">
        <v>152</v>
      </c>
      <c r="C50" s="7"/>
      <c r="D50" s="7"/>
      <c r="E50" s="7"/>
      <c r="F50" s="22"/>
      <c r="G50" s="22"/>
      <c r="H50" s="22">
        <f>SUBTOTAL(9,H43:H49)</f>
        <v>0</v>
      </c>
      <c r="I50" s="14"/>
      <c r="J50" s="14"/>
      <c r="K50" s="14"/>
      <c r="L50" s="22">
        <v>32111.4</v>
      </c>
    </row>
    <row r="51" spans="1:12" ht="21.95" customHeight="1" outlineLevel="2">
      <c r="A51" s="3">
        <f>ROW(A49)</f>
        <v>49</v>
      </c>
      <c r="B51" s="3" t="s">
        <v>121</v>
      </c>
      <c r="C51" s="4" t="s">
        <v>8</v>
      </c>
      <c r="D51" s="4"/>
      <c r="E51" s="4" t="s">
        <v>146</v>
      </c>
      <c r="F51" s="21"/>
      <c r="G51" s="21"/>
      <c r="H51" s="21"/>
      <c r="I51" s="11" t="s">
        <v>34</v>
      </c>
      <c r="J51" s="11">
        <v>1</v>
      </c>
      <c r="K51" s="11" t="s">
        <v>10</v>
      </c>
      <c r="L51" s="21"/>
    </row>
    <row r="52" spans="1:12" s="5" customFormat="1" ht="21.95" hidden="1" customHeight="1" outlineLevel="2">
      <c r="A52" s="6">
        <f t="shared" si="0"/>
        <v>51</v>
      </c>
      <c r="B52" s="6" t="s">
        <v>121</v>
      </c>
      <c r="C52" s="7" t="s">
        <v>11</v>
      </c>
      <c r="D52" s="7" t="s">
        <v>58</v>
      </c>
      <c r="E52" s="7" t="s">
        <v>59</v>
      </c>
      <c r="F52" s="22">
        <v>14695</v>
      </c>
      <c r="G52" s="22">
        <f t="shared" ref="G52:G55" si="21">0.6*F52</f>
        <v>8817</v>
      </c>
      <c r="H52" s="22">
        <f t="shared" ref="H52:H55" si="22">G52*J52</f>
        <v>8817</v>
      </c>
      <c r="I52" s="14" t="s">
        <v>66</v>
      </c>
      <c r="J52" s="14">
        <v>1</v>
      </c>
      <c r="K52" s="14" t="s">
        <v>12</v>
      </c>
      <c r="L52" s="22">
        <v>8817</v>
      </c>
    </row>
    <row r="53" spans="1:12" s="5" customFormat="1" ht="21.95" hidden="1" customHeight="1" outlineLevel="2">
      <c r="A53" s="6">
        <f t="shared" si="0"/>
        <v>52</v>
      </c>
      <c r="B53" s="6" t="s">
        <v>121</v>
      </c>
      <c r="C53" s="7" t="s">
        <v>28</v>
      </c>
      <c r="D53" s="7" t="s">
        <v>38</v>
      </c>
      <c r="E53" s="7" t="s">
        <v>39</v>
      </c>
      <c r="F53" s="22">
        <v>3372</v>
      </c>
      <c r="G53" s="22">
        <f t="shared" si="21"/>
        <v>2023.1999999999998</v>
      </c>
      <c r="H53" s="22">
        <f t="shared" si="22"/>
        <v>2023.1999999999998</v>
      </c>
      <c r="I53" s="14" t="s">
        <v>14</v>
      </c>
      <c r="J53" s="14">
        <v>1</v>
      </c>
      <c r="K53" s="14" t="s">
        <v>12</v>
      </c>
      <c r="L53" s="22">
        <v>2023.1999999999998</v>
      </c>
    </row>
    <row r="54" spans="1:12" s="5" customFormat="1" ht="21.95" hidden="1" customHeight="1" outlineLevel="2">
      <c r="A54" s="6">
        <f t="shared" si="0"/>
        <v>53</v>
      </c>
      <c r="B54" s="6" t="s">
        <v>121</v>
      </c>
      <c r="C54" s="7" t="s">
        <v>24</v>
      </c>
      <c r="D54" s="7" t="s">
        <v>67</v>
      </c>
      <c r="E54" s="7" t="s">
        <v>68</v>
      </c>
      <c r="F54" s="22">
        <v>783</v>
      </c>
      <c r="G54" s="22">
        <f t="shared" si="21"/>
        <v>469.79999999999995</v>
      </c>
      <c r="H54" s="22">
        <f t="shared" si="22"/>
        <v>2818.7999999999997</v>
      </c>
      <c r="I54" s="14" t="s">
        <v>14</v>
      </c>
      <c r="J54" s="14">
        <v>6</v>
      </c>
      <c r="K54" s="14" t="s">
        <v>12</v>
      </c>
      <c r="L54" s="22">
        <v>2818.7999999999997</v>
      </c>
    </row>
    <row r="55" spans="1:12" s="5" customFormat="1" ht="21.95" hidden="1" customHeight="1" outlineLevel="2">
      <c r="A55" s="6">
        <f t="shared" si="0"/>
        <v>54</v>
      </c>
      <c r="B55" s="6" t="s">
        <v>121</v>
      </c>
      <c r="C55" s="7" t="s">
        <v>29</v>
      </c>
      <c r="D55" s="7" t="s">
        <v>30</v>
      </c>
      <c r="E55" s="7" t="s">
        <v>53</v>
      </c>
      <c r="F55" s="22">
        <v>13622</v>
      </c>
      <c r="G55" s="22">
        <f t="shared" si="21"/>
        <v>8173.2</v>
      </c>
      <c r="H55" s="22">
        <f t="shared" si="22"/>
        <v>32692.799999999999</v>
      </c>
      <c r="I55" s="14" t="s">
        <v>14</v>
      </c>
      <c r="J55" s="14">
        <v>4</v>
      </c>
      <c r="K55" s="14" t="s">
        <v>12</v>
      </c>
      <c r="L55" s="22">
        <v>32692.799999999999</v>
      </c>
    </row>
    <row r="56" spans="1:12" s="5" customFormat="1" ht="21.95" hidden="1" customHeight="1" outlineLevel="2">
      <c r="A56" s="6">
        <f t="shared" si="0"/>
        <v>55</v>
      </c>
      <c r="B56" s="6" t="s">
        <v>121</v>
      </c>
      <c r="C56" s="7" t="s">
        <v>19</v>
      </c>
      <c r="D56" s="7"/>
      <c r="E56" s="7" t="s">
        <v>20</v>
      </c>
      <c r="F56" s="22">
        <f ca="1">OFFSET(F56,1,2)</f>
        <v>4200</v>
      </c>
      <c r="G56" s="22">
        <f ca="1">F56</f>
        <v>4200</v>
      </c>
      <c r="H56" s="22">
        <f t="shared" ref="H56" ca="1" si="23">G56*J56</f>
        <v>4200</v>
      </c>
      <c r="I56" s="14" t="s">
        <v>19</v>
      </c>
      <c r="J56" s="14">
        <v>1</v>
      </c>
      <c r="K56" s="14" t="s">
        <v>12</v>
      </c>
      <c r="L56" s="22">
        <v>4200</v>
      </c>
    </row>
    <row r="57" spans="1:12" s="5" customFormat="1" ht="21.95" hidden="1" customHeight="1" outlineLevel="2">
      <c r="A57" s="6">
        <f t="shared" si="0"/>
        <v>56</v>
      </c>
      <c r="B57" s="6" t="s">
        <v>121</v>
      </c>
      <c r="C57" s="7" t="s">
        <v>21</v>
      </c>
      <c r="D57" s="7"/>
      <c r="E57" s="7" t="s">
        <v>22</v>
      </c>
      <c r="F57" s="22">
        <v>0.7</v>
      </c>
      <c r="G57" s="22">
        <v>100</v>
      </c>
      <c r="H57" s="22">
        <f t="shared" ref="H57" si="24">G57*J57</f>
        <v>4200</v>
      </c>
      <c r="I57" s="14" t="s">
        <v>21</v>
      </c>
      <c r="J57" s="14">
        <f>60*F57</f>
        <v>42</v>
      </c>
      <c r="K57" s="14" t="s">
        <v>12</v>
      </c>
      <c r="L57" s="22">
        <v>4200</v>
      </c>
    </row>
    <row r="58" spans="1:12" s="5" customFormat="1" ht="21.95" customHeight="1" outlineLevel="1">
      <c r="A58" s="6"/>
      <c r="B58" s="15" t="s">
        <v>153</v>
      </c>
      <c r="C58" s="7"/>
      <c r="D58" s="7"/>
      <c r="E58" s="7"/>
      <c r="F58" s="22"/>
      <c r="G58" s="22"/>
      <c r="H58" s="22">
        <f>SUBTOTAL(9,H51:H57)</f>
        <v>0</v>
      </c>
      <c r="I58" s="14"/>
      <c r="J58" s="14"/>
      <c r="K58" s="14"/>
      <c r="L58" s="22">
        <v>54751.8</v>
      </c>
    </row>
    <row r="59" spans="1:12" ht="21.95" customHeight="1" outlineLevel="2">
      <c r="A59" s="3">
        <f>ROW(A57)</f>
        <v>57</v>
      </c>
      <c r="B59" s="3" t="s">
        <v>122</v>
      </c>
      <c r="C59" s="4" t="s">
        <v>8</v>
      </c>
      <c r="D59" s="4"/>
      <c r="E59" s="4" t="s">
        <v>146</v>
      </c>
      <c r="F59" s="21"/>
      <c r="G59" s="21"/>
      <c r="H59" s="21"/>
      <c r="I59" s="11" t="s">
        <v>34</v>
      </c>
      <c r="J59" s="11">
        <v>1</v>
      </c>
      <c r="K59" s="11" t="s">
        <v>10</v>
      </c>
      <c r="L59" s="21"/>
    </row>
    <row r="60" spans="1:12" s="5" customFormat="1" ht="21.95" hidden="1" customHeight="1" outlineLevel="2">
      <c r="A60" s="6">
        <f t="shared" si="0"/>
        <v>59</v>
      </c>
      <c r="B60" s="6" t="s">
        <v>122</v>
      </c>
      <c r="C60" s="7" t="s">
        <v>11</v>
      </c>
      <c r="D60" s="7" t="s">
        <v>58</v>
      </c>
      <c r="E60" s="7" t="s">
        <v>59</v>
      </c>
      <c r="F60" s="22">
        <v>14695</v>
      </c>
      <c r="G60" s="22">
        <f t="shared" ref="G60:G64" si="25">0.6*F60</f>
        <v>8817</v>
      </c>
      <c r="H60" s="22">
        <f t="shared" ref="H60:H64" si="26">G60*J60</f>
        <v>8817</v>
      </c>
      <c r="I60" s="14" t="s">
        <v>66</v>
      </c>
      <c r="J60" s="14">
        <v>1</v>
      </c>
      <c r="K60" s="14" t="s">
        <v>12</v>
      </c>
      <c r="L60" s="22">
        <v>8817</v>
      </c>
    </row>
    <row r="61" spans="1:12" s="5" customFormat="1" ht="21.95" hidden="1" customHeight="1" outlineLevel="2">
      <c r="A61" s="6">
        <f t="shared" si="0"/>
        <v>60</v>
      </c>
      <c r="B61" s="6" t="s">
        <v>122</v>
      </c>
      <c r="C61" s="7" t="s">
        <v>28</v>
      </c>
      <c r="D61" s="7" t="s">
        <v>40</v>
      </c>
      <c r="E61" s="7" t="s">
        <v>41</v>
      </c>
      <c r="F61" s="22">
        <v>3372</v>
      </c>
      <c r="G61" s="22">
        <f t="shared" si="25"/>
        <v>2023.1999999999998</v>
      </c>
      <c r="H61" s="22">
        <f t="shared" si="26"/>
        <v>2023.1999999999998</v>
      </c>
      <c r="I61" s="14" t="s">
        <v>14</v>
      </c>
      <c r="J61" s="14">
        <v>1</v>
      </c>
      <c r="K61" s="14" t="s">
        <v>12</v>
      </c>
      <c r="L61" s="22">
        <v>2023.1999999999998</v>
      </c>
    </row>
    <row r="62" spans="1:12" s="5" customFormat="1" ht="21.95" hidden="1" customHeight="1" outlineLevel="2">
      <c r="A62" s="6">
        <f t="shared" si="0"/>
        <v>61</v>
      </c>
      <c r="B62" s="6" t="s">
        <v>122</v>
      </c>
      <c r="C62" s="7" t="s">
        <v>24</v>
      </c>
      <c r="D62" s="7" t="s">
        <v>69</v>
      </c>
      <c r="E62" s="7" t="s">
        <v>70</v>
      </c>
      <c r="F62" s="22">
        <v>783</v>
      </c>
      <c r="G62" s="22">
        <f t="shared" si="25"/>
        <v>469.79999999999995</v>
      </c>
      <c r="H62" s="22">
        <f t="shared" si="26"/>
        <v>1879.1999999999998</v>
      </c>
      <c r="I62" s="14" t="s">
        <v>14</v>
      </c>
      <c r="J62" s="14">
        <v>4</v>
      </c>
      <c r="K62" s="14" t="s">
        <v>12</v>
      </c>
      <c r="L62" s="22">
        <v>1879.1999999999998</v>
      </c>
    </row>
    <row r="63" spans="1:12" s="5" customFormat="1" ht="21.95" hidden="1" customHeight="1" outlineLevel="2">
      <c r="A63" s="6">
        <f t="shared" si="0"/>
        <v>62</v>
      </c>
      <c r="B63" s="6" t="s">
        <v>122</v>
      </c>
      <c r="C63" s="7" t="s">
        <v>24</v>
      </c>
      <c r="D63" s="7" t="s">
        <v>73</v>
      </c>
      <c r="E63" s="7" t="s">
        <v>74</v>
      </c>
      <c r="F63" s="22">
        <v>2337</v>
      </c>
      <c r="G63" s="22">
        <f t="shared" si="25"/>
        <v>1402.2</v>
      </c>
      <c r="H63" s="22">
        <f t="shared" si="26"/>
        <v>4206.6000000000004</v>
      </c>
      <c r="I63" s="14" t="s">
        <v>14</v>
      </c>
      <c r="J63" s="14">
        <v>3</v>
      </c>
      <c r="K63" s="14" t="s">
        <v>12</v>
      </c>
      <c r="L63" s="22">
        <v>4206.6000000000004</v>
      </c>
    </row>
    <row r="64" spans="1:12" s="5" customFormat="1" ht="21.95" hidden="1" customHeight="1" outlineLevel="2">
      <c r="A64" s="6">
        <f t="shared" si="0"/>
        <v>63</v>
      </c>
      <c r="B64" s="6" t="s">
        <v>122</v>
      </c>
      <c r="C64" s="7" t="s">
        <v>31</v>
      </c>
      <c r="D64" s="7" t="s">
        <v>32</v>
      </c>
      <c r="E64" s="7" t="s">
        <v>83</v>
      </c>
      <c r="F64" s="22">
        <v>5354</v>
      </c>
      <c r="G64" s="22">
        <f t="shared" si="25"/>
        <v>3212.4</v>
      </c>
      <c r="H64" s="22">
        <f t="shared" si="26"/>
        <v>3212.4</v>
      </c>
      <c r="I64" s="14" t="s">
        <v>14</v>
      </c>
      <c r="J64" s="14">
        <v>1</v>
      </c>
      <c r="K64" s="14" t="s">
        <v>12</v>
      </c>
      <c r="L64" s="22">
        <v>3212.4</v>
      </c>
    </row>
    <row r="65" spans="1:12" s="5" customFormat="1" ht="21.95" hidden="1" customHeight="1" outlineLevel="2">
      <c r="A65" s="6">
        <f t="shared" si="0"/>
        <v>64</v>
      </c>
      <c r="B65" s="6" t="s">
        <v>122</v>
      </c>
      <c r="C65" s="7" t="s">
        <v>19</v>
      </c>
      <c r="D65" s="7"/>
      <c r="E65" s="7" t="s">
        <v>20</v>
      </c>
      <c r="F65" s="22">
        <f ca="1">OFFSET(F65,1,2)</f>
        <v>4200</v>
      </c>
      <c r="G65" s="22">
        <f ca="1">F65</f>
        <v>4200</v>
      </c>
      <c r="H65" s="22">
        <f t="shared" ref="H65" ca="1" si="27">G65*J65</f>
        <v>4200</v>
      </c>
      <c r="I65" s="14" t="s">
        <v>19</v>
      </c>
      <c r="J65" s="14">
        <v>1</v>
      </c>
      <c r="K65" s="14" t="s">
        <v>12</v>
      </c>
      <c r="L65" s="22">
        <v>4200</v>
      </c>
    </row>
    <row r="66" spans="1:12" s="5" customFormat="1" ht="21.95" hidden="1" customHeight="1" outlineLevel="2">
      <c r="A66" s="6">
        <f t="shared" si="0"/>
        <v>65</v>
      </c>
      <c r="B66" s="6" t="s">
        <v>122</v>
      </c>
      <c r="C66" s="7" t="s">
        <v>21</v>
      </c>
      <c r="D66" s="7"/>
      <c r="E66" s="7" t="s">
        <v>22</v>
      </c>
      <c r="F66" s="22">
        <v>0.7</v>
      </c>
      <c r="G66" s="22">
        <v>100</v>
      </c>
      <c r="H66" s="22">
        <f t="shared" ref="H66" si="28">G66*J66</f>
        <v>4200</v>
      </c>
      <c r="I66" s="14" t="s">
        <v>21</v>
      </c>
      <c r="J66" s="14">
        <f>60*F66</f>
        <v>42</v>
      </c>
      <c r="K66" s="14" t="s">
        <v>12</v>
      </c>
      <c r="L66" s="22">
        <v>4200</v>
      </c>
    </row>
    <row r="67" spans="1:12" s="5" customFormat="1" ht="21.95" customHeight="1" outlineLevel="1">
      <c r="A67" s="6"/>
      <c r="B67" s="15" t="s">
        <v>154</v>
      </c>
      <c r="C67" s="7"/>
      <c r="D67" s="7"/>
      <c r="E67" s="7"/>
      <c r="F67" s="22"/>
      <c r="G67" s="22"/>
      <c r="H67" s="22">
        <f>SUBTOTAL(9,H59:H66)</f>
        <v>0</v>
      </c>
      <c r="I67" s="14"/>
      <c r="J67" s="14"/>
      <c r="K67" s="14"/>
      <c r="L67" s="22">
        <v>28538.400000000001</v>
      </c>
    </row>
    <row r="68" spans="1:12" ht="21.95" customHeight="1" outlineLevel="2">
      <c r="A68" s="3">
        <f>ROW(A66)</f>
        <v>66</v>
      </c>
      <c r="B68" s="3" t="s">
        <v>123</v>
      </c>
      <c r="C68" s="4" t="s">
        <v>8</v>
      </c>
      <c r="D68" s="4"/>
      <c r="E68" s="4" t="s">
        <v>146</v>
      </c>
      <c r="F68" s="21"/>
      <c r="G68" s="21"/>
      <c r="H68" s="21"/>
      <c r="I68" s="11" t="s">
        <v>34</v>
      </c>
      <c r="J68" s="11">
        <v>1</v>
      </c>
      <c r="K68" s="11" t="s">
        <v>10</v>
      </c>
      <c r="L68" s="21"/>
    </row>
    <row r="69" spans="1:12" s="5" customFormat="1" ht="21.95" hidden="1" customHeight="1" outlineLevel="2">
      <c r="A69" s="6">
        <f t="shared" si="0"/>
        <v>68</v>
      </c>
      <c r="B69" s="6" t="s">
        <v>123</v>
      </c>
      <c r="C69" s="7" t="s">
        <v>11</v>
      </c>
      <c r="D69" s="7" t="s">
        <v>58</v>
      </c>
      <c r="E69" s="7" t="s">
        <v>59</v>
      </c>
      <c r="F69" s="22">
        <v>14695</v>
      </c>
      <c r="G69" s="22">
        <f t="shared" ref="G69:G72" si="29">0.6*F69</f>
        <v>8817</v>
      </c>
      <c r="H69" s="22">
        <f t="shared" ref="H69:H72" si="30">G69*J69</f>
        <v>8817</v>
      </c>
      <c r="I69" s="14" t="s">
        <v>66</v>
      </c>
      <c r="J69" s="14">
        <v>1</v>
      </c>
      <c r="K69" s="14" t="s">
        <v>12</v>
      </c>
      <c r="L69" s="22">
        <v>8817</v>
      </c>
    </row>
    <row r="70" spans="1:12" s="5" customFormat="1" ht="21.95" hidden="1" customHeight="1" outlineLevel="2">
      <c r="A70" s="6">
        <f t="shared" si="0"/>
        <v>69</v>
      </c>
      <c r="B70" s="6" t="s">
        <v>123</v>
      </c>
      <c r="C70" s="7" t="s">
        <v>28</v>
      </c>
      <c r="D70" s="7" t="s">
        <v>40</v>
      </c>
      <c r="E70" s="7" t="s">
        <v>41</v>
      </c>
      <c r="F70" s="22">
        <v>3372</v>
      </c>
      <c r="G70" s="22">
        <f t="shared" si="29"/>
        <v>2023.1999999999998</v>
      </c>
      <c r="H70" s="22">
        <f t="shared" si="30"/>
        <v>2023.1999999999998</v>
      </c>
      <c r="I70" s="14" t="s">
        <v>14</v>
      </c>
      <c r="J70" s="14">
        <v>1</v>
      </c>
      <c r="K70" s="14" t="s">
        <v>12</v>
      </c>
      <c r="L70" s="22">
        <v>2023.1999999999998</v>
      </c>
    </row>
    <row r="71" spans="1:12" s="5" customFormat="1" ht="21.95" hidden="1" customHeight="1" outlineLevel="2">
      <c r="A71" s="6">
        <f t="shared" si="0"/>
        <v>70</v>
      </c>
      <c r="B71" s="6" t="s">
        <v>123</v>
      </c>
      <c r="C71" s="7" t="s">
        <v>33</v>
      </c>
      <c r="D71" s="7" t="s">
        <v>51</v>
      </c>
      <c r="E71" s="7" t="s">
        <v>52</v>
      </c>
      <c r="F71" s="22">
        <v>5104</v>
      </c>
      <c r="G71" s="22">
        <f t="shared" si="29"/>
        <v>3062.4</v>
      </c>
      <c r="H71" s="22">
        <f t="shared" si="30"/>
        <v>15312</v>
      </c>
      <c r="I71" s="14" t="s">
        <v>14</v>
      </c>
      <c r="J71" s="14">
        <v>5</v>
      </c>
      <c r="K71" s="14" t="s">
        <v>12</v>
      </c>
      <c r="L71" s="22">
        <v>15312</v>
      </c>
    </row>
    <row r="72" spans="1:12" s="5" customFormat="1" ht="21.95" hidden="1" customHeight="1" outlineLevel="2">
      <c r="A72" s="6">
        <f t="shared" si="0"/>
        <v>71</v>
      </c>
      <c r="B72" s="6" t="s">
        <v>123</v>
      </c>
      <c r="C72" s="7" t="s">
        <v>24</v>
      </c>
      <c r="D72" s="7" t="s">
        <v>73</v>
      </c>
      <c r="E72" s="7" t="s">
        <v>74</v>
      </c>
      <c r="F72" s="22">
        <v>2337</v>
      </c>
      <c r="G72" s="22">
        <f t="shared" si="29"/>
        <v>1402.2</v>
      </c>
      <c r="H72" s="22">
        <f t="shared" si="30"/>
        <v>1402.2</v>
      </c>
      <c r="I72" s="14" t="s">
        <v>14</v>
      </c>
      <c r="J72" s="14">
        <v>1</v>
      </c>
      <c r="K72" s="14" t="s">
        <v>12</v>
      </c>
      <c r="L72" s="22">
        <v>1402.2</v>
      </c>
    </row>
    <row r="73" spans="1:12" s="5" customFormat="1" ht="21.95" hidden="1" customHeight="1" outlineLevel="2">
      <c r="A73" s="6">
        <f t="shared" si="0"/>
        <v>72</v>
      </c>
      <c r="B73" s="6" t="s">
        <v>123</v>
      </c>
      <c r="C73" s="7" t="s">
        <v>19</v>
      </c>
      <c r="D73" s="7"/>
      <c r="E73" s="7" t="s">
        <v>20</v>
      </c>
      <c r="F73" s="22">
        <f ca="1">OFFSET(F73,1,2)</f>
        <v>4200</v>
      </c>
      <c r="G73" s="22">
        <f ca="1">F73</f>
        <v>4200</v>
      </c>
      <c r="H73" s="22">
        <f t="shared" ref="H73" ca="1" si="31">G73*J73</f>
        <v>4200</v>
      </c>
      <c r="I73" s="14" t="s">
        <v>19</v>
      </c>
      <c r="J73" s="14">
        <v>1</v>
      </c>
      <c r="K73" s="14" t="s">
        <v>12</v>
      </c>
      <c r="L73" s="22">
        <v>4200</v>
      </c>
    </row>
    <row r="74" spans="1:12" s="5" customFormat="1" ht="21.95" hidden="1" customHeight="1" outlineLevel="2">
      <c r="A74" s="6">
        <f t="shared" ref="A74:A147" si="32">ROW(A73)</f>
        <v>73</v>
      </c>
      <c r="B74" s="6" t="s">
        <v>123</v>
      </c>
      <c r="C74" s="7" t="s">
        <v>21</v>
      </c>
      <c r="D74" s="7"/>
      <c r="E74" s="7" t="s">
        <v>22</v>
      </c>
      <c r="F74" s="22">
        <v>0.7</v>
      </c>
      <c r="G74" s="22">
        <v>100</v>
      </c>
      <c r="H74" s="22">
        <f t="shared" ref="H74" si="33">G74*J74</f>
        <v>4200</v>
      </c>
      <c r="I74" s="14" t="s">
        <v>21</v>
      </c>
      <c r="J74" s="14">
        <f>60*F74</f>
        <v>42</v>
      </c>
      <c r="K74" s="14" t="s">
        <v>12</v>
      </c>
      <c r="L74" s="22">
        <v>4200</v>
      </c>
    </row>
    <row r="75" spans="1:12" s="5" customFormat="1" ht="21.95" customHeight="1" outlineLevel="1">
      <c r="A75" s="6"/>
      <c r="B75" s="15" t="s">
        <v>155</v>
      </c>
      <c r="C75" s="7"/>
      <c r="D75" s="7"/>
      <c r="E75" s="7"/>
      <c r="F75" s="22"/>
      <c r="G75" s="22"/>
      <c r="H75" s="22">
        <f>SUBTOTAL(9,H68:H74)</f>
        <v>0</v>
      </c>
      <c r="I75" s="14"/>
      <c r="J75" s="14"/>
      <c r="K75" s="14"/>
      <c r="L75" s="22">
        <v>35954.400000000001</v>
      </c>
    </row>
    <row r="76" spans="1:12" ht="21.95" customHeight="1" outlineLevel="2">
      <c r="A76" s="3">
        <f>ROW(A74)</f>
        <v>74</v>
      </c>
      <c r="B76" s="3" t="s">
        <v>124</v>
      </c>
      <c r="C76" s="4" t="s">
        <v>8</v>
      </c>
      <c r="D76" s="4"/>
      <c r="E76" s="4" t="s">
        <v>146</v>
      </c>
      <c r="F76" s="21"/>
      <c r="G76" s="21"/>
      <c r="H76" s="21"/>
      <c r="I76" s="11" t="s">
        <v>34</v>
      </c>
      <c r="J76" s="11">
        <v>1</v>
      </c>
      <c r="K76" s="11" t="s">
        <v>10</v>
      </c>
      <c r="L76" s="21"/>
    </row>
    <row r="77" spans="1:12" s="5" customFormat="1" ht="21.95" hidden="1" customHeight="1" outlineLevel="2">
      <c r="A77" s="6">
        <f t="shared" si="32"/>
        <v>76</v>
      </c>
      <c r="B77" s="6" t="s">
        <v>124</v>
      </c>
      <c r="C77" s="7" t="s">
        <v>11</v>
      </c>
      <c r="D77" s="7" t="s">
        <v>101</v>
      </c>
      <c r="E77" s="7" t="s">
        <v>102</v>
      </c>
      <c r="F77" s="22">
        <v>20040</v>
      </c>
      <c r="G77" s="22">
        <f t="shared" ref="G77:G80" si="34">0.6*F77</f>
        <v>12024</v>
      </c>
      <c r="H77" s="22">
        <f t="shared" ref="H77:H80" si="35">G77*J77</f>
        <v>12024</v>
      </c>
      <c r="I77" s="14" t="s">
        <v>66</v>
      </c>
      <c r="J77" s="14">
        <v>1</v>
      </c>
      <c r="K77" s="14" t="s">
        <v>12</v>
      </c>
      <c r="L77" s="22">
        <v>12024</v>
      </c>
    </row>
    <row r="78" spans="1:12" s="5" customFormat="1" ht="21.95" hidden="1" customHeight="1" outlineLevel="2">
      <c r="A78" s="6">
        <f t="shared" si="32"/>
        <v>77</v>
      </c>
      <c r="B78" s="6" t="s">
        <v>124</v>
      </c>
      <c r="C78" s="7" t="s">
        <v>28</v>
      </c>
      <c r="D78" s="7" t="s">
        <v>44</v>
      </c>
      <c r="E78" s="7" t="s">
        <v>45</v>
      </c>
      <c r="F78" s="22">
        <v>4439</v>
      </c>
      <c r="G78" s="22">
        <f t="shared" si="34"/>
        <v>2663.4</v>
      </c>
      <c r="H78" s="22">
        <f t="shared" si="35"/>
        <v>2663.4</v>
      </c>
      <c r="I78" s="14" t="s">
        <v>14</v>
      </c>
      <c r="J78" s="14">
        <v>1</v>
      </c>
      <c r="K78" s="14" t="s">
        <v>12</v>
      </c>
      <c r="L78" s="22">
        <v>2663.4</v>
      </c>
    </row>
    <row r="79" spans="1:12" s="5" customFormat="1" ht="21.95" hidden="1" customHeight="1" outlineLevel="2">
      <c r="A79" s="6">
        <f t="shared" si="32"/>
        <v>78</v>
      </c>
      <c r="B79" s="6" t="s">
        <v>124</v>
      </c>
      <c r="C79" s="7" t="s">
        <v>33</v>
      </c>
      <c r="D79" s="7" t="s">
        <v>51</v>
      </c>
      <c r="E79" s="7" t="s">
        <v>52</v>
      </c>
      <c r="F79" s="22">
        <v>5104</v>
      </c>
      <c r="G79" s="22">
        <f t="shared" si="34"/>
        <v>3062.4</v>
      </c>
      <c r="H79" s="22">
        <f t="shared" si="35"/>
        <v>48998.400000000001</v>
      </c>
      <c r="I79" s="14" t="s">
        <v>14</v>
      </c>
      <c r="J79" s="14">
        <v>16</v>
      </c>
      <c r="K79" s="14" t="s">
        <v>12</v>
      </c>
      <c r="L79" s="22">
        <v>48998.400000000001</v>
      </c>
    </row>
    <row r="80" spans="1:12" s="5" customFormat="1" ht="21.95" hidden="1" customHeight="1" outlineLevel="2">
      <c r="A80" s="6">
        <f t="shared" si="32"/>
        <v>79</v>
      </c>
      <c r="B80" s="6" t="s">
        <v>124</v>
      </c>
      <c r="C80" s="7" t="s">
        <v>33</v>
      </c>
      <c r="D80" s="7" t="s">
        <v>49</v>
      </c>
      <c r="E80" s="7" t="s">
        <v>50</v>
      </c>
      <c r="F80" s="22">
        <v>5552</v>
      </c>
      <c r="G80" s="22">
        <f t="shared" si="34"/>
        <v>3331.2</v>
      </c>
      <c r="H80" s="22">
        <f t="shared" si="35"/>
        <v>3331.2</v>
      </c>
      <c r="I80" s="14" t="s">
        <v>14</v>
      </c>
      <c r="J80" s="14">
        <v>1</v>
      </c>
      <c r="K80" s="14" t="s">
        <v>12</v>
      </c>
      <c r="L80" s="22">
        <v>3331.2</v>
      </c>
    </row>
    <row r="81" spans="1:12" s="5" customFormat="1" ht="21.95" hidden="1" customHeight="1" outlineLevel="2">
      <c r="A81" s="6">
        <f t="shared" si="32"/>
        <v>80</v>
      </c>
      <c r="B81" s="6" t="s">
        <v>124</v>
      </c>
      <c r="C81" s="7" t="s">
        <v>19</v>
      </c>
      <c r="D81" s="7"/>
      <c r="E81" s="7" t="s">
        <v>20</v>
      </c>
      <c r="F81" s="22">
        <f ca="1">OFFSET(F81,1,2)</f>
        <v>18000</v>
      </c>
      <c r="G81" s="22">
        <f ca="1">F81</f>
        <v>18000</v>
      </c>
      <c r="H81" s="22">
        <f t="shared" ref="H81" ca="1" si="36">G81*J81</f>
        <v>18000</v>
      </c>
      <c r="I81" s="14" t="s">
        <v>19</v>
      </c>
      <c r="J81" s="14">
        <v>1</v>
      </c>
      <c r="K81" s="14" t="s">
        <v>12</v>
      </c>
      <c r="L81" s="22">
        <v>18000</v>
      </c>
    </row>
    <row r="82" spans="1:12" s="5" customFormat="1" ht="21.95" hidden="1" customHeight="1" outlineLevel="2">
      <c r="A82" s="6">
        <f t="shared" si="32"/>
        <v>81</v>
      </c>
      <c r="B82" s="6" t="s">
        <v>124</v>
      </c>
      <c r="C82" s="7" t="s">
        <v>21</v>
      </c>
      <c r="D82" s="7"/>
      <c r="E82" s="7" t="s">
        <v>22</v>
      </c>
      <c r="F82" s="22">
        <v>3</v>
      </c>
      <c r="G82" s="22">
        <v>100</v>
      </c>
      <c r="H82" s="22">
        <f t="shared" ref="H82" si="37">G82*J82</f>
        <v>18000</v>
      </c>
      <c r="I82" s="14" t="s">
        <v>21</v>
      </c>
      <c r="J82" s="14">
        <f>60*F82</f>
        <v>180</v>
      </c>
      <c r="K82" s="14" t="s">
        <v>12</v>
      </c>
      <c r="L82" s="22">
        <v>18000</v>
      </c>
    </row>
    <row r="83" spans="1:12" s="5" customFormat="1" ht="21.95" customHeight="1" outlineLevel="1">
      <c r="A83" s="6"/>
      <c r="B83" s="15" t="s">
        <v>156</v>
      </c>
      <c r="C83" s="7"/>
      <c r="D83" s="7"/>
      <c r="E83" s="7"/>
      <c r="F83" s="22"/>
      <c r="G83" s="22"/>
      <c r="H83" s="22">
        <f>SUBTOTAL(9,H76:H82)</f>
        <v>0</v>
      </c>
      <c r="I83" s="14"/>
      <c r="J83" s="14"/>
      <c r="K83" s="14"/>
      <c r="L83" s="22">
        <v>103017</v>
      </c>
    </row>
    <row r="84" spans="1:12" ht="21.95" customHeight="1" outlineLevel="2">
      <c r="A84" s="3">
        <f>ROW(A82)</f>
        <v>82</v>
      </c>
      <c r="B84" s="3" t="s">
        <v>125</v>
      </c>
      <c r="C84" s="4" t="s">
        <v>8</v>
      </c>
      <c r="D84" s="4"/>
      <c r="E84" s="4" t="s">
        <v>146</v>
      </c>
      <c r="F84" s="21"/>
      <c r="G84" s="21"/>
      <c r="H84" s="21"/>
      <c r="I84" s="11" t="s">
        <v>34</v>
      </c>
      <c r="J84" s="11">
        <v>1</v>
      </c>
      <c r="K84" s="11" t="s">
        <v>10</v>
      </c>
      <c r="L84" s="21"/>
    </row>
    <row r="85" spans="1:12" s="5" customFormat="1" ht="21.95" hidden="1" customHeight="1" outlineLevel="2">
      <c r="A85" s="6">
        <f t="shared" si="32"/>
        <v>84</v>
      </c>
      <c r="B85" s="6" t="s">
        <v>125</v>
      </c>
      <c r="C85" s="7" t="s">
        <v>11</v>
      </c>
      <c r="D85" s="7" t="s">
        <v>101</v>
      </c>
      <c r="E85" s="7" t="s">
        <v>102</v>
      </c>
      <c r="F85" s="22">
        <v>20040</v>
      </c>
      <c r="G85" s="22">
        <f t="shared" ref="G85:G87" si="38">0.6*F85</f>
        <v>12024</v>
      </c>
      <c r="H85" s="22">
        <f t="shared" ref="H85:H87" si="39">G85*J85</f>
        <v>12024</v>
      </c>
      <c r="I85" s="14" t="s">
        <v>66</v>
      </c>
      <c r="J85" s="14">
        <v>1</v>
      </c>
      <c r="K85" s="14" t="s">
        <v>12</v>
      </c>
      <c r="L85" s="22">
        <v>12024</v>
      </c>
    </row>
    <row r="86" spans="1:12" s="5" customFormat="1" ht="21.95" hidden="1" customHeight="1" outlineLevel="2">
      <c r="A86" s="6">
        <f t="shared" si="32"/>
        <v>85</v>
      </c>
      <c r="B86" s="6" t="s">
        <v>125</v>
      </c>
      <c r="C86" s="7" t="s">
        <v>28</v>
      </c>
      <c r="D86" s="7" t="s">
        <v>42</v>
      </c>
      <c r="E86" s="7" t="s">
        <v>43</v>
      </c>
      <c r="F86" s="22">
        <v>4217</v>
      </c>
      <c r="G86" s="22">
        <f t="shared" si="38"/>
        <v>2530.1999999999998</v>
      </c>
      <c r="H86" s="22">
        <f t="shared" si="39"/>
        <v>2530.1999999999998</v>
      </c>
      <c r="I86" s="14" t="s">
        <v>14</v>
      </c>
      <c r="J86" s="14">
        <v>1</v>
      </c>
      <c r="K86" s="14" t="s">
        <v>12</v>
      </c>
      <c r="L86" s="22">
        <v>2530.1999999999998</v>
      </c>
    </row>
    <row r="87" spans="1:12" s="5" customFormat="1" ht="21.95" hidden="1" customHeight="1" outlineLevel="2">
      <c r="A87" s="6">
        <f t="shared" si="32"/>
        <v>86</v>
      </c>
      <c r="B87" s="6" t="s">
        <v>125</v>
      </c>
      <c r="C87" s="7" t="s">
        <v>33</v>
      </c>
      <c r="D87" s="7" t="s">
        <v>51</v>
      </c>
      <c r="E87" s="7" t="s">
        <v>52</v>
      </c>
      <c r="F87" s="22">
        <v>5104</v>
      </c>
      <c r="G87" s="22">
        <f t="shared" si="38"/>
        <v>3062.4</v>
      </c>
      <c r="H87" s="22">
        <f t="shared" si="39"/>
        <v>42873.599999999999</v>
      </c>
      <c r="I87" s="14" t="s">
        <v>14</v>
      </c>
      <c r="J87" s="14">
        <v>14</v>
      </c>
      <c r="K87" s="14" t="s">
        <v>12</v>
      </c>
      <c r="L87" s="22">
        <v>42873.599999999999</v>
      </c>
    </row>
    <row r="88" spans="1:12" s="5" customFormat="1" ht="21.95" hidden="1" customHeight="1" outlineLevel="2">
      <c r="A88" s="6">
        <f t="shared" si="32"/>
        <v>87</v>
      </c>
      <c r="B88" s="6" t="s">
        <v>125</v>
      </c>
      <c r="C88" s="7" t="s">
        <v>19</v>
      </c>
      <c r="D88" s="7"/>
      <c r="E88" s="7" t="s">
        <v>20</v>
      </c>
      <c r="F88" s="22">
        <f ca="1">OFFSET(F88,1,2)</f>
        <v>15000</v>
      </c>
      <c r="G88" s="22">
        <f ca="1">F88</f>
        <v>15000</v>
      </c>
      <c r="H88" s="22">
        <f t="shared" ref="H88" ca="1" si="40">G88*J88</f>
        <v>15000</v>
      </c>
      <c r="I88" s="14" t="s">
        <v>19</v>
      </c>
      <c r="J88" s="14">
        <v>1</v>
      </c>
      <c r="K88" s="14" t="s">
        <v>12</v>
      </c>
      <c r="L88" s="22">
        <v>15000</v>
      </c>
    </row>
    <row r="89" spans="1:12" s="5" customFormat="1" ht="21.95" hidden="1" customHeight="1" outlineLevel="2">
      <c r="A89" s="6">
        <f t="shared" si="32"/>
        <v>88</v>
      </c>
      <c r="B89" s="6" t="s">
        <v>125</v>
      </c>
      <c r="C89" s="7" t="s">
        <v>21</v>
      </c>
      <c r="D89" s="7"/>
      <c r="E89" s="7" t="s">
        <v>22</v>
      </c>
      <c r="F89" s="22">
        <v>2.5</v>
      </c>
      <c r="G89" s="22">
        <v>100</v>
      </c>
      <c r="H89" s="22">
        <f t="shared" ref="H89" si="41">G89*J89</f>
        <v>15000</v>
      </c>
      <c r="I89" s="14" t="s">
        <v>21</v>
      </c>
      <c r="J89" s="14">
        <f>60*F89</f>
        <v>150</v>
      </c>
      <c r="K89" s="14" t="s">
        <v>12</v>
      </c>
      <c r="L89" s="22">
        <v>15000</v>
      </c>
    </row>
    <row r="90" spans="1:12" s="5" customFormat="1" ht="21.95" customHeight="1" outlineLevel="1">
      <c r="A90" s="6"/>
      <c r="B90" s="15" t="s">
        <v>157</v>
      </c>
      <c r="C90" s="7"/>
      <c r="D90" s="7"/>
      <c r="E90" s="7"/>
      <c r="F90" s="22"/>
      <c r="G90" s="22"/>
      <c r="H90" s="22">
        <f>SUBTOTAL(9,H84:H89)</f>
        <v>0</v>
      </c>
      <c r="I90" s="14"/>
      <c r="J90" s="14"/>
      <c r="K90" s="14"/>
      <c r="L90" s="22">
        <v>87427.8</v>
      </c>
    </row>
    <row r="91" spans="1:12" ht="21.95" customHeight="1" outlineLevel="2">
      <c r="A91" s="3">
        <f>ROW(A89)</f>
        <v>89</v>
      </c>
      <c r="B91" s="3" t="s">
        <v>126</v>
      </c>
      <c r="C91" s="4" t="s">
        <v>8</v>
      </c>
      <c r="D91" s="4"/>
      <c r="E91" s="4" t="s">
        <v>146</v>
      </c>
      <c r="F91" s="21"/>
      <c r="G91" s="21"/>
      <c r="H91" s="21"/>
      <c r="I91" s="11" t="s">
        <v>34</v>
      </c>
      <c r="J91" s="11">
        <v>1</v>
      </c>
      <c r="K91" s="11" t="s">
        <v>10</v>
      </c>
      <c r="L91" s="21"/>
    </row>
    <row r="92" spans="1:12" s="5" customFormat="1" ht="21.95" hidden="1" customHeight="1" outlineLevel="2">
      <c r="A92" s="6">
        <f t="shared" si="32"/>
        <v>91</v>
      </c>
      <c r="B92" s="6" t="s">
        <v>126</v>
      </c>
      <c r="C92" s="7" t="s">
        <v>11</v>
      </c>
      <c r="D92" s="7" t="s">
        <v>101</v>
      </c>
      <c r="E92" s="7" t="s">
        <v>102</v>
      </c>
      <c r="F92" s="22">
        <v>20040</v>
      </c>
      <c r="G92" s="22">
        <f t="shared" ref="G92:G94" si="42">0.6*F92</f>
        <v>12024</v>
      </c>
      <c r="H92" s="22">
        <f t="shared" ref="H92:H94" si="43">G92*J92</f>
        <v>12024</v>
      </c>
      <c r="I92" s="14" t="s">
        <v>66</v>
      </c>
      <c r="J92" s="14">
        <v>1</v>
      </c>
      <c r="K92" s="14" t="s">
        <v>12</v>
      </c>
      <c r="L92" s="22">
        <v>12024</v>
      </c>
    </row>
    <row r="93" spans="1:12" s="5" customFormat="1" ht="21.95" hidden="1" customHeight="1" outlineLevel="2">
      <c r="A93" s="6">
        <f t="shared" si="32"/>
        <v>92</v>
      </c>
      <c r="B93" s="6" t="s">
        <v>126</v>
      </c>
      <c r="C93" s="7" t="s">
        <v>28</v>
      </c>
      <c r="D93" s="7" t="s">
        <v>42</v>
      </c>
      <c r="E93" s="7" t="s">
        <v>43</v>
      </c>
      <c r="F93" s="22">
        <v>4217</v>
      </c>
      <c r="G93" s="22">
        <f t="shared" si="42"/>
        <v>2530.1999999999998</v>
      </c>
      <c r="H93" s="22">
        <f t="shared" si="43"/>
        <v>2530.1999999999998</v>
      </c>
      <c r="I93" s="14" t="s">
        <v>14</v>
      </c>
      <c r="J93" s="14">
        <v>1</v>
      </c>
      <c r="K93" s="14" t="s">
        <v>12</v>
      </c>
      <c r="L93" s="22">
        <v>2530.1999999999998</v>
      </c>
    </row>
    <row r="94" spans="1:12" s="5" customFormat="1" ht="21.95" hidden="1" customHeight="1" outlineLevel="2">
      <c r="A94" s="6">
        <f t="shared" si="32"/>
        <v>93</v>
      </c>
      <c r="B94" s="6" t="s">
        <v>126</v>
      </c>
      <c r="C94" s="7" t="s">
        <v>33</v>
      </c>
      <c r="D94" s="7" t="s">
        <v>51</v>
      </c>
      <c r="E94" s="7" t="s">
        <v>52</v>
      </c>
      <c r="F94" s="22">
        <v>5104</v>
      </c>
      <c r="G94" s="22">
        <f t="shared" si="42"/>
        <v>3062.4</v>
      </c>
      <c r="H94" s="22">
        <f t="shared" si="43"/>
        <v>45936</v>
      </c>
      <c r="I94" s="14" t="s">
        <v>14</v>
      </c>
      <c r="J94" s="14">
        <v>15</v>
      </c>
      <c r="K94" s="14" t="s">
        <v>12</v>
      </c>
      <c r="L94" s="22">
        <v>45936</v>
      </c>
    </row>
    <row r="95" spans="1:12" s="5" customFormat="1" ht="21.95" hidden="1" customHeight="1" outlineLevel="2">
      <c r="A95" s="6">
        <f t="shared" si="32"/>
        <v>94</v>
      </c>
      <c r="B95" s="6" t="s">
        <v>126</v>
      </c>
      <c r="C95" s="7" t="s">
        <v>19</v>
      </c>
      <c r="D95" s="7"/>
      <c r="E95" s="7" t="s">
        <v>20</v>
      </c>
      <c r="F95" s="22">
        <f ca="1">OFFSET(F95,1,2)</f>
        <v>15000</v>
      </c>
      <c r="G95" s="22">
        <f ca="1">F95</f>
        <v>15000</v>
      </c>
      <c r="H95" s="22">
        <f t="shared" ref="H95" ca="1" si="44">G95*J95</f>
        <v>15000</v>
      </c>
      <c r="I95" s="14" t="s">
        <v>19</v>
      </c>
      <c r="J95" s="14">
        <v>1</v>
      </c>
      <c r="K95" s="14" t="s">
        <v>12</v>
      </c>
      <c r="L95" s="22">
        <v>15000</v>
      </c>
    </row>
    <row r="96" spans="1:12" s="5" customFormat="1" ht="21.95" hidden="1" customHeight="1" outlineLevel="2">
      <c r="A96" s="6">
        <f t="shared" si="32"/>
        <v>95</v>
      </c>
      <c r="B96" s="6" t="s">
        <v>126</v>
      </c>
      <c r="C96" s="7" t="s">
        <v>21</v>
      </c>
      <c r="D96" s="7"/>
      <c r="E96" s="7" t="s">
        <v>22</v>
      </c>
      <c r="F96" s="22">
        <v>2.5</v>
      </c>
      <c r="G96" s="22">
        <v>100</v>
      </c>
      <c r="H96" s="22">
        <f t="shared" ref="H96" si="45">G96*J96</f>
        <v>15000</v>
      </c>
      <c r="I96" s="14" t="s">
        <v>21</v>
      </c>
      <c r="J96" s="14">
        <f>60*F96</f>
        <v>150</v>
      </c>
      <c r="K96" s="14" t="s">
        <v>12</v>
      </c>
      <c r="L96" s="22">
        <v>15000</v>
      </c>
    </row>
    <row r="97" spans="1:12" s="5" customFormat="1" ht="21.95" customHeight="1" outlineLevel="1">
      <c r="A97" s="6"/>
      <c r="B97" s="15" t="s">
        <v>158</v>
      </c>
      <c r="C97" s="7"/>
      <c r="D97" s="7"/>
      <c r="E97" s="7"/>
      <c r="F97" s="22"/>
      <c r="G97" s="22"/>
      <c r="H97" s="22">
        <f>SUBTOTAL(9,H91:H96)</f>
        <v>0</v>
      </c>
      <c r="I97" s="14"/>
      <c r="J97" s="14"/>
      <c r="K97" s="14"/>
      <c r="L97" s="22">
        <v>90490.2</v>
      </c>
    </row>
    <row r="98" spans="1:12" ht="21.95" customHeight="1" outlineLevel="2">
      <c r="A98" s="3">
        <f>ROW(A96)</f>
        <v>96</v>
      </c>
      <c r="B98" s="3" t="s">
        <v>127</v>
      </c>
      <c r="C98" s="4" t="s">
        <v>8</v>
      </c>
      <c r="D98" s="4"/>
      <c r="E98" s="4" t="s">
        <v>146</v>
      </c>
      <c r="F98" s="21"/>
      <c r="G98" s="21"/>
      <c r="H98" s="21"/>
      <c r="I98" s="11" t="s">
        <v>34</v>
      </c>
      <c r="J98" s="11">
        <v>1</v>
      </c>
      <c r="K98" s="11" t="s">
        <v>10</v>
      </c>
      <c r="L98" s="21"/>
    </row>
    <row r="99" spans="1:12" s="5" customFormat="1" ht="21.95" hidden="1" customHeight="1" outlineLevel="2">
      <c r="A99" s="6">
        <f t="shared" si="32"/>
        <v>98</v>
      </c>
      <c r="B99" s="6" t="s">
        <v>127</v>
      </c>
      <c r="C99" s="7" t="s">
        <v>11</v>
      </c>
      <c r="D99" s="7" t="s">
        <v>62</v>
      </c>
      <c r="E99" s="7" t="s">
        <v>63</v>
      </c>
      <c r="F99" s="22">
        <v>18000</v>
      </c>
      <c r="G99" s="22">
        <f t="shared" ref="G99:G101" si="46">0.6*F99</f>
        <v>10800</v>
      </c>
      <c r="H99" s="22">
        <f t="shared" ref="H99:H101" si="47">G99*J99</f>
        <v>10800</v>
      </c>
      <c r="I99" s="14" t="s">
        <v>66</v>
      </c>
      <c r="J99" s="14">
        <v>1</v>
      </c>
      <c r="K99" s="14" t="s">
        <v>12</v>
      </c>
      <c r="L99" s="22">
        <v>10800</v>
      </c>
    </row>
    <row r="100" spans="1:12" s="5" customFormat="1" ht="21.95" hidden="1" customHeight="1" outlineLevel="2">
      <c r="A100" s="6">
        <f t="shared" si="32"/>
        <v>99</v>
      </c>
      <c r="B100" s="6" t="s">
        <v>127</v>
      </c>
      <c r="C100" s="7" t="s">
        <v>28</v>
      </c>
      <c r="D100" s="7" t="s">
        <v>42</v>
      </c>
      <c r="E100" s="7" t="s">
        <v>43</v>
      </c>
      <c r="F100" s="22">
        <v>4217</v>
      </c>
      <c r="G100" s="22">
        <f t="shared" si="46"/>
        <v>2530.1999999999998</v>
      </c>
      <c r="H100" s="22">
        <f t="shared" si="47"/>
        <v>2530.1999999999998</v>
      </c>
      <c r="I100" s="14" t="s">
        <v>14</v>
      </c>
      <c r="J100" s="14">
        <v>1</v>
      </c>
      <c r="K100" s="14" t="s">
        <v>12</v>
      </c>
      <c r="L100" s="22">
        <v>2530.1999999999998</v>
      </c>
    </row>
    <row r="101" spans="1:12" s="5" customFormat="1" ht="21.95" hidden="1" customHeight="1" outlineLevel="2">
      <c r="A101" s="6">
        <f t="shared" si="32"/>
        <v>100</v>
      </c>
      <c r="B101" s="6" t="s">
        <v>127</v>
      </c>
      <c r="C101" s="7" t="s">
        <v>33</v>
      </c>
      <c r="D101" s="7" t="s">
        <v>51</v>
      </c>
      <c r="E101" s="7" t="s">
        <v>52</v>
      </c>
      <c r="F101" s="22">
        <v>5104</v>
      </c>
      <c r="G101" s="22">
        <f t="shared" si="46"/>
        <v>3062.4</v>
      </c>
      <c r="H101" s="22">
        <f t="shared" si="47"/>
        <v>39811.200000000004</v>
      </c>
      <c r="I101" s="14" t="s">
        <v>14</v>
      </c>
      <c r="J101" s="14">
        <v>13</v>
      </c>
      <c r="K101" s="14" t="s">
        <v>12</v>
      </c>
      <c r="L101" s="22">
        <v>39811.200000000004</v>
      </c>
    </row>
    <row r="102" spans="1:12" s="5" customFormat="1" ht="21.95" hidden="1" customHeight="1" outlineLevel="2">
      <c r="A102" s="6">
        <f t="shared" si="32"/>
        <v>101</v>
      </c>
      <c r="B102" s="6" t="s">
        <v>127</v>
      </c>
      <c r="C102" s="7" t="s">
        <v>19</v>
      </c>
      <c r="D102" s="7"/>
      <c r="E102" s="7" t="s">
        <v>20</v>
      </c>
      <c r="F102" s="22">
        <f ca="1">OFFSET(F102,1,2)</f>
        <v>13800</v>
      </c>
      <c r="G102" s="22">
        <f ca="1">F102</f>
        <v>13800</v>
      </c>
      <c r="H102" s="22">
        <f t="shared" ref="H102" ca="1" si="48">G102*J102</f>
        <v>13800</v>
      </c>
      <c r="I102" s="14" t="s">
        <v>19</v>
      </c>
      <c r="J102" s="14">
        <v>1</v>
      </c>
      <c r="K102" s="14" t="s">
        <v>12</v>
      </c>
      <c r="L102" s="22">
        <v>13800</v>
      </c>
    </row>
    <row r="103" spans="1:12" s="5" customFormat="1" ht="21.95" hidden="1" customHeight="1" outlineLevel="2">
      <c r="A103" s="6">
        <f t="shared" si="32"/>
        <v>102</v>
      </c>
      <c r="B103" s="6" t="s">
        <v>127</v>
      </c>
      <c r="C103" s="7" t="s">
        <v>21</v>
      </c>
      <c r="D103" s="7"/>
      <c r="E103" s="7" t="s">
        <v>22</v>
      </c>
      <c r="F103" s="22">
        <v>2.2999999999999998</v>
      </c>
      <c r="G103" s="22">
        <v>100</v>
      </c>
      <c r="H103" s="22">
        <f t="shared" ref="H103" si="49">G103*J103</f>
        <v>13800</v>
      </c>
      <c r="I103" s="14" t="s">
        <v>21</v>
      </c>
      <c r="J103" s="14">
        <f>60*F103</f>
        <v>138</v>
      </c>
      <c r="K103" s="14" t="s">
        <v>12</v>
      </c>
      <c r="L103" s="22">
        <v>13800</v>
      </c>
    </row>
    <row r="104" spans="1:12" s="5" customFormat="1" ht="21.95" customHeight="1" outlineLevel="1">
      <c r="A104" s="6"/>
      <c r="B104" s="15" t="s">
        <v>159</v>
      </c>
      <c r="C104" s="7"/>
      <c r="D104" s="7"/>
      <c r="E104" s="7"/>
      <c r="F104" s="22"/>
      <c r="G104" s="22"/>
      <c r="H104" s="22">
        <f>SUBTOTAL(9,H98:H103)</f>
        <v>0</v>
      </c>
      <c r="I104" s="14"/>
      <c r="J104" s="14"/>
      <c r="K104" s="14"/>
      <c r="L104" s="22">
        <v>80741.400000000009</v>
      </c>
    </row>
    <row r="105" spans="1:12" ht="21.95" customHeight="1" outlineLevel="2">
      <c r="A105" s="3">
        <f>ROW(A103)</f>
        <v>103</v>
      </c>
      <c r="B105" s="3" t="s">
        <v>128</v>
      </c>
      <c r="C105" s="4" t="s">
        <v>8</v>
      </c>
      <c r="D105" s="4"/>
      <c r="E105" s="4" t="s">
        <v>146</v>
      </c>
      <c r="F105" s="21"/>
      <c r="G105" s="21"/>
      <c r="H105" s="21"/>
      <c r="I105" s="11" t="s">
        <v>34</v>
      </c>
      <c r="J105" s="11">
        <v>1</v>
      </c>
      <c r="K105" s="11" t="s">
        <v>10</v>
      </c>
      <c r="L105" s="21"/>
    </row>
    <row r="106" spans="1:12" s="5" customFormat="1" ht="21.95" hidden="1" customHeight="1" outlineLevel="2">
      <c r="A106" s="6">
        <f t="shared" si="32"/>
        <v>105</v>
      </c>
      <c r="B106" s="6" t="s">
        <v>128</v>
      </c>
      <c r="C106" s="7" t="s">
        <v>11</v>
      </c>
      <c r="D106" s="7" t="s">
        <v>56</v>
      </c>
      <c r="E106" s="7" t="s">
        <v>57</v>
      </c>
      <c r="F106" s="22">
        <v>10270</v>
      </c>
      <c r="G106" s="22">
        <f t="shared" ref="G106:G108" si="50">0.6*F106</f>
        <v>6162</v>
      </c>
      <c r="H106" s="22">
        <f t="shared" ref="H106:H108" si="51">G106*J106</f>
        <v>6162</v>
      </c>
      <c r="I106" s="14" t="s">
        <v>66</v>
      </c>
      <c r="J106" s="14">
        <v>1</v>
      </c>
      <c r="K106" s="14" t="s">
        <v>12</v>
      </c>
      <c r="L106" s="22">
        <v>6162</v>
      </c>
    </row>
    <row r="107" spans="1:12" s="5" customFormat="1" ht="21.95" hidden="1" customHeight="1" outlineLevel="2">
      <c r="A107" s="6">
        <f t="shared" si="32"/>
        <v>106</v>
      </c>
      <c r="B107" s="6" t="s">
        <v>128</v>
      </c>
      <c r="C107" s="7" t="s">
        <v>28</v>
      </c>
      <c r="D107" s="7" t="s">
        <v>38</v>
      </c>
      <c r="E107" s="7" t="s">
        <v>39</v>
      </c>
      <c r="F107" s="22">
        <v>3372</v>
      </c>
      <c r="G107" s="22">
        <f t="shared" si="50"/>
        <v>2023.1999999999998</v>
      </c>
      <c r="H107" s="22">
        <f t="shared" si="51"/>
        <v>2023.1999999999998</v>
      </c>
      <c r="I107" s="14" t="s">
        <v>14</v>
      </c>
      <c r="J107" s="14">
        <v>1</v>
      </c>
      <c r="K107" s="14" t="s">
        <v>12</v>
      </c>
      <c r="L107" s="22">
        <v>2023.1999999999998</v>
      </c>
    </row>
    <row r="108" spans="1:12" s="5" customFormat="1" ht="21.95" hidden="1" customHeight="1" outlineLevel="2">
      <c r="A108" s="6">
        <f t="shared" si="32"/>
        <v>107</v>
      </c>
      <c r="B108" s="6" t="s">
        <v>128</v>
      </c>
      <c r="C108" s="7" t="s">
        <v>24</v>
      </c>
      <c r="D108" s="7" t="s">
        <v>69</v>
      </c>
      <c r="E108" s="7" t="s">
        <v>70</v>
      </c>
      <c r="F108" s="22">
        <v>783</v>
      </c>
      <c r="G108" s="22">
        <f t="shared" si="50"/>
        <v>469.79999999999995</v>
      </c>
      <c r="H108" s="22">
        <f t="shared" si="51"/>
        <v>1879.1999999999998</v>
      </c>
      <c r="I108" s="14" t="s">
        <v>14</v>
      </c>
      <c r="J108" s="14">
        <v>4</v>
      </c>
      <c r="K108" s="14" t="s">
        <v>12</v>
      </c>
      <c r="L108" s="22">
        <v>1879.1999999999998</v>
      </c>
    </row>
    <row r="109" spans="1:12" s="5" customFormat="1" ht="21.95" hidden="1" customHeight="1" outlineLevel="2">
      <c r="A109" s="6">
        <f t="shared" si="32"/>
        <v>108</v>
      </c>
      <c r="B109" s="6" t="s">
        <v>128</v>
      </c>
      <c r="C109" s="7" t="s">
        <v>19</v>
      </c>
      <c r="D109" s="7"/>
      <c r="E109" s="7" t="s">
        <v>20</v>
      </c>
      <c r="F109" s="22">
        <f ca="1">OFFSET(F109,1,2)</f>
        <v>3000</v>
      </c>
      <c r="G109" s="22">
        <f ca="1">F109</f>
        <v>3000</v>
      </c>
      <c r="H109" s="22">
        <f t="shared" ref="H109" ca="1" si="52">G109*J109</f>
        <v>3000</v>
      </c>
      <c r="I109" s="14" t="s">
        <v>19</v>
      </c>
      <c r="J109" s="14">
        <v>1</v>
      </c>
      <c r="K109" s="14" t="s">
        <v>12</v>
      </c>
      <c r="L109" s="22">
        <v>3000</v>
      </c>
    </row>
    <row r="110" spans="1:12" s="5" customFormat="1" ht="21.95" hidden="1" customHeight="1" outlineLevel="2">
      <c r="A110" s="6">
        <f t="shared" si="32"/>
        <v>109</v>
      </c>
      <c r="B110" s="6" t="s">
        <v>128</v>
      </c>
      <c r="C110" s="7" t="s">
        <v>21</v>
      </c>
      <c r="D110" s="7"/>
      <c r="E110" s="7" t="s">
        <v>22</v>
      </c>
      <c r="F110" s="22">
        <v>0.5</v>
      </c>
      <c r="G110" s="22">
        <v>100</v>
      </c>
      <c r="H110" s="22">
        <f t="shared" ref="H110" si="53">G110*J110</f>
        <v>3000</v>
      </c>
      <c r="I110" s="14" t="s">
        <v>21</v>
      </c>
      <c r="J110" s="14">
        <f>60*F110</f>
        <v>30</v>
      </c>
      <c r="K110" s="14" t="s">
        <v>12</v>
      </c>
      <c r="L110" s="22">
        <v>3000</v>
      </c>
    </row>
    <row r="111" spans="1:12" s="5" customFormat="1" ht="21.95" customHeight="1" outlineLevel="1">
      <c r="A111" s="6"/>
      <c r="B111" s="15" t="s">
        <v>160</v>
      </c>
      <c r="C111" s="7"/>
      <c r="D111" s="7"/>
      <c r="E111" s="7"/>
      <c r="F111" s="22"/>
      <c r="G111" s="22"/>
      <c r="H111" s="22">
        <f>SUBTOTAL(9,H105:H110)</f>
        <v>0</v>
      </c>
      <c r="I111" s="14"/>
      <c r="J111" s="14"/>
      <c r="K111" s="14"/>
      <c r="L111" s="22">
        <v>16064.4</v>
      </c>
    </row>
    <row r="112" spans="1:12" ht="21.95" customHeight="1" outlineLevel="2">
      <c r="A112" s="3">
        <f>ROW(A110)</f>
        <v>110</v>
      </c>
      <c r="B112" s="3" t="s">
        <v>129</v>
      </c>
      <c r="C112" s="4" t="s">
        <v>8</v>
      </c>
      <c r="D112" s="4"/>
      <c r="E112" s="4" t="s">
        <v>146</v>
      </c>
      <c r="F112" s="21"/>
      <c r="G112" s="21"/>
      <c r="H112" s="21"/>
      <c r="I112" s="11" t="s">
        <v>34</v>
      </c>
      <c r="J112" s="11">
        <v>1</v>
      </c>
      <c r="K112" s="11" t="s">
        <v>10</v>
      </c>
      <c r="L112" s="21"/>
    </row>
    <row r="113" spans="1:12" s="5" customFormat="1" ht="21.95" hidden="1" customHeight="1" outlineLevel="2">
      <c r="A113" s="6">
        <f t="shared" si="32"/>
        <v>112</v>
      </c>
      <c r="B113" s="6" t="s">
        <v>129</v>
      </c>
      <c r="C113" s="7" t="s">
        <v>11</v>
      </c>
      <c r="D113" s="7" t="s">
        <v>58</v>
      </c>
      <c r="E113" s="7" t="s">
        <v>59</v>
      </c>
      <c r="F113" s="22">
        <v>14695</v>
      </c>
      <c r="G113" s="22">
        <f t="shared" ref="G113:G115" si="54">0.6*F113</f>
        <v>8817</v>
      </c>
      <c r="H113" s="22">
        <f t="shared" ref="H113:H115" si="55">G113*J113</f>
        <v>8817</v>
      </c>
      <c r="I113" s="14" t="s">
        <v>66</v>
      </c>
      <c r="J113" s="14">
        <v>1</v>
      </c>
      <c r="K113" s="14" t="s">
        <v>12</v>
      </c>
      <c r="L113" s="22">
        <v>8817</v>
      </c>
    </row>
    <row r="114" spans="1:12" s="5" customFormat="1" ht="21.95" hidden="1" customHeight="1" outlineLevel="2">
      <c r="A114" s="6">
        <f t="shared" si="32"/>
        <v>113</v>
      </c>
      <c r="B114" s="6" t="s">
        <v>129</v>
      </c>
      <c r="C114" s="7" t="s">
        <v>28</v>
      </c>
      <c r="D114" s="7" t="s">
        <v>40</v>
      </c>
      <c r="E114" s="7" t="s">
        <v>41</v>
      </c>
      <c r="F114" s="22">
        <v>3372</v>
      </c>
      <c r="G114" s="22">
        <f t="shared" si="54"/>
        <v>2023.1999999999998</v>
      </c>
      <c r="H114" s="22">
        <f t="shared" si="55"/>
        <v>2023.1999999999998</v>
      </c>
      <c r="I114" s="14" t="s">
        <v>14</v>
      </c>
      <c r="J114" s="14">
        <v>1</v>
      </c>
      <c r="K114" s="14" t="s">
        <v>12</v>
      </c>
      <c r="L114" s="22">
        <v>2023.1999999999998</v>
      </c>
    </row>
    <row r="115" spans="1:12" s="5" customFormat="1" ht="21.95" hidden="1" customHeight="1" outlineLevel="2">
      <c r="A115" s="6">
        <f t="shared" si="32"/>
        <v>114</v>
      </c>
      <c r="B115" s="6" t="s">
        <v>129</v>
      </c>
      <c r="C115" s="7" t="s">
        <v>24</v>
      </c>
      <c r="D115" s="7" t="s">
        <v>69</v>
      </c>
      <c r="E115" s="7" t="s">
        <v>70</v>
      </c>
      <c r="F115" s="22">
        <v>783</v>
      </c>
      <c r="G115" s="22">
        <f t="shared" si="54"/>
        <v>469.79999999999995</v>
      </c>
      <c r="H115" s="22">
        <f t="shared" si="55"/>
        <v>4228.2</v>
      </c>
      <c r="I115" s="14" t="s">
        <v>14</v>
      </c>
      <c r="J115" s="14">
        <v>9</v>
      </c>
      <c r="K115" s="14" t="s">
        <v>12</v>
      </c>
      <c r="L115" s="22">
        <v>4228.2</v>
      </c>
    </row>
    <row r="116" spans="1:12" s="5" customFormat="1" ht="21.95" hidden="1" customHeight="1" outlineLevel="2">
      <c r="A116" s="6">
        <f t="shared" si="32"/>
        <v>115</v>
      </c>
      <c r="B116" s="6" t="s">
        <v>129</v>
      </c>
      <c r="C116" s="7" t="s">
        <v>19</v>
      </c>
      <c r="D116" s="7"/>
      <c r="E116" s="7" t="s">
        <v>20</v>
      </c>
      <c r="F116" s="22">
        <f ca="1">OFFSET(F116,1,2)</f>
        <v>4200</v>
      </c>
      <c r="G116" s="22">
        <f ca="1">F116</f>
        <v>4200</v>
      </c>
      <c r="H116" s="22">
        <f t="shared" ref="H116" ca="1" si="56">G116*J116</f>
        <v>4200</v>
      </c>
      <c r="I116" s="14" t="s">
        <v>19</v>
      </c>
      <c r="J116" s="14">
        <v>1</v>
      </c>
      <c r="K116" s="14" t="s">
        <v>12</v>
      </c>
      <c r="L116" s="22">
        <v>4200</v>
      </c>
    </row>
    <row r="117" spans="1:12" s="5" customFormat="1" ht="21.95" hidden="1" customHeight="1" outlineLevel="2">
      <c r="A117" s="6">
        <f t="shared" si="32"/>
        <v>116</v>
      </c>
      <c r="B117" s="6" t="s">
        <v>129</v>
      </c>
      <c r="C117" s="7" t="s">
        <v>21</v>
      </c>
      <c r="D117" s="7"/>
      <c r="E117" s="7" t="s">
        <v>22</v>
      </c>
      <c r="F117" s="22">
        <v>0.7</v>
      </c>
      <c r="G117" s="22">
        <v>100</v>
      </c>
      <c r="H117" s="22">
        <f t="shared" ref="H117" si="57">G117*J117</f>
        <v>4200</v>
      </c>
      <c r="I117" s="14" t="s">
        <v>21</v>
      </c>
      <c r="J117" s="14">
        <f>60*F117</f>
        <v>42</v>
      </c>
      <c r="K117" s="14" t="s">
        <v>12</v>
      </c>
      <c r="L117" s="22">
        <v>4200</v>
      </c>
    </row>
    <row r="118" spans="1:12" s="5" customFormat="1" ht="21.95" customHeight="1" outlineLevel="1">
      <c r="A118" s="6"/>
      <c r="B118" s="15" t="s">
        <v>161</v>
      </c>
      <c r="C118" s="7"/>
      <c r="D118" s="7"/>
      <c r="E118" s="7"/>
      <c r="F118" s="22"/>
      <c r="G118" s="22"/>
      <c r="H118" s="22">
        <f>SUBTOTAL(9,H112:H117)</f>
        <v>0</v>
      </c>
      <c r="I118" s="14"/>
      <c r="J118" s="14"/>
      <c r="K118" s="14"/>
      <c r="L118" s="22">
        <v>23468.400000000001</v>
      </c>
    </row>
    <row r="119" spans="1:12" ht="21.95" customHeight="1" outlineLevel="2">
      <c r="A119" s="3">
        <f>ROW(A117)</f>
        <v>117</v>
      </c>
      <c r="B119" s="3" t="s">
        <v>130</v>
      </c>
      <c r="C119" s="4" t="s">
        <v>8</v>
      </c>
      <c r="D119" s="4"/>
      <c r="E119" s="4" t="s">
        <v>146</v>
      </c>
      <c r="F119" s="21"/>
      <c r="G119" s="21"/>
      <c r="H119" s="21"/>
      <c r="I119" s="11" t="s">
        <v>34</v>
      </c>
      <c r="J119" s="11">
        <v>1</v>
      </c>
      <c r="K119" s="11" t="s">
        <v>10</v>
      </c>
      <c r="L119" s="21"/>
    </row>
    <row r="120" spans="1:12" s="5" customFormat="1" ht="21.95" hidden="1" customHeight="1" outlineLevel="2">
      <c r="A120" s="6">
        <f t="shared" si="32"/>
        <v>119</v>
      </c>
      <c r="B120" s="6" t="s">
        <v>130</v>
      </c>
      <c r="C120" s="7" t="s">
        <v>11</v>
      </c>
      <c r="D120" s="7" t="s">
        <v>60</v>
      </c>
      <c r="E120" s="7" t="s">
        <v>61</v>
      </c>
      <c r="F120" s="22">
        <v>15000</v>
      </c>
      <c r="G120" s="22">
        <f t="shared" ref="G120:G122" si="58">0.6*F120</f>
        <v>9000</v>
      </c>
      <c r="H120" s="22">
        <f t="shared" ref="H120:H122" si="59">G120*J120</f>
        <v>9000</v>
      </c>
      <c r="I120" s="14" t="s">
        <v>66</v>
      </c>
      <c r="J120" s="14">
        <v>1</v>
      </c>
      <c r="K120" s="14" t="s">
        <v>12</v>
      </c>
      <c r="L120" s="22">
        <v>9000</v>
      </c>
    </row>
    <row r="121" spans="1:12" s="5" customFormat="1" ht="21.95" hidden="1" customHeight="1" outlineLevel="2">
      <c r="A121" s="6">
        <f t="shared" si="32"/>
        <v>120</v>
      </c>
      <c r="B121" s="6" t="s">
        <v>130</v>
      </c>
      <c r="C121" s="7" t="s">
        <v>28</v>
      </c>
      <c r="D121" s="7" t="s">
        <v>42</v>
      </c>
      <c r="E121" s="7" t="s">
        <v>43</v>
      </c>
      <c r="F121" s="22">
        <v>4217</v>
      </c>
      <c r="G121" s="22">
        <f t="shared" si="58"/>
        <v>2530.1999999999998</v>
      </c>
      <c r="H121" s="22">
        <f t="shared" si="59"/>
        <v>2530.1999999999998</v>
      </c>
      <c r="I121" s="14" t="s">
        <v>14</v>
      </c>
      <c r="J121" s="14">
        <v>1</v>
      </c>
      <c r="K121" s="14" t="s">
        <v>12</v>
      </c>
      <c r="L121" s="22">
        <v>2530.1999999999998</v>
      </c>
    </row>
    <row r="122" spans="1:12" s="5" customFormat="1" ht="21.95" hidden="1" customHeight="1" outlineLevel="2">
      <c r="A122" s="6">
        <f t="shared" si="32"/>
        <v>121</v>
      </c>
      <c r="B122" s="6" t="s">
        <v>130</v>
      </c>
      <c r="C122" s="7" t="s">
        <v>24</v>
      </c>
      <c r="D122" s="7" t="s">
        <v>69</v>
      </c>
      <c r="E122" s="7" t="s">
        <v>70</v>
      </c>
      <c r="F122" s="22">
        <v>783</v>
      </c>
      <c r="G122" s="22">
        <f t="shared" si="58"/>
        <v>469.79999999999995</v>
      </c>
      <c r="H122" s="22">
        <f t="shared" si="59"/>
        <v>6577.1999999999989</v>
      </c>
      <c r="I122" s="14" t="s">
        <v>14</v>
      </c>
      <c r="J122" s="14">
        <v>14</v>
      </c>
      <c r="K122" s="14" t="s">
        <v>12</v>
      </c>
      <c r="L122" s="22">
        <v>6577.1999999999989</v>
      </c>
    </row>
    <row r="123" spans="1:12" s="5" customFormat="1" ht="21.95" hidden="1" customHeight="1" outlineLevel="2">
      <c r="A123" s="6">
        <f t="shared" si="32"/>
        <v>122</v>
      </c>
      <c r="B123" s="6" t="s">
        <v>130</v>
      </c>
      <c r="C123" s="7" t="s">
        <v>19</v>
      </c>
      <c r="D123" s="7"/>
      <c r="E123" s="7" t="s">
        <v>20</v>
      </c>
      <c r="F123" s="22">
        <f ca="1">OFFSET(F123,1,2)</f>
        <v>4200</v>
      </c>
      <c r="G123" s="22">
        <f ca="1">F123</f>
        <v>4200</v>
      </c>
      <c r="H123" s="22">
        <f t="shared" ref="H123" ca="1" si="60">G123*J123</f>
        <v>4200</v>
      </c>
      <c r="I123" s="14" t="s">
        <v>19</v>
      </c>
      <c r="J123" s="14">
        <v>1</v>
      </c>
      <c r="K123" s="14" t="s">
        <v>12</v>
      </c>
      <c r="L123" s="22">
        <v>4200</v>
      </c>
    </row>
    <row r="124" spans="1:12" s="5" customFormat="1" ht="21.95" hidden="1" customHeight="1" outlineLevel="2">
      <c r="A124" s="6">
        <f t="shared" si="32"/>
        <v>123</v>
      </c>
      <c r="B124" s="6" t="s">
        <v>130</v>
      </c>
      <c r="C124" s="7" t="s">
        <v>21</v>
      </c>
      <c r="D124" s="7"/>
      <c r="E124" s="7" t="s">
        <v>22</v>
      </c>
      <c r="F124" s="22">
        <v>0.7</v>
      </c>
      <c r="G124" s="22">
        <v>100</v>
      </c>
      <c r="H124" s="22">
        <f t="shared" ref="H124" si="61">G124*J124</f>
        <v>4200</v>
      </c>
      <c r="I124" s="14" t="s">
        <v>21</v>
      </c>
      <c r="J124" s="14">
        <f>60*F124</f>
        <v>42</v>
      </c>
      <c r="K124" s="14" t="s">
        <v>12</v>
      </c>
      <c r="L124" s="22">
        <v>4200</v>
      </c>
    </row>
    <row r="125" spans="1:12" s="5" customFormat="1" ht="21.95" customHeight="1" outlineLevel="1">
      <c r="A125" s="6"/>
      <c r="B125" s="15" t="s">
        <v>162</v>
      </c>
      <c r="C125" s="7"/>
      <c r="D125" s="7"/>
      <c r="E125" s="7"/>
      <c r="F125" s="22"/>
      <c r="G125" s="22"/>
      <c r="H125" s="22">
        <f>SUBTOTAL(9,H119:H124)</f>
        <v>0</v>
      </c>
      <c r="I125" s="14"/>
      <c r="J125" s="14"/>
      <c r="K125" s="14"/>
      <c r="L125" s="22">
        <v>26507.4</v>
      </c>
    </row>
    <row r="126" spans="1:12" ht="21.95" customHeight="1" outlineLevel="2">
      <c r="A126" s="3">
        <f>ROW(A124)</f>
        <v>124</v>
      </c>
      <c r="B126" s="3" t="s">
        <v>131</v>
      </c>
      <c r="C126" s="4" t="s">
        <v>8</v>
      </c>
      <c r="D126" s="4"/>
      <c r="E126" s="4" t="s">
        <v>146</v>
      </c>
      <c r="F126" s="21"/>
      <c r="G126" s="21"/>
      <c r="H126" s="21"/>
      <c r="I126" s="11" t="s">
        <v>34</v>
      </c>
      <c r="J126" s="11">
        <v>1</v>
      </c>
      <c r="K126" s="11" t="s">
        <v>10</v>
      </c>
      <c r="L126" s="21"/>
    </row>
    <row r="127" spans="1:12" s="5" customFormat="1" ht="21.95" hidden="1" customHeight="1" outlineLevel="2">
      <c r="A127" s="6">
        <f t="shared" si="32"/>
        <v>126</v>
      </c>
      <c r="B127" s="6" t="s">
        <v>131</v>
      </c>
      <c r="C127" s="7" t="s">
        <v>11</v>
      </c>
      <c r="D127" s="7" t="s">
        <v>56</v>
      </c>
      <c r="E127" s="7" t="s">
        <v>57</v>
      </c>
      <c r="F127" s="22">
        <v>10270</v>
      </c>
      <c r="G127" s="22">
        <f t="shared" ref="G127:G129" si="62">0.6*F127</f>
        <v>6162</v>
      </c>
      <c r="H127" s="22">
        <f t="shared" ref="H127:H129" si="63">G127*J127</f>
        <v>6162</v>
      </c>
      <c r="I127" s="14" t="s">
        <v>66</v>
      </c>
      <c r="J127" s="14">
        <v>1</v>
      </c>
      <c r="K127" s="14" t="s">
        <v>12</v>
      </c>
      <c r="L127" s="22">
        <v>6162</v>
      </c>
    </row>
    <row r="128" spans="1:12" s="5" customFormat="1" ht="21.95" hidden="1" customHeight="1" outlineLevel="2">
      <c r="A128" s="6">
        <f t="shared" si="32"/>
        <v>127</v>
      </c>
      <c r="B128" s="6" t="s">
        <v>131</v>
      </c>
      <c r="C128" s="7" t="s">
        <v>28</v>
      </c>
      <c r="D128" s="7" t="s">
        <v>38</v>
      </c>
      <c r="E128" s="7" t="s">
        <v>39</v>
      </c>
      <c r="F128" s="22">
        <v>3372</v>
      </c>
      <c r="G128" s="22">
        <f t="shared" si="62"/>
        <v>2023.1999999999998</v>
      </c>
      <c r="H128" s="22">
        <f t="shared" si="63"/>
        <v>2023.1999999999998</v>
      </c>
      <c r="I128" s="14" t="s">
        <v>14</v>
      </c>
      <c r="J128" s="14">
        <v>1</v>
      </c>
      <c r="K128" s="14" t="s">
        <v>12</v>
      </c>
      <c r="L128" s="22">
        <v>2023.1999999999998</v>
      </c>
    </row>
    <row r="129" spans="1:12" s="5" customFormat="1" ht="21.95" hidden="1" customHeight="1" outlineLevel="2">
      <c r="A129" s="6">
        <f t="shared" si="32"/>
        <v>128</v>
      </c>
      <c r="B129" s="6" t="s">
        <v>131</v>
      </c>
      <c r="C129" s="7" t="s">
        <v>24</v>
      </c>
      <c r="D129" s="7" t="s">
        <v>69</v>
      </c>
      <c r="E129" s="7" t="s">
        <v>70</v>
      </c>
      <c r="F129" s="22">
        <v>783</v>
      </c>
      <c r="G129" s="22">
        <f t="shared" si="62"/>
        <v>469.79999999999995</v>
      </c>
      <c r="H129" s="22">
        <f t="shared" si="63"/>
        <v>1879.1999999999998</v>
      </c>
      <c r="I129" s="14" t="s">
        <v>14</v>
      </c>
      <c r="J129" s="14">
        <v>4</v>
      </c>
      <c r="K129" s="14" t="s">
        <v>12</v>
      </c>
      <c r="L129" s="22">
        <v>1879.1999999999998</v>
      </c>
    </row>
    <row r="130" spans="1:12" s="5" customFormat="1" ht="21.95" hidden="1" customHeight="1" outlineLevel="2">
      <c r="A130" s="6">
        <f t="shared" si="32"/>
        <v>129</v>
      </c>
      <c r="B130" s="6" t="s">
        <v>131</v>
      </c>
      <c r="C130" s="7" t="s">
        <v>19</v>
      </c>
      <c r="D130" s="7"/>
      <c r="E130" s="7" t="s">
        <v>20</v>
      </c>
      <c r="F130" s="22">
        <f ca="1">OFFSET(F130,1,2)</f>
        <v>3000</v>
      </c>
      <c r="G130" s="22">
        <f ca="1">F130</f>
        <v>3000</v>
      </c>
      <c r="H130" s="22">
        <f t="shared" ref="H130" ca="1" si="64">G130*J130</f>
        <v>3000</v>
      </c>
      <c r="I130" s="14" t="s">
        <v>19</v>
      </c>
      <c r="J130" s="14">
        <v>1</v>
      </c>
      <c r="K130" s="14" t="s">
        <v>12</v>
      </c>
      <c r="L130" s="22">
        <v>3000</v>
      </c>
    </row>
    <row r="131" spans="1:12" s="5" customFormat="1" ht="21.95" hidden="1" customHeight="1" outlineLevel="2">
      <c r="A131" s="6">
        <f t="shared" si="32"/>
        <v>130</v>
      </c>
      <c r="B131" s="6" t="s">
        <v>131</v>
      </c>
      <c r="C131" s="7" t="s">
        <v>21</v>
      </c>
      <c r="D131" s="7"/>
      <c r="E131" s="7" t="s">
        <v>22</v>
      </c>
      <c r="F131" s="22">
        <v>0.5</v>
      </c>
      <c r="G131" s="22">
        <v>100</v>
      </c>
      <c r="H131" s="22">
        <f t="shared" ref="H131" si="65">G131*J131</f>
        <v>3000</v>
      </c>
      <c r="I131" s="14" t="s">
        <v>21</v>
      </c>
      <c r="J131" s="14">
        <f>60*F131</f>
        <v>30</v>
      </c>
      <c r="K131" s="14" t="s">
        <v>12</v>
      </c>
      <c r="L131" s="22">
        <v>3000</v>
      </c>
    </row>
    <row r="132" spans="1:12" s="5" customFormat="1" ht="21.95" customHeight="1" outlineLevel="1">
      <c r="A132" s="6"/>
      <c r="B132" s="15" t="s">
        <v>163</v>
      </c>
      <c r="C132" s="7"/>
      <c r="D132" s="7"/>
      <c r="E132" s="7"/>
      <c r="F132" s="22"/>
      <c r="G132" s="22"/>
      <c r="H132" s="22">
        <f>SUBTOTAL(9,H126:H131)</f>
        <v>0</v>
      </c>
      <c r="I132" s="14"/>
      <c r="J132" s="14"/>
      <c r="K132" s="14"/>
      <c r="L132" s="22">
        <v>16064.4</v>
      </c>
    </row>
    <row r="133" spans="1:12" s="10" customFormat="1" ht="21.95" customHeight="1" outlineLevel="2">
      <c r="A133" s="8">
        <f>ROW(A131)</f>
        <v>131</v>
      </c>
      <c r="B133" s="3" t="s">
        <v>132</v>
      </c>
      <c r="C133" s="9" t="s">
        <v>8</v>
      </c>
      <c r="D133" s="9"/>
      <c r="E133" s="9" t="s">
        <v>9</v>
      </c>
      <c r="F133" s="23"/>
      <c r="G133" s="23"/>
      <c r="H133" s="23"/>
      <c r="I133" s="12" t="s">
        <v>34</v>
      </c>
      <c r="J133" s="12">
        <v>1</v>
      </c>
      <c r="K133" s="12" t="s">
        <v>10</v>
      </c>
      <c r="L133" s="23"/>
    </row>
    <row r="134" spans="1:12" s="5" customFormat="1" ht="21.95" hidden="1" customHeight="1" outlineLevel="2">
      <c r="A134" s="6">
        <f t="shared" si="32"/>
        <v>133</v>
      </c>
      <c r="B134" s="6" t="s">
        <v>132</v>
      </c>
      <c r="C134" s="7" t="s">
        <v>11</v>
      </c>
      <c r="D134" s="7" t="s">
        <v>64</v>
      </c>
      <c r="E134" s="7" t="s">
        <v>65</v>
      </c>
      <c r="F134" s="22">
        <v>155000</v>
      </c>
      <c r="G134" s="22">
        <f t="shared" ref="G134:G135" si="66">0.6*F134</f>
        <v>93000</v>
      </c>
      <c r="H134" s="22">
        <f t="shared" ref="H134:H135" si="67">G134*J134</f>
        <v>93000</v>
      </c>
      <c r="I134" s="14" t="s">
        <v>105</v>
      </c>
      <c r="J134" s="14">
        <v>1</v>
      </c>
      <c r="K134" s="14" t="s">
        <v>12</v>
      </c>
      <c r="L134" s="22">
        <v>93000</v>
      </c>
    </row>
    <row r="135" spans="1:12" s="5" customFormat="1" ht="21.95" hidden="1" customHeight="1" outlineLevel="2">
      <c r="A135" s="6">
        <f t="shared" si="32"/>
        <v>134</v>
      </c>
      <c r="B135" s="6" t="s">
        <v>132</v>
      </c>
      <c r="C135" s="7" t="s">
        <v>13</v>
      </c>
      <c r="D135" s="7" t="s">
        <v>90</v>
      </c>
      <c r="E135" s="7" t="s">
        <v>91</v>
      </c>
      <c r="F135" s="22">
        <v>33910</v>
      </c>
      <c r="G135" s="22">
        <f t="shared" si="66"/>
        <v>20346</v>
      </c>
      <c r="H135" s="22">
        <f t="shared" si="67"/>
        <v>40692</v>
      </c>
      <c r="I135" s="14" t="s">
        <v>14</v>
      </c>
      <c r="J135" s="14">
        <v>2</v>
      </c>
      <c r="K135" s="14" t="s">
        <v>12</v>
      </c>
      <c r="L135" s="22">
        <v>40692</v>
      </c>
    </row>
    <row r="136" spans="1:12" s="5" customFormat="1" ht="21.95" hidden="1" customHeight="1" outlineLevel="2">
      <c r="A136" s="6">
        <f t="shared" si="32"/>
        <v>135</v>
      </c>
      <c r="B136" s="6" t="s">
        <v>132</v>
      </c>
      <c r="C136" s="7" t="s">
        <v>15</v>
      </c>
      <c r="D136" s="7" t="s">
        <v>46</v>
      </c>
      <c r="E136" s="7" t="s">
        <v>47</v>
      </c>
      <c r="F136" s="22">
        <v>69000</v>
      </c>
      <c r="G136" s="22">
        <f>F136</f>
        <v>69000</v>
      </c>
      <c r="H136" s="22">
        <f t="shared" ref="H136:H140" si="68">G136*J136</f>
        <v>138000</v>
      </c>
      <c r="I136" s="14" t="s">
        <v>48</v>
      </c>
      <c r="J136" s="14">
        <v>2</v>
      </c>
      <c r="K136" s="14" t="s">
        <v>12</v>
      </c>
      <c r="L136" s="22">
        <v>138000</v>
      </c>
    </row>
    <row r="137" spans="1:12" s="5" customFormat="1" ht="21.95" hidden="1" customHeight="1" outlineLevel="2">
      <c r="A137" s="6">
        <f t="shared" si="32"/>
        <v>136</v>
      </c>
      <c r="B137" s="6" t="s">
        <v>132</v>
      </c>
      <c r="C137" s="7" t="s">
        <v>16</v>
      </c>
      <c r="D137" s="7" t="s">
        <v>86</v>
      </c>
      <c r="E137" s="7" t="s">
        <v>87</v>
      </c>
      <c r="F137" s="22">
        <v>90000</v>
      </c>
      <c r="G137" s="22">
        <f>F137</f>
        <v>90000</v>
      </c>
      <c r="H137" s="22">
        <f t="shared" si="68"/>
        <v>180000</v>
      </c>
      <c r="I137" s="14" t="s">
        <v>17</v>
      </c>
      <c r="J137" s="14">
        <v>2</v>
      </c>
      <c r="K137" s="14" t="s">
        <v>12</v>
      </c>
      <c r="L137" s="22">
        <v>180000</v>
      </c>
    </row>
    <row r="138" spans="1:12" s="5" customFormat="1" ht="21.95" hidden="1" customHeight="1" outlineLevel="2">
      <c r="A138" s="6">
        <f t="shared" si="32"/>
        <v>137</v>
      </c>
      <c r="B138" s="6" t="s">
        <v>132</v>
      </c>
      <c r="C138" s="7" t="s">
        <v>18</v>
      </c>
      <c r="D138" s="7" t="s">
        <v>94</v>
      </c>
      <c r="E138" s="7" t="s">
        <v>95</v>
      </c>
      <c r="F138" s="22">
        <v>6018</v>
      </c>
      <c r="G138" s="22">
        <f>0.6*F138</f>
        <v>3610.7999999999997</v>
      </c>
      <c r="H138" s="22">
        <f>G138*J138</f>
        <v>21664.799999999999</v>
      </c>
      <c r="I138" s="14" t="s">
        <v>14</v>
      </c>
      <c r="J138" s="14">
        <v>6</v>
      </c>
      <c r="K138" s="14" t="s">
        <v>12</v>
      </c>
      <c r="L138" s="22">
        <v>21664.799999999999</v>
      </c>
    </row>
    <row r="139" spans="1:12" s="5" customFormat="1" ht="21.95" hidden="1" customHeight="1" outlineLevel="2">
      <c r="A139" s="6">
        <f t="shared" si="32"/>
        <v>138</v>
      </c>
      <c r="B139" s="6" t="s">
        <v>132</v>
      </c>
      <c r="C139" s="7" t="s">
        <v>19</v>
      </c>
      <c r="D139" s="7"/>
      <c r="E139" s="7" t="s">
        <v>20</v>
      </c>
      <c r="F139" s="22">
        <f ca="1">OFFSET(F139,1,2)</f>
        <v>60000</v>
      </c>
      <c r="G139" s="22">
        <f ca="1">F139</f>
        <v>60000</v>
      </c>
      <c r="H139" s="22">
        <f t="shared" ca="1" si="68"/>
        <v>60000</v>
      </c>
      <c r="I139" s="14" t="s">
        <v>19</v>
      </c>
      <c r="J139" s="14">
        <v>1</v>
      </c>
      <c r="K139" s="14" t="s">
        <v>12</v>
      </c>
      <c r="L139" s="22">
        <v>60000</v>
      </c>
    </row>
    <row r="140" spans="1:12" s="5" customFormat="1" ht="21.95" hidden="1" customHeight="1" outlineLevel="2">
      <c r="A140" s="6">
        <f t="shared" si="32"/>
        <v>139</v>
      </c>
      <c r="B140" s="6" t="s">
        <v>132</v>
      </c>
      <c r="C140" s="7" t="s">
        <v>21</v>
      </c>
      <c r="D140" s="7"/>
      <c r="E140" s="7" t="s">
        <v>22</v>
      </c>
      <c r="F140" s="22">
        <v>10</v>
      </c>
      <c r="G140" s="22">
        <v>100</v>
      </c>
      <c r="H140" s="22">
        <f t="shared" si="68"/>
        <v>60000</v>
      </c>
      <c r="I140" s="14" t="s">
        <v>21</v>
      </c>
      <c r="J140" s="14">
        <f>60*F140</f>
        <v>600</v>
      </c>
      <c r="K140" s="14" t="s">
        <v>12</v>
      </c>
      <c r="L140" s="22">
        <v>60000</v>
      </c>
    </row>
    <row r="141" spans="1:12" s="5" customFormat="1" ht="21.95" customHeight="1" outlineLevel="1">
      <c r="A141" s="6"/>
      <c r="B141" s="15" t="s">
        <v>164</v>
      </c>
      <c r="C141" s="7"/>
      <c r="D141" s="7"/>
      <c r="E141" s="7"/>
      <c r="F141" s="22"/>
      <c r="G141" s="22"/>
      <c r="H141" s="22">
        <f>SUBTOTAL(9,H133:H140)</f>
        <v>0</v>
      </c>
      <c r="I141" s="14"/>
      <c r="J141" s="14"/>
      <c r="K141" s="14"/>
      <c r="L141" s="22">
        <v>593356.80000000005</v>
      </c>
    </row>
    <row r="142" spans="1:12" s="10" customFormat="1" ht="21.95" customHeight="1" outlineLevel="2">
      <c r="A142" s="8">
        <f>ROW(A140)</f>
        <v>140</v>
      </c>
      <c r="B142" s="3" t="s">
        <v>133</v>
      </c>
      <c r="C142" s="9" t="s">
        <v>8</v>
      </c>
      <c r="D142" s="9"/>
      <c r="E142" s="9" t="s">
        <v>23</v>
      </c>
      <c r="F142" s="23"/>
      <c r="G142" s="23"/>
      <c r="H142" s="23"/>
      <c r="I142" s="12" t="s">
        <v>34</v>
      </c>
      <c r="J142" s="12">
        <v>1</v>
      </c>
      <c r="K142" s="12" t="s">
        <v>10</v>
      </c>
      <c r="L142" s="23"/>
    </row>
    <row r="143" spans="1:12" s="5" customFormat="1" ht="21.95" hidden="1" customHeight="1" outlineLevel="2">
      <c r="A143" s="6">
        <f t="shared" si="32"/>
        <v>142</v>
      </c>
      <c r="B143" s="6" t="s">
        <v>133</v>
      </c>
      <c r="C143" s="7" t="s">
        <v>11</v>
      </c>
      <c r="D143" s="7" t="s">
        <v>98</v>
      </c>
      <c r="E143" s="7" t="s">
        <v>99</v>
      </c>
      <c r="F143" s="22">
        <v>145000</v>
      </c>
      <c r="G143" s="22">
        <f t="shared" ref="G143:G148" si="69">0.6*F143</f>
        <v>87000</v>
      </c>
      <c r="H143" s="22">
        <f t="shared" ref="H143:H148" si="70">G143*J143</f>
        <v>87000</v>
      </c>
      <c r="I143" s="14" t="s">
        <v>105</v>
      </c>
      <c r="J143" s="14">
        <v>1</v>
      </c>
      <c r="K143" s="14" t="s">
        <v>12</v>
      </c>
      <c r="L143" s="22">
        <v>87000</v>
      </c>
    </row>
    <row r="144" spans="1:12" s="5" customFormat="1" ht="21.95" hidden="1" customHeight="1" outlineLevel="2">
      <c r="A144" s="6">
        <f t="shared" si="32"/>
        <v>143</v>
      </c>
      <c r="B144" s="6" t="s">
        <v>133</v>
      </c>
      <c r="C144" s="7" t="s">
        <v>24</v>
      </c>
      <c r="D144" s="7" t="s">
        <v>77</v>
      </c>
      <c r="E144" s="7" t="s">
        <v>78</v>
      </c>
      <c r="F144" s="22">
        <v>2606</v>
      </c>
      <c r="G144" s="22">
        <f t="shared" si="69"/>
        <v>1563.6</v>
      </c>
      <c r="H144" s="22">
        <f t="shared" si="70"/>
        <v>1563.6</v>
      </c>
      <c r="I144" s="14" t="s">
        <v>14</v>
      </c>
      <c r="J144" s="14">
        <v>1</v>
      </c>
      <c r="K144" s="14" t="s">
        <v>12</v>
      </c>
      <c r="L144" s="22">
        <v>1563.6</v>
      </c>
    </row>
    <row r="145" spans="1:12" s="5" customFormat="1" ht="21.95" hidden="1" customHeight="1" outlineLevel="2">
      <c r="A145" s="6">
        <f t="shared" si="32"/>
        <v>144</v>
      </c>
      <c r="B145" s="6" t="s">
        <v>133</v>
      </c>
      <c r="C145" s="7" t="s">
        <v>24</v>
      </c>
      <c r="D145" s="7" t="s">
        <v>75</v>
      </c>
      <c r="E145" s="7" t="s">
        <v>76</v>
      </c>
      <c r="F145" s="22">
        <v>2429</v>
      </c>
      <c r="G145" s="22">
        <f t="shared" si="69"/>
        <v>1457.3999999999999</v>
      </c>
      <c r="H145" s="22">
        <f t="shared" si="70"/>
        <v>5829.5999999999995</v>
      </c>
      <c r="I145" s="14" t="s">
        <v>14</v>
      </c>
      <c r="J145" s="14">
        <v>4</v>
      </c>
      <c r="K145" s="14" t="s">
        <v>12</v>
      </c>
      <c r="L145" s="22">
        <v>5829.5999999999995</v>
      </c>
    </row>
    <row r="146" spans="1:12" s="5" customFormat="1" ht="21.95" hidden="1" customHeight="1" outlineLevel="2">
      <c r="A146" s="6">
        <f t="shared" si="32"/>
        <v>145</v>
      </c>
      <c r="B146" s="6" t="s">
        <v>133</v>
      </c>
      <c r="C146" s="7" t="s">
        <v>24</v>
      </c>
      <c r="D146" s="7" t="s">
        <v>81</v>
      </c>
      <c r="E146" s="7" t="s">
        <v>82</v>
      </c>
      <c r="F146" s="22">
        <v>3641</v>
      </c>
      <c r="G146" s="22">
        <f t="shared" si="69"/>
        <v>2184.6</v>
      </c>
      <c r="H146" s="22">
        <f t="shared" si="70"/>
        <v>2184.6</v>
      </c>
      <c r="I146" s="14" t="s">
        <v>14</v>
      </c>
      <c r="J146" s="14">
        <v>1</v>
      </c>
      <c r="K146" s="14" t="s">
        <v>12</v>
      </c>
      <c r="L146" s="22">
        <v>2184.6</v>
      </c>
    </row>
    <row r="147" spans="1:12" s="5" customFormat="1" ht="21.95" hidden="1" customHeight="1" outlineLevel="2">
      <c r="A147" s="6">
        <f t="shared" si="32"/>
        <v>146</v>
      </c>
      <c r="B147" s="6" t="s">
        <v>133</v>
      </c>
      <c r="C147" s="7" t="s">
        <v>13</v>
      </c>
      <c r="D147" s="7" t="s">
        <v>88</v>
      </c>
      <c r="E147" s="7" t="s">
        <v>89</v>
      </c>
      <c r="F147" s="22">
        <v>19443</v>
      </c>
      <c r="G147" s="22">
        <f t="shared" si="69"/>
        <v>11665.8</v>
      </c>
      <c r="H147" s="22">
        <f t="shared" si="70"/>
        <v>11665.8</v>
      </c>
      <c r="I147" s="14" t="s">
        <v>14</v>
      </c>
      <c r="J147" s="14">
        <v>1</v>
      </c>
      <c r="K147" s="14" t="s">
        <v>12</v>
      </c>
      <c r="L147" s="22">
        <v>11665.8</v>
      </c>
    </row>
    <row r="148" spans="1:12" s="5" customFormat="1" ht="21.95" hidden="1" customHeight="1" outlineLevel="2">
      <c r="A148" s="6">
        <f t="shared" ref="A148:A220" si="71">ROW(A147)</f>
        <v>147</v>
      </c>
      <c r="B148" s="6" t="s">
        <v>133</v>
      </c>
      <c r="C148" s="7" t="s">
        <v>13</v>
      </c>
      <c r="D148" s="7" t="s">
        <v>92</v>
      </c>
      <c r="E148" s="7" t="s">
        <v>93</v>
      </c>
      <c r="F148" s="22">
        <v>19418</v>
      </c>
      <c r="G148" s="22">
        <f t="shared" si="69"/>
        <v>11650.8</v>
      </c>
      <c r="H148" s="22">
        <f t="shared" si="70"/>
        <v>34952.399999999994</v>
      </c>
      <c r="I148" s="14" t="s">
        <v>14</v>
      </c>
      <c r="J148" s="14">
        <v>3</v>
      </c>
      <c r="K148" s="14" t="s">
        <v>12</v>
      </c>
      <c r="L148" s="22">
        <v>34952.399999999994</v>
      </c>
    </row>
    <row r="149" spans="1:12" s="5" customFormat="1" ht="21.95" hidden="1" customHeight="1" outlineLevel="2">
      <c r="A149" s="6">
        <f t="shared" si="71"/>
        <v>148</v>
      </c>
      <c r="B149" s="6" t="s">
        <v>133</v>
      </c>
      <c r="C149" s="7" t="s">
        <v>19</v>
      </c>
      <c r="D149" s="7"/>
      <c r="E149" s="7" t="s">
        <v>20</v>
      </c>
      <c r="F149" s="22">
        <f ca="1">OFFSET(F149,1,2)</f>
        <v>30000</v>
      </c>
      <c r="G149" s="22">
        <f ca="1">F149</f>
        <v>30000</v>
      </c>
      <c r="H149" s="22">
        <f t="shared" ref="H149:H150" ca="1" si="72">G149*J149</f>
        <v>30000</v>
      </c>
      <c r="I149" s="14" t="s">
        <v>19</v>
      </c>
      <c r="J149" s="14">
        <v>1</v>
      </c>
      <c r="K149" s="14" t="s">
        <v>12</v>
      </c>
      <c r="L149" s="22">
        <v>30000</v>
      </c>
    </row>
    <row r="150" spans="1:12" s="5" customFormat="1" ht="21.95" hidden="1" customHeight="1" outlineLevel="2">
      <c r="A150" s="6">
        <f t="shared" si="71"/>
        <v>149</v>
      </c>
      <c r="B150" s="6" t="s">
        <v>133</v>
      </c>
      <c r="C150" s="7" t="s">
        <v>21</v>
      </c>
      <c r="D150" s="7"/>
      <c r="E150" s="7" t="s">
        <v>22</v>
      </c>
      <c r="F150" s="22">
        <v>5</v>
      </c>
      <c r="G150" s="22">
        <v>100</v>
      </c>
      <c r="H150" s="22">
        <f t="shared" si="72"/>
        <v>30000</v>
      </c>
      <c r="I150" s="14" t="s">
        <v>21</v>
      </c>
      <c r="J150" s="14">
        <f>60*F150</f>
        <v>300</v>
      </c>
      <c r="K150" s="14" t="s">
        <v>12</v>
      </c>
      <c r="L150" s="22">
        <v>30000</v>
      </c>
    </row>
    <row r="151" spans="1:12" s="5" customFormat="1" ht="21.95" customHeight="1" outlineLevel="1">
      <c r="A151" s="6"/>
      <c r="B151" s="15" t="s">
        <v>165</v>
      </c>
      <c r="C151" s="7"/>
      <c r="D151" s="7"/>
      <c r="E151" s="7"/>
      <c r="F151" s="22"/>
      <c r="G151" s="22"/>
      <c r="H151" s="22">
        <f>SUBTOTAL(9,H142:H150)</f>
        <v>0</v>
      </c>
      <c r="I151" s="14"/>
      <c r="J151" s="14"/>
      <c r="K151" s="14"/>
      <c r="L151" s="22">
        <v>203196</v>
      </c>
    </row>
    <row r="152" spans="1:12" s="10" customFormat="1" ht="21.95" customHeight="1" outlineLevel="2">
      <c r="A152" s="8">
        <f>ROW(A150)</f>
        <v>150</v>
      </c>
      <c r="B152" s="3" t="s">
        <v>134</v>
      </c>
      <c r="C152" s="9" t="s">
        <v>8</v>
      </c>
      <c r="D152" s="9"/>
      <c r="E152" s="9" t="s">
        <v>25</v>
      </c>
      <c r="F152" s="23"/>
      <c r="G152" s="23"/>
      <c r="H152" s="23"/>
      <c r="I152" s="12" t="s">
        <v>34</v>
      </c>
      <c r="J152" s="12">
        <v>1</v>
      </c>
      <c r="K152" s="12" t="s">
        <v>10</v>
      </c>
      <c r="L152" s="23"/>
    </row>
    <row r="153" spans="1:12" s="5" customFormat="1" ht="21.95" hidden="1" customHeight="1" outlineLevel="2">
      <c r="A153" s="6">
        <f t="shared" si="71"/>
        <v>152</v>
      </c>
      <c r="B153" s="6" t="s">
        <v>134</v>
      </c>
      <c r="C153" s="7" t="s">
        <v>11</v>
      </c>
      <c r="D153" s="7" t="s">
        <v>64</v>
      </c>
      <c r="E153" s="7" t="s">
        <v>65</v>
      </c>
      <c r="F153" s="22">
        <v>155000</v>
      </c>
      <c r="G153" s="22">
        <f t="shared" ref="G153:G155" si="73">0.6*F153</f>
        <v>93000</v>
      </c>
      <c r="H153" s="22">
        <f t="shared" ref="H153:H155" si="74">G153*J153</f>
        <v>93000</v>
      </c>
      <c r="I153" s="14" t="s">
        <v>105</v>
      </c>
      <c r="J153" s="14">
        <v>1</v>
      </c>
      <c r="K153" s="14" t="s">
        <v>12</v>
      </c>
      <c r="L153" s="22">
        <v>93000</v>
      </c>
    </row>
    <row r="154" spans="1:12" s="5" customFormat="1" ht="21.95" hidden="1" customHeight="1" outlineLevel="2">
      <c r="A154" s="6">
        <f t="shared" si="71"/>
        <v>153</v>
      </c>
      <c r="B154" s="6" t="s">
        <v>134</v>
      </c>
      <c r="C154" s="7" t="s">
        <v>13</v>
      </c>
      <c r="D154" s="7" t="s">
        <v>106</v>
      </c>
      <c r="E154" s="7" t="s">
        <v>107</v>
      </c>
      <c r="F154" s="22">
        <v>19295</v>
      </c>
      <c r="G154" s="22">
        <f t="shared" si="73"/>
        <v>11577</v>
      </c>
      <c r="H154" s="22">
        <f t="shared" si="74"/>
        <v>34731</v>
      </c>
      <c r="I154" s="14" t="s">
        <v>14</v>
      </c>
      <c r="J154" s="14">
        <v>3</v>
      </c>
      <c r="K154" s="14" t="s">
        <v>12</v>
      </c>
      <c r="L154" s="22">
        <v>34731</v>
      </c>
    </row>
    <row r="155" spans="1:12" s="5" customFormat="1" ht="21.95" hidden="1" customHeight="1" outlineLevel="2">
      <c r="A155" s="6">
        <f t="shared" si="71"/>
        <v>154</v>
      </c>
      <c r="B155" s="6" t="s">
        <v>134</v>
      </c>
      <c r="C155" s="7" t="s">
        <v>100</v>
      </c>
      <c r="D155" s="7" t="s">
        <v>108</v>
      </c>
      <c r="E155" s="7" t="s">
        <v>109</v>
      </c>
      <c r="F155" s="22">
        <v>201639</v>
      </c>
      <c r="G155" s="22">
        <f t="shared" si="73"/>
        <v>120983.4</v>
      </c>
      <c r="H155" s="22">
        <f t="shared" si="74"/>
        <v>241966.8</v>
      </c>
      <c r="I155" s="14" t="s">
        <v>14</v>
      </c>
      <c r="J155" s="14">
        <v>2</v>
      </c>
      <c r="K155" s="14" t="s">
        <v>12</v>
      </c>
      <c r="L155" s="22">
        <v>241966.8</v>
      </c>
    </row>
    <row r="156" spans="1:12" s="5" customFormat="1" ht="21.95" hidden="1" customHeight="1" outlineLevel="2">
      <c r="A156" s="6">
        <f t="shared" si="71"/>
        <v>155</v>
      </c>
      <c r="B156" s="6" t="s">
        <v>134</v>
      </c>
      <c r="C156" s="7" t="s">
        <v>16</v>
      </c>
      <c r="D156" s="7" t="s">
        <v>110</v>
      </c>
      <c r="E156" s="7" t="s">
        <v>111</v>
      </c>
      <c r="F156" s="22">
        <v>90000</v>
      </c>
      <c r="G156" s="22">
        <f t="shared" ref="G156" si="75">F156</f>
        <v>90000</v>
      </c>
      <c r="H156" s="22">
        <f t="shared" ref="H156:H161" si="76">G156*J156</f>
        <v>90000</v>
      </c>
      <c r="I156" s="14" t="s">
        <v>17</v>
      </c>
      <c r="J156" s="14">
        <v>1</v>
      </c>
      <c r="K156" s="14" t="s">
        <v>12</v>
      </c>
      <c r="L156" s="22">
        <v>90000</v>
      </c>
    </row>
    <row r="157" spans="1:12" s="5" customFormat="1" ht="21.95" hidden="1" customHeight="1" outlineLevel="2">
      <c r="A157" s="6">
        <f t="shared" si="71"/>
        <v>156</v>
      </c>
      <c r="B157" s="6" t="s">
        <v>134</v>
      </c>
      <c r="C157" s="7" t="s">
        <v>26</v>
      </c>
      <c r="D157" s="7" t="s">
        <v>84</v>
      </c>
      <c r="E157" s="7" t="s">
        <v>85</v>
      </c>
      <c r="F157" s="22">
        <v>589</v>
      </c>
      <c r="G157" s="22">
        <f t="shared" ref="G157:G159" si="77">0.6*F157</f>
        <v>353.4</v>
      </c>
      <c r="H157" s="22">
        <f t="shared" si="76"/>
        <v>706.8</v>
      </c>
      <c r="I157" s="14" t="s">
        <v>14</v>
      </c>
      <c r="J157" s="14">
        <v>2</v>
      </c>
      <c r="K157" s="14" t="s">
        <v>12</v>
      </c>
      <c r="L157" s="22">
        <v>706.8</v>
      </c>
    </row>
    <row r="158" spans="1:12" s="5" customFormat="1" ht="21.95" hidden="1" customHeight="1" outlineLevel="2">
      <c r="A158" s="6">
        <f t="shared" si="71"/>
        <v>157</v>
      </c>
      <c r="B158" s="6" t="s">
        <v>134</v>
      </c>
      <c r="C158" s="7" t="s">
        <v>24</v>
      </c>
      <c r="D158" s="7" t="s">
        <v>71</v>
      </c>
      <c r="E158" s="7" t="s">
        <v>72</v>
      </c>
      <c r="F158" s="22">
        <v>975</v>
      </c>
      <c r="G158" s="22">
        <f t="shared" si="77"/>
        <v>585</v>
      </c>
      <c r="H158" s="22">
        <f t="shared" si="76"/>
        <v>1170</v>
      </c>
      <c r="I158" s="14" t="s">
        <v>14</v>
      </c>
      <c r="J158" s="14">
        <v>2</v>
      </c>
      <c r="K158" s="14" t="s">
        <v>12</v>
      </c>
      <c r="L158" s="22">
        <v>1170</v>
      </c>
    </row>
    <row r="159" spans="1:12" s="5" customFormat="1" ht="21.95" hidden="1" customHeight="1" outlineLevel="2">
      <c r="A159" s="6">
        <f t="shared" si="71"/>
        <v>158</v>
      </c>
      <c r="B159" s="6" t="s">
        <v>134</v>
      </c>
      <c r="C159" s="7" t="s">
        <v>27</v>
      </c>
      <c r="D159" s="7" t="s">
        <v>112</v>
      </c>
      <c r="E159" s="7" t="s">
        <v>113</v>
      </c>
      <c r="F159" s="22">
        <v>5538</v>
      </c>
      <c r="G159" s="22">
        <f t="shared" si="77"/>
        <v>3322.7999999999997</v>
      </c>
      <c r="H159" s="22">
        <f t="shared" si="76"/>
        <v>33228</v>
      </c>
      <c r="I159" s="14" t="s">
        <v>14</v>
      </c>
      <c r="J159" s="14">
        <v>10</v>
      </c>
      <c r="K159" s="14" t="s">
        <v>97</v>
      </c>
      <c r="L159" s="22">
        <v>33228</v>
      </c>
    </row>
    <row r="160" spans="1:12" s="5" customFormat="1" ht="21.95" hidden="1" customHeight="1" outlineLevel="2">
      <c r="A160" s="6">
        <f t="shared" si="71"/>
        <v>159</v>
      </c>
      <c r="B160" s="6" t="s">
        <v>134</v>
      </c>
      <c r="C160" s="7" t="s">
        <v>19</v>
      </c>
      <c r="D160" s="7"/>
      <c r="E160" s="7" t="s">
        <v>20</v>
      </c>
      <c r="F160" s="22">
        <f ca="1">OFFSET(F160,1,2)</f>
        <v>42000</v>
      </c>
      <c r="G160" s="22">
        <f ca="1">F160</f>
        <v>42000</v>
      </c>
      <c r="H160" s="22">
        <f t="shared" ca="1" si="76"/>
        <v>42000</v>
      </c>
      <c r="I160" s="14" t="s">
        <v>19</v>
      </c>
      <c r="J160" s="14">
        <v>1</v>
      </c>
      <c r="K160" s="14" t="s">
        <v>12</v>
      </c>
      <c r="L160" s="22">
        <v>42000</v>
      </c>
    </row>
    <row r="161" spans="1:12" s="5" customFormat="1" ht="21.95" hidden="1" customHeight="1" outlineLevel="2">
      <c r="A161" s="6">
        <f t="shared" si="71"/>
        <v>160</v>
      </c>
      <c r="B161" s="6" t="s">
        <v>134</v>
      </c>
      <c r="C161" s="7" t="s">
        <v>21</v>
      </c>
      <c r="D161" s="7"/>
      <c r="E161" s="7" t="s">
        <v>22</v>
      </c>
      <c r="F161" s="22">
        <v>7</v>
      </c>
      <c r="G161" s="22">
        <v>100</v>
      </c>
      <c r="H161" s="22">
        <f t="shared" si="76"/>
        <v>42000</v>
      </c>
      <c r="I161" s="14" t="s">
        <v>21</v>
      </c>
      <c r="J161" s="14">
        <f>60*F161</f>
        <v>420</v>
      </c>
      <c r="K161" s="14" t="s">
        <v>12</v>
      </c>
      <c r="L161" s="22">
        <v>42000</v>
      </c>
    </row>
    <row r="162" spans="1:12" s="5" customFormat="1" ht="21.95" customHeight="1" outlineLevel="1">
      <c r="A162" s="6"/>
      <c r="B162" s="15" t="s">
        <v>166</v>
      </c>
      <c r="C162" s="7"/>
      <c r="D162" s="7"/>
      <c r="E162" s="7"/>
      <c r="F162" s="22"/>
      <c r="G162" s="22"/>
      <c r="H162" s="22">
        <f>SUBTOTAL(9,H152:H161)</f>
        <v>0</v>
      </c>
      <c r="I162" s="14"/>
      <c r="J162" s="14"/>
      <c r="K162" s="14"/>
      <c r="L162" s="22">
        <v>578802.6</v>
      </c>
    </row>
    <row r="163" spans="1:12" s="10" customFormat="1" ht="21.95" customHeight="1" outlineLevel="2">
      <c r="A163" s="8">
        <f>ROW(A161)</f>
        <v>161</v>
      </c>
      <c r="B163" s="3" t="s">
        <v>135</v>
      </c>
      <c r="C163" s="9" t="s">
        <v>8</v>
      </c>
      <c r="D163" s="9"/>
      <c r="E163" s="9" t="s">
        <v>147</v>
      </c>
      <c r="F163" s="23"/>
      <c r="G163" s="23"/>
      <c r="H163" s="23"/>
      <c r="I163" s="12" t="s">
        <v>34</v>
      </c>
      <c r="J163" s="12">
        <v>1</v>
      </c>
      <c r="K163" s="12" t="s">
        <v>10</v>
      </c>
      <c r="L163" s="23"/>
    </row>
    <row r="164" spans="1:12" s="5" customFormat="1" ht="21.95" hidden="1" customHeight="1" outlineLevel="2">
      <c r="A164" s="6">
        <f t="shared" si="71"/>
        <v>163</v>
      </c>
      <c r="B164" s="6" t="s">
        <v>135</v>
      </c>
      <c r="C164" s="7" t="s">
        <v>11</v>
      </c>
      <c r="D164" s="7" t="s">
        <v>60</v>
      </c>
      <c r="E164" s="7" t="s">
        <v>61</v>
      </c>
      <c r="F164" s="22">
        <v>15000</v>
      </c>
      <c r="G164" s="22">
        <f t="shared" ref="G164:G167" si="78">0.6*F164</f>
        <v>9000</v>
      </c>
      <c r="H164" s="22">
        <f t="shared" ref="H164:H167" si="79">G164*J164</f>
        <v>9000</v>
      </c>
      <c r="I164" s="14" t="s">
        <v>105</v>
      </c>
      <c r="J164" s="14">
        <v>1</v>
      </c>
      <c r="K164" s="14" t="s">
        <v>12</v>
      </c>
      <c r="L164" s="22">
        <v>9000</v>
      </c>
    </row>
    <row r="165" spans="1:12" s="5" customFormat="1" ht="21.95" hidden="1" customHeight="1" outlineLevel="2">
      <c r="A165" s="6">
        <f t="shared" si="71"/>
        <v>164</v>
      </c>
      <c r="B165" s="6" t="s">
        <v>135</v>
      </c>
      <c r="C165" s="7" t="s">
        <v>24</v>
      </c>
      <c r="D165" s="7" t="s">
        <v>73</v>
      </c>
      <c r="E165" s="7" t="s">
        <v>74</v>
      </c>
      <c r="F165" s="22">
        <v>2337</v>
      </c>
      <c r="G165" s="22">
        <f t="shared" si="78"/>
        <v>1402.2</v>
      </c>
      <c r="H165" s="22">
        <f t="shared" si="79"/>
        <v>1402.2</v>
      </c>
      <c r="I165" s="14" t="s">
        <v>14</v>
      </c>
      <c r="J165" s="14">
        <v>1</v>
      </c>
      <c r="K165" s="14" t="s">
        <v>12</v>
      </c>
      <c r="L165" s="22">
        <v>1402.2</v>
      </c>
    </row>
    <row r="166" spans="1:12" s="5" customFormat="1" ht="21.95" hidden="1" customHeight="1" outlineLevel="2">
      <c r="A166" s="6">
        <f t="shared" si="71"/>
        <v>165</v>
      </c>
      <c r="B166" s="6" t="s">
        <v>135</v>
      </c>
      <c r="C166" s="7" t="s">
        <v>24</v>
      </c>
      <c r="D166" s="7" t="s">
        <v>75</v>
      </c>
      <c r="E166" s="7" t="s">
        <v>76</v>
      </c>
      <c r="F166" s="22">
        <v>2429</v>
      </c>
      <c r="G166" s="22">
        <f t="shared" si="78"/>
        <v>1457.3999999999999</v>
      </c>
      <c r="H166" s="22">
        <f t="shared" si="79"/>
        <v>4372.2</v>
      </c>
      <c r="I166" s="14" t="s">
        <v>14</v>
      </c>
      <c r="J166" s="14">
        <v>3</v>
      </c>
      <c r="K166" s="14" t="s">
        <v>12</v>
      </c>
      <c r="L166" s="22">
        <v>4372.2</v>
      </c>
    </row>
    <row r="167" spans="1:12" s="5" customFormat="1" ht="21.95" hidden="1" customHeight="1" outlineLevel="2">
      <c r="A167" s="6">
        <f t="shared" si="71"/>
        <v>166</v>
      </c>
      <c r="B167" s="6" t="s">
        <v>135</v>
      </c>
      <c r="C167" s="7" t="s">
        <v>24</v>
      </c>
      <c r="D167" s="7" t="s">
        <v>77</v>
      </c>
      <c r="E167" s="7" t="s">
        <v>78</v>
      </c>
      <c r="F167" s="22">
        <v>2606</v>
      </c>
      <c r="G167" s="22">
        <f t="shared" si="78"/>
        <v>1563.6</v>
      </c>
      <c r="H167" s="22">
        <f t="shared" si="79"/>
        <v>4690.7999999999993</v>
      </c>
      <c r="I167" s="14" t="s">
        <v>14</v>
      </c>
      <c r="J167" s="14">
        <v>3</v>
      </c>
      <c r="K167" s="14" t="s">
        <v>12</v>
      </c>
      <c r="L167" s="22">
        <v>4690.7999999999993</v>
      </c>
    </row>
    <row r="168" spans="1:12" s="5" customFormat="1" ht="21.95" hidden="1" customHeight="1" outlineLevel="2">
      <c r="A168" s="6">
        <f t="shared" si="71"/>
        <v>167</v>
      </c>
      <c r="B168" s="6" t="s">
        <v>135</v>
      </c>
      <c r="C168" s="7" t="s">
        <v>19</v>
      </c>
      <c r="D168" s="7"/>
      <c r="E168" s="7" t="s">
        <v>20</v>
      </c>
      <c r="F168" s="22">
        <f ca="1">OFFSET(F168,1,2)</f>
        <v>4200</v>
      </c>
      <c r="G168" s="22">
        <f ca="1">F168</f>
        <v>4200</v>
      </c>
      <c r="H168" s="22">
        <f t="shared" ref="H168:H169" ca="1" si="80">G168*J168</f>
        <v>4200</v>
      </c>
      <c r="I168" s="14" t="s">
        <v>19</v>
      </c>
      <c r="J168" s="14">
        <v>1</v>
      </c>
      <c r="K168" s="14" t="s">
        <v>12</v>
      </c>
      <c r="L168" s="22">
        <v>4200</v>
      </c>
    </row>
    <row r="169" spans="1:12" s="5" customFormat="1" ht="21.95" hidden="1" customHeight="1" outlineLevel="2">
      <c r="A169" s="6">
        <f t="shared" si="71"/>
        <v>168</v>
      </c>
      <c r="B169" s="6" t="s">
        <v>135</v>
      </c>
      <c r="C169" s="7" t="s">
        <v>21</v>
      </c>
      <c r="D169" s="7"/>
      <c r="E169" s="7" t="s">
        <v>22</v>
      </c>
      <c r="F169" s="22">
        <v>0.7</v>
      </c>
      <c r="G169" s="22">
        <v>100</v>
      </c>
      <c r="H169" s="22">
        <f t="shared" si="80"/>
        <v>4200</v>
      </c>
      <c r="I169" s="14" t="s">
        <v>21</v>
      </c>
      <c r="J169" s="14">
        <f>60*F169</f>
        <v>42</v>
      </c>
      <c r="K169" s="14" t="s">
        <v>12</v>
      </c>
      <c r="L169" s="22">
        <v>4200</v>
      </c>
    </row>
    <row r="170" spans="1:12" s="5" customFormat="1" ht="21.95" customHeight="1" outlineLevel="1">
      <c r="A170" s="6"/>
      <c r="B170" s="15" t="s">
        <v>167</v>
      </c>
      <c r="C170" s="7"/>
      <c r="D170" s="7"/>
      <c r="E170" s="7"/>
      <c r="F170" s="22"/>
      <c r="G170" s="22"/>
      <c r="H170" s="22">
        <f>SUBTOTAL(9,H163:H169)</f>
        <v>0</v>
      </c>
      <c r="I170" s="14"/>
      <c r="J170" s="14"/>
      <c r="K170" s="14"/>
      <c r="L170" s="22">
        <v>27865.200000000001</v>
      </c>
    </row>
    <row r="171" spans="1:12" s="10" customFormat="1" ht="21.95" customHeight="1" outlineLevel="2">
      <c r="A171" s="8">
        <f>ROW(A169)</f>
        <v>169</v>
      </c>
      <c r="B171" s="3" t="s">
        <v>136</v>
      </c>
      <c r="C171" s="9" t="s">
        <v>8</v>
      </c>
      <c r="D171" s="9"/>
      <c r="E171" s="9" t="s">
        <v>146</v>
      </c>
      <c r="F171" s="23"/>
      <c r="G171" s="23"/>
      <c r="H171" s="23"/>
      <c r="I171" s="12" t="s">
        <v>34</v>
      </c>
      <c r="J171" s="12">
        <v>1</v>
      </c>
      <c r="K171" s="12" t="s">
        <v>10</v>
      </c>
      <c r="L171" s="23"/>
    </row>
    <row r="172" spans="1:12" s="5" customFormat="1" ht="21.95" hidden="1" customHeight="1" outlineLevel="2">
      <c r="A172" s="6">
        <f t="shared" si="71"/>
        <v>171</v>
      </c>
      <c r="B172" s="6" t="s">
        <v>136</v>
      </c>
      <c r="C172" s="7" t="s">
        <v>11</v>
      </c>
      <c r="D172" s="7" t="s">
        <v>60</v>
      </c>
      <c r="E172" s="7" t="s">
        <v>61</v>
      </c>
      <c r="F172" s="22">
        <v>15000</v>
      </c>
      <c r="G172" s="22">
        <f t="shared" ref="G172:G175" si="81">0.6*F172</f>
        <v>9000</v>
      </c>
      <c r="H172" s="22">
        <f t="shared" ref="H172:H175" si="82">G172*J172</f>
        <v>9000</v>
      </c>
      <c r="I172" s="14" t="s">
        <v>105</v>
      </c>
      <c r="J172" s="14">
        <v>1</v>
      </c>
      <c r="K172" s="14" t="s">
        <v>12</v>
      </c>
      <c r="L172" s="22">
        <v>9000</v>
      </c>
    </row>
    <row r="173" spans="1:12" s="5" customFormat="1" ht="21.95" hidden="1" customHeight="1" outlineLevel="2">
      <c r="A173" s="6">
        <f t="shared" si="71"/>
        <v>172</v>
      </c>
      <c r="B173" s="6" t="s">
        <v>136</v>
      </c>
      <c r="C173" s="7" t="s">
        <v>28</v>
      </c>
      <c r="D173" s="7" t="s">
        <v>38</v>
      </c>
      <c r="E173" s="7" t="s">
        <v>39</v>
      </c>
      <c r="F173" s="22">
        <v>3372</v>
      </c>
      <c r="G173" s="22">
        <f t="shared" si="81"/>
        <v>2023.1999999999998</v>
      </c>
      <c r="H173" s="22">
        <f t="shared" si="82"/>
        <v>2023.1999999999998</v>
      </c>
      <c r="I173" s="14" t="s">
        <v>14</v>
      </c>
      <c r="J173" s="14">
        <v>1</v>
      </c>
      <c r="K173" s="14" t="s">
        <v>12</v>
      </c>
      <c r="L173" s="22">
        <v>2023.1999999999998</v>
      </c>
    </row>
    <row r="174" spans="1:12" s="5" customFormat="1" ht="21.95" hidden="1" customHeight="1" outlineLevel="2">
      <c r="A174" s="6">
        <f t="shared" si="71"/>
        <v>173</v>
      </c>
      <c r="B174" s="6" t="s">
        <v>136</v>
      </c>
      <c r="C174" s="7" t="s">
        <v>24</v>
      </c>
      <c r="D174" s="7" t="s">
        <v>67</v>
      </c>
      <c r="E174" s="7" t="s">
        <v>68</v>
      </c>
      <c r="F174" s="22">
        <v>783</v>
      </c>
      <c r="G174" s="22">
        <f t="shared" si="81"/>
        <v>469.79999999999995</v>
      </c>
      <c r="H174" s="22">
        <f t="shared" si="82"/>
        <v>7046.9999999999991</v>
      </c>
      <c r="I174" s="14" t="s">
        <v>14</v>
      </c>
      <c r="J174" s="14">
        <v>15</v>
      </c>
      <c r="K174" s="14" t="s">
        <v>12</v>
      </c>
      <c r="L174" s="22">
        <v>7046.9999999999991</v>
      </c>
    </row>
    <row r="175" spans="1:12" s="5" customFormat="1" ht="21.95" hidden="1" customHeight="1" outlineLevel="2">
      <c r="A175" s="6">
        <f t="shared" si="71"/>
        <v>174</v>
      </c>
      <c r="B175" s="6" t="s">
        <v>136</v>
      </c>
      <c r="C175" s="7" t="s">
        <v>29</v>
      </c>
      <c r="D175" s="7" t="s">
        <v>30</v>
      </c>
      <c r="E175" s="7" t="s">
        <v>53</v>
      </c>
      <c r="F175" s="22">
        <v>13622</v>
      </c>
      <c r="G175" s="22">
        <f t="shared" si="81"/>
        <v>8173.2</v>
      </c>
      <c r="H175" s="22">
        <f t="shared" si="82"/>
        <v>32692.799999999999</v>
      </c>
      <c r="I175" s="14" t="s">
        <v>14</v>
      </c>
      <c r="J175" s="14">
        <v>4</v>
      </c>
      <c r="K175" s="14" t="s">
        <v>12</v>
      </c>
      <c r="L175" s="22">
        <v>32692.799999999999</v>
      </c>
    </row>
    <row r="176" spans="1:12" s="5" customFormat="1" ht="21.95" hidden="1" customHeight="1" outlineLevel="2">
      <c r="A176" s="6">
        <f t="shared" si="71"/>
        <v>175</v>
      </c>
      <c r="B176" s="6" t="s">
        <v>136</v>
      </c>
      <c r="C176" s="7" t="s">
        <v>19</v>
      </c>
      <c r="D176" s="7"/>
      <c r="E176" s="7" t="s">
        <v>20</v>
      </c>
      <c r="F176" s="22">
        <f ca="1">OFFSET(F176,1,2)</f>
        <v>4200</v>
      </c>
      <c r="G176" s="22">
        <f ca="1">F176</f>
        <v>4200</v>
      </c>
      <c r="H176" s="22">
        <f t="shared" ref="H176:H177" ca="1" si="83">G176*J176</f>
        <v>4200</v>
      </c>
      <c r="I176" s="14" t="s">
        <v>19</v>
      </c>
      <c r="J176" s="14">
        <v>1</v>
      </c>
      <c r="K176" s="14" t="s">
        <v>12</v>
      </c>
      <c r="L176" s="22">
        <v>4200</v>
      </c>
    </row>
    <row r="177" spans="1:12" s="5" customFormat="1" ht="21.95" hidden="1" customHeight="1" outlineLevel="2">
      <c r="A177" s="6">
        <f t="shared" si="71"/>
        <v>176</v>
      </c>
      <c r="B177" s="6" t="s">
        <v>136</v>
      </c>
      <c r="C177" s="7" t="s">
        <v>21</v>
      </c>
      <c r="D177" s="7"/>
      <c r="E177" s="7" t="s">
        <v>22</v>
      </c>
      <c r="F177" s="22">
        <v>0.7</v>
      </c>
      <c r="G177" s="22">
        <v>100</v>
      </c>
      <c r="H177" s="22">
        <f t="shared" si="83"/>
        <v>4200</v>
      </c>
      <c r="I177" s="14" t="s">
        <v>21</v>
      </c>
      <c r="J177" s="14">
        <f>60*F177</f>
        <v>42</v>
      </c>
      <c r="K177" s="14" t="s">
        <v>12</v>
      </c>
      <c r="L177" s="22">
        <v>4200</v>
      </c>
    </row>
    <row r="178" spans="1:12" s="5" customFormat="1" ht="21.95" customHeight="1" outlineLevel="1">
      <c r="A178" s="6"/>
      <c r="B178" s="15" t="s">
        <v>168</v>
      </c>
      <c r="C178" s="7"/>
      <c r="D178" s="7"/>
      <c r="E178" s="7"/>
      <c r="F178" s="22"/>
      <c r="G178" s="22"/>
      <c r="H178" s="22">
        <f>SUBTOTAL(9,H171:H177)</f>
        <v>0</v>
      </c>
      <c r="I178" s="14"/>
      <c r="J178" s="14"/>
      <c r="K178" s="14"/>
      <c r="L178" s="22">
        <v>59163</v>
      </c>
    </row>
    <row r="179" spans="1:12" s="10" customFormat="1" ht="21.95" customHeight="1" outlineLevel="2">
      <c r="A179" s="8">
        <f>ROW(A177)</f>
        <v>177</v>
      </c>
      <c r="B179" s="3" t="s">
        <v>137</v>
      </c>
      <c r="C179" s="9" t="s">
        <v>8</v>
      </c>
      <c r="D179" s="9"/>
      <c r="E179" s="9" t="s">
        <v>146</v>
      </c>
      <c r="F179" s="23"/>
      <c r="G179" s="23"/>
      <c r="H179" s="23"/>
      <c r="I179" s="12" t="s">
        <v>34</v>
      </c>
      <c r="J179" s="12">
        <v>1</v>
      </c>
      <c r="K179" s="12" t="s">
        <v>10</v>
      </c>
      <c r="L179" s="23"/>
    </row>
    <row r="180" spans="1:12" s="5" customFormat="1" ht="21.95" hidden="1" customHeight="1" outlineLevel="2">
      <c r="A180" s="6">
        <f t="shared" si="71"/>
        <v>179</v>
      </c>
      <c r="B180" s="6" t="s">
        <v>137</v>
      </c>
      <c r="C180" s="7" t="s">
        <v>11</v>
      </c>
      <c r="D180" s="7" t="s">
        <v>62</v>
      </c>
      <c r="E180" s="7" t="s">
        <v>63</v>
      </c>
      <c r="F180" s="22">
        <v>18000</v>
      </c>
      <c r="G180" s="22">
        <f t="shared" ref="G180:G183" si="84">0.6*F180</f>
        <v>10800</v>
      </c>
      <c r="H180" s="22">
        <f t="shared" ref="H180:H183" si="85">G180*J180</f>
        <v>10800</v>
      </c>
      <c r="I180" s="14" t="s">
        <v>105</v>
      </c>
      <c r="J180" s="14">
        <v>1</v>
      </c>
      <c r="K180" s="14" t="s">
        <v>12</v>
      </c>
      <c r="L180" s="22">
        <v>10800</v>
      </c>
    </row>
    <row r="181" spans="1:12" s="5" customFormat="1" ht="21.95" hidden="1" customHeight="1" outlineLevel="2">
      <c r="A181" s="6">
        <f t="shared" si="71"/>
        <v>180</v>
      </c>
      <c r="B181" s="6" t="s">
        <v>137</v>
      </c>
      <c r="C181" s="7" t="s">
        <v>28</v>
      </c>
      <c r="D181" s="7" t="s">
        <v>38</v>
      </c>
      <c r="E181" s="7" t="s">
        <v>39</v>
      </c>
      <c r="F181" s="22">
        <v>3372</v>
      </c>
      <c r="G181" s="22">
        <f t="shared" si="84"/>
        <v>2023.1999999999998</v>
      </c>
      <c r="H181" s="22">
        <f t="shared" si="85"/>
        <v>2023.1999999999998</v>
      </c>
      <c r="I181" s="14" t="s">
        <v>14</v>
      </c>
      <c r="J181" s="14">
        <v>1</v>
      </c>
      <c r="K181" s="14" t="s">
        <v>12</v>
      </c>
      <c r="L181" s="22">
        <v>2023.1999999999998</v>
      </c>
    </row>
    <row r="182" spans="1:12" s="5" customFormat="1" ht="21.95" hidden="1" customHeight="1" outlineLevel="2">
      <c r="A182" s="6">
        <f t="shared" si="71"/>
        <v>181</v>
      </c>
      <c r="B182" s="6" t="s">
        <v>137</v>
      </c>
      <c r="C182" s="7" t="s">
        <v>24</v>
      </c>
      <c r="D182" s="7" t="s">
        <v>67</v>
      </c>
      <c r="E182" s="7" t="s">
        <v>68</v>
      </c>
      <c r="F182" s="22">
        <v>783</v>
      </c>
      <c r="G182" s="22">
        <f t="shared" si="84"/>
        <v>469.79999999999995</v>
      </c>
      <c r="H182" s="22">
        <f t="shared" si="85"/>
        <v>10335.599999999999</v>
      </c>
      <c r="I182" s="14" t="s">
        <v>14</v>
      </c>
      <c r="J182" s="14">
        <v>22</v>
      </c>
      <c r="K182" s="14" t="s">
        <v>12</v>
      </c>
      <c r="L182" s="22">
        <v>10335.599999999999</v>
      </c>
    </row>
    <row r="183" spans="1:12" s="5" customFormat="1" ht="21.95" hidden="1" customHeight="1" outlineLevel="2">
      <c r="A183" s="6">
        <f t="shared" si="71"/>
        <v>182</v>
      </c>
      <c r="B183" s="6" t="s">
        <v>137</v>
      </c>
      <c r="C183" s="7" t="s">
        <v>29</v>
      </c>
      <c r="D183" s="7" t="s">
        <v>30</v>
      </c>
      <c r="E183" s="7" t="s">
        <v>53</v>
      </c>
      <c r="F183" s="22">
        <v>13622</v>
      </c>
      <c r="G183" s="22">
        <f t="shared" si="84"/>
        <v>8173.2</v>
      </c>
      <c r="H183" s="22">
        <f t="shared" si="85"/>
        <v>32692.799999999999</v>
      </c>
      <c r="I183" s="14" t="s">
        <v>14</v>
      </c>
      <c r="J183" s="14">
        <v>4</v>
      </c>
      <c r="K183" s="14" t="s">
        <v>12</v>
      </c>
      <c r="L183" s="22">
        <v>32692.799999999999</v>
      </c>
    </row>
    <row r="184" spans="1:12" s="5" customFormat="1" ht="21.95" hidden="1" customHeight="1" outlineLevel="2">
      <c r="A184" s="6">
        <f t="shared" si="71"/>
        <v>183</v>
      </c>
      <c r="B184" s="6" t="s">
        <v>137</v>
      </c>
      <c r="C184" s="7" t="s">
        <v>19</v>
      </c>
      <c r="D184" s="7"/>
      <c r="E184" s="7" t="s">
        <v>20</v>
      </c>
      <c r="F184" s="22">
        <f ca="1">OFFSET(F184,1,2)</f>
        <v>15000</v>
      </c>
      <c r="G184" s="22">
        <f ca="1">F184</f>
        <v>15000</v>
      </c>
      <c r="H184" s="22">
        <f t="shared" ref="H184:H185" ca="1" si="86">G184*J184</f>
        <v>15000</v>
      </c>
      <c r="I184" s="14" t="s">
        <v>19</v>
      </c>
      <c r="J184" s="14">
        <v>1</v>
      </c>
      <c r="K184" s="14" t="s">
        <v>12</v>
      </c>
      <c r="L184" s="22">
        <v>15000</v>
      </c>
    </row>
    <row r="185" spans="1:12" s="5" customFormat="1" ht="21.95" hidden="1" customHeight="1" outlineLevel="2">
      <c r="A185" s="6">
        <f t="shared" si="71"/>
        <v>184</v>
      </c>
      <c r="B185" s="6" t="s">
        <v>137</v>
      </c>
      <c r="C185" s="7" t="s">
        <v>21</v>
      </c>
      <c r="D185" s="7"/>
      <c r="E185" s="7" t="s">
        <v>22</v>
      </c>
      <c r="F185" s="22">
        <v>2.5</v>
      </c>
      <c r="G185" s="22">
        <v>100</v>
      </c>
      <c r="H185" s="22">
        <f t="shared" si="86"/>
        <v>15000</v>
      </c>
      <c r="I185" s="14" t="s">
        <v>21</v>
      </c>
      <c r="J185" s="14">
        <f>60*F185</f>
        <v>150</v>
      </c>
      <c r="K185" s="14" t="s">
        <v>12</v>
      </c>
      <c r="L185" s="22">
        <v>15000</v>
      </c>
    </row>
    <row r="186" spans="1:12" s="5" customFormat="1" ht="21.95" customHeight="1" outlineLevel="1">
      <c r="A186" s="6"/>
      <c r="B186" s="15" t="s">
        <v>169</v>
      </c>
      <c r="C186" s="7"/>
      <c r="D186" s="7"/>
      <c r="E186" s="7"/>
      <c r="F186" s="22"/>
      <c r="G186" s="22"/>
      <c r="H186" s="22">
        <f>SUBTOTAL(9,H179:H185)</f>
        <v>0</v>
      </c>
      <c r="I186" s="14"/>
      <c r="J186" s="14"/>
      <c r="K186" s="14"/>
      <c r="L186" s="22">
        <v>85851.6</v>
      </c>
    </row>
    <row r="187" spans="1:12" s="10" customFormat="1" ht="21.95" customHeight="1" outlineLevel="2">
      <c r="A187" s="8">
        <f>ROW(A185)</f>
        <v>185</v>
      </c>
      <c r="B187" s="3" t="s">
        <v>138</v>
      </c>
      <c r="C187" s="9" t="s">
        <v>8</v>
      </c>
      <c r="D187" s="9"/>
      <c r="E187" s="9" t="s">
        <v>146</v>
      </c>
      <c r="F187" s="23"/>
      <c r="G187" s="23"/>
      <c r="H187" s="23"/>
      <c r="I187" s="12" t="s">
        <v>34</v>
      </c>
      <c r="J187" s="12">
        <v>1</v>
      </c>
      <c r="K187" s="12" t="s">
        <v>10</v>
      </c>
      <c r="L187" s="23"/>
    </row>
    <row r="188" spans="1:12" s="5" customFormat="1" ht="21.95" hidden="1" customHeight="1" outlineLevel="2">
      <c r="A188" s="6">
        <f t="shared" si="71"/>
        <v>187</v>
      </c>
      <c r="B188" s="6" t="s">
        <v>138</v>
      </c>
      <c r="C188" s="7" t="s">
        <v>11</v>
      </c>
      <c r="D188" s="7" t="s">
        <v>58</v>
      </c>
      <c r="E188" s="7" t="s">
        <v>59</v>
      </c>
      <c r="F188" s="22">
        <v>14695</v>
      </c>
      <c r="G188" s="22">
        <f t="shared" ref="G188:G191" si="87">0.6*F188</f>
        <v>8817</v>
      </c>
      <c r="H188" s="22">
        <f t="shared" ref="H188:H191" si="88">G188*J188</f>
        <v>8817</v>
      </c>
      <c r="I188" s="14" t="s">
        <v>105</v>
      </c>
      <c r="J188" s="14">
        <v>1</v>
      </c>
      <c r="K188" s="14" t="s">
        <v>12</v>
      </c>
      <c r="L188" s="22">
        <v>8817</v>
      </c>
    </row>
    <row r="189" spans="1:12" s="5" customFormat="1" ht="21.95" hidden="1" customHeight="1" outlineLevel="2">
      <c r="A189" s="6">
        <f t="shared" si="71"/>
        <v>188</v>
      </c>
      <c r="B189" s="6" t="s">
        <v>138</v>
      </c>
      <c r="C189" s="7" t="s">
        <v>28</v>
      </c>
      <c r="D189" s="7" t="s">
        <v>38</v>
      </c>
      <c r="E189" s="7" t="s">
        <v>39</v>
      </c>
      <c r="F189" s="22">
        <v>3372</v>
      </c>
      <c r="G189" s="22">
        <f t="shared" si="87"/>
        <v>2023.1999999999998</v>
      </c>
      <c r="H189" s="22">
        <f t="shared" si="88"/>
        <v>2023.1999999999998</v>
      </c>
      <c r="I189" s="14" t="s">
        <v>14</v>
      </c>
      <c r="J189" s="14">
        <v>1</v>
      </c>
      <c r="K189" s="14" t="s">
        <v>12</v>
      </c>
      <c r="L189" s="22">
        <v>2023.1999999999998</v>
      </c>
    </row>
    <row r="190" spans="1:12" s="5" customFormat="1" ht="21.95" hidden="1" customHeight="1" outlineLevel="2">
      <c r="A190" s="6">
        <f t="shared" si="71"/>
        <v>189</v>
      </c>
      <c r="B190" s="6" t="s">
        <v>138</v>
      </c>
      <c r="C190" s="7" t="s">
        <v>24</v>
      </c>
      <c r="D190" s="7" t="s">
        <v>67</v>
      </c>
      <c r="E190" s="7" t="s">
        <v>68</v>
      </c>
      <c r="F190" s="22">
        <v>783</v>
      </c>
      <c r="G190" s="22">
        <f t="shared" si="87"/>
        <v>469.79999999999995</v>
      </c>
      <c r="H190" s="22">
        <f t="shared" si="88"/>
        <v>2818.7999999999997</v>
      </c>
      <c r="I190" s="14" t="s">
        <v>14</v>
      </c>
      <c r="J190" s="14">
        <v>6</v>
      </c>
      <c r="K190" s="14" t="s">
        <v>12</v>
      </c>
      <c r="L190" s="22">
        <v>2818.7999999999997</v>
      </c>
    </row>
    <row r="191" spans="1:12" s="5" customFormat="1" ht="21.95" hidden="1" customHeight="1" outlineLevel="2">
      <c r="A191" s="6">
        <f t="shared" si="71"/>
        <v>190</v>
      </c>
      <c r="B191" s="6" t="s">
        <v>138</v>
      </c>
      <c r="C191" s="7" t="s">
        <v>29</v>
      </c>
      <c r="D191" s="7" t="s">
        <v>30</v>
      </c>
      <c r="E191" s="7" t="s">
        <v>53</v>
      </c>
      <c r="F191" s="22">
        <v>13622</v>
      </c>
      <c r="G191" s="22">
        <f t="shared" si="87"/>
        <v>8173.2</v>
      </c>
      <c r="H191" s="22">
        <f t="shared" si="88"/>
        <v>32692.799999999999</v>
      </c>
      <c r="I191" s="14" t="s">
        <v>14</v>
      </c>
      <c r="J191" s="14">
        <v>4</v>
      </c>
      <c r="K191" s="14" t="s">
        <v>12</v>
      </c>
      <c r="L191" s="22">
        <v>32692.799999999999</v>
      </c>
    </row>
    <row r="192" spans="1:12" s="5" customFormat="1" ht="21.95" hidden="1" customHeight="1" outlineLevel="2">
      <c r="A192" s="6">
        <f t="shared" si="71"/>
        <v>191</v>
      </c>
      <c r="B192" s="6" t="s">
        <v>138</v>
      </c>
      <c r="C192" s="7" t="s">
        <v>19</v>
      </c>
      <c r="D192" s="7"/>
      <c r="E192" s="7" t="s">
        <v>20</v>
      </c>
      <c r="F192" s="22">
        <f ca="1">OFFSET(F192,1,2)</f>
        <v>4200</v>
      </c>
      <c r="G192" s="22">
        <f ca="1">F192</f>
        <v>4200</v>
      </c>
      <c r="H192" s="22">
        <f t="shared" ref="H192:H193" ca="1" si="89">G192*J192</f>
        <v>4200</v>
      </c>
      <c r="I192" s="14" t="s">
        <v>19</v>
      </c>
      <c r="J192" s="14">
        <v>1</v>
      </c>
      <c r="K192" s="14" t="s">
        <v>12</v>
      </c>
      <c r="L192" s="22">
        <v>4200</v>
      </c>
    </row>
    <row r="193" spans="1:12" s="5" customFormat="1" ht="21.95" hidden="1" customHeight="1" outlineLevel="2">
      <c r="A193" s="6">
        <f t="shared" si="71"/>
        <v>192</v>
      </c>
      <c r="B193" s="6" t="s">
        <v>138</v>
      </c>
      <c r="C193" s="7" t="s">
        <v>21</v>
      </c>
      <c r="D193" s="7"/>
      <c r="E193" s="7" t="s">
        <v>22</v>
      </c>
      <c r="F193" s="22">
        <v>0.7</v>
      </c>
      <c r="G193" s="22">
        <v>100</v>
      </c>
      <c r="H193" s="22">
        <f t="shared" si="89"/>
        <v>4200</v>
      </c>
      <c r="I193" s="14" t="s">
        <v>21</v>
      </c>
      <c r="J193" s="14">
        <f>60*F193</f>
        <v>42</v>
      </c>
      <c r="K193" s="14" t="s">
        <v>12</v>
      </c>
      <c r="L193" s="22">
        <v>4200</v>
      </c>
    </row>
    <row r="194" spans="1:12" s="5" customFormat="1" ht="21.95" customHeight="1" outlineLevel="1">
      <c r="A194" s="6"/>
      <c r="B194" s="15" t="s">
        <v>170</v>
      </c>
      <c r="C194" s="7"/>
      <c r="D194" s="7"/>
      <c r="E194" s="7"/>
      <c r="F194" s="22"/>
      <c r="G194" s="22"/>
      <c r="H194" s="22">
        <f>SUBTOTAL(9,H187:H193)</f>
        <v>0</v>
      </c>
      <c r="I194" s="14"/>
      <c r="J194" s="14"/>
      <c r="K194" s="14"/>
      <c r="L194" s="22">
        <v>54751.8</v>
      </c>
    </row>
    <row r="195" spans="1:12" s="10" customFormat="1" ht="21.95" customHeight="1" outlineLevel="2">
      <c r="A195" s="8">
        <f>ROW(A193)</f>
        <v>193</v>
      </c>
      <c r="B195" s="3" t="s">
        <v>139</v>
      </c>
      <c r="C195" s="9" t="s">
        <v>8</v>
      </c>
      <c r="D195" s="9"/>
      <c r="E195" s="9" t="s">
        <v>146</v>
      </c>
      <c r="F195" s="23"/>
      <c r="G195" s="23"/>
      <c r="H195" s="23"/>
      <c r="I195" s="12" t="s">
        <v>34</v>
      </c>
      <c r="J195" s="12">
        <v>1</v>
      </c>
      <c r="K195" s="12" t="s">
        <v>10</v>
      </c>
      <c r="L195" s="23"/>
    </row>
    <row r="196" spans="1:12" s="5" customFormat="1" ht="21.95" hidden="1" customHeight="1" outlineLevel="2">
      <c r="A196" s="6">
        <f t="shared" si="71"/>
        <v>195</v>
      </c>
      <c r="B196" s="6" t="s">
        <v>139</v>
      </c>
      <c r="C196" s="7" t="s">
        <v>11</v>
      </c>
      <c r="D196" s="7" t="s">
        <v>101</v>
      </c>
      <c r="E196" s="7" t="s">
        <v>102</v>
      </c>
      <c r="F196" s="22">
        <v>20040</v>
      </c>
      <c r="G196" s="22">
        <f t="shared" ref="G196:G200" si="90">0.6*F196</f>
        <v>12024</v>
      </c>
      <c r="H196" s="22">
        <f t="shared" ref="H196:H200" si="91">G196*J196</f>
        <v>12024</v>
      </c>
      <c r="I196" s="14" t="s">
        <v>105</v>
      </c>
      <c r="J196" s="14">
        <v>1</v>
      </c>
      <c r="K196" s="14" t="s">
        <v>12</v>
      </c>
      <c r="L196" s="22">
        <v>12024</v>
      </c>
    </row>
    <row r="197" spans="1:12" s="5" customFormat="1" ht="21.95" hidden="1" customHeight="1" outlineLevel="2">
      <c r="A197" s="6">
        <f t="shared" si="71"/>
        <v>196</v>
      </c>
      <c r="B197" s="6" t="s">
        <v>139</v>
      </c>
      <c r="C197" s="7" t="s">
        <v>28</v>
      </c>
      <c r="D197" s="7" t="s">
        <v>40</v>
      </c>
      <c r="E197" s="7" t="s">
        <v>41</v>
      </c>
      <c r="F197" s="22">
        <v>3372</v>
      </c>
      <c r="G197" s="22">
        <f t="shared" si="90"/>
        <v>2023.1999999999998</v>
      </c>
      <c r="H197" s="22">
        <f t="shared" si="91"/>
        <v>2023.1999999999998</v>
      </c>
      <c r="I197" s="14" t="s">
        <v>14</v>
      </c>
      <c r="J197" s="14">
        <v>1</v>
      </c>
      <c r="K197" s="14" t="s">
        <v>12</v>
      </c>
      <c r="L197" s="22">
        <v>2023.1999999999998</v>
      </c>
    </row>
    <row r="198" spans="1:12" s="5" customFormat="1" ht="21.95" hidden="1" customHeight="1" outlineLevel="2">
      <c r="A198" s="6">
        <f t="shared" si="71"/>
        <v>197</v>
      </c>
      <c r="B198" s="6" t="s">
        <v>139</v>
      </c>
      <c r="C198" s="7" t="s">
        <v>24</v>
      </c>
      <c r="D198" s="7" t="s">
        <v>69</v>
      </c>
      <c r="E198" s="7" t="s">
        <v>70</v>
      </c>
      <c r="F198" s="22">
        <v>783</v>
      </c>
      <c r="G198" s="22">
        <f t="shared" si="90"/>
        <v>469.79999999999995</v>
      </c>
      <c r="H198" s="22">
        <f t="shared" si="91"/>
        <v>4698</v>
      </c>
      <c r="I198" s="14" t="s">
        <v>14</v>
      </c>
      <c r="J198" s="14">
        <v>10</v>
      </c>
      <c r="K198" s="14" t="s">
        <v>12</v>
      </c>
      <c r="L198" s="22">
        <v>4698</v>
      </c>
    </row>
    <row r="199" spans="1:12" s="5" customFormat="1" ht="21.95" hidden="1" customHeight="1" outlineLevel="2">
      <c r="A199" s="6">
        <f t="shared" si="71"/>
        <v>198</v>
      </c>
      <c r="B199" s="6" t="s">
        <v>139</v>
      </c>
      <c r="C199" s="7" t="s">
        <v>24</v>
      </c>
      <c r="D199" s="7" t="s">
        <v>73</v>
      </c>
      <c r="E199" s="7" t="s">
        <v>74</v>
      </c>
      <c r="F199" s="22">
        <v>2337</v>
      </c>
      <c r="G199" s="22">
        <f t="shared" si="90"/>
        <v>1402.2</v>
      </c>
      <c r="H199" s="22">
        <f t="shared" si="91"/>
        <v>12619.800000000001</v>
      </c>
      <c r="I199" s="14" t="s">
        <v>14</v>
      </c>
      <c r="J199" s="14">
        <v>9</v>
      </c>
      <c r="K199" s="14" t="s">
        <v>12</v>
      </c>
      <c r="L199" s="22">
        <v>12619.800000000001</v>
      </c>
    </row>
    <row r="200" spans="1:12" s="5" customFormat="1" ht="21.95" hidden="1" customHeight="1" outlineLevel="2">
      <c r="A200" s="6">
        <f t="shared" si="71"/>
        <v>199</v>
      </c>
      <c r="B200" s="6" t="s">
        <v>139</v>
      </c>
      <c r="C200" s="7" t="s">
        <v>31</v>
      </c>
      <c r="D200" s="7" t="s">
        <v>32</v>
      </c>
      <c r="E200" s="7" t="s">
        <v>83</v>
      </c>
      <c r="F200" s="22">
        <v>5354</v>
      </c>
      <c r="G200" s="22">
        <f t="shared" si="90"/>
        <v>3212.4</v>
      </c>
      <c r="H200" s="22">
        <f t="shared" si="91"/>
        <v>3212.4</v>
      </c>
      <c r="I200" s="14" t="s">
        <v>14</v>
      </c>
      <c r="J200" s="14">
        <v>1</v>
      </c>
      <c r="K200" s="14" t="s">
        <v>12</v>
      </c>
      <c r="L200" s="22">
        <v>3212.4</v>
      </c>
    </row>
    <row r="201" spans="1:12" s="5" customFormat="1" ht="21.95" hidden="1" customHeight="1" outlineLevel="2">
      <c r="A201" s="6">
        <f t="shared" si="71"/>
        <v>200</v>
      </c>
      <c r="B201" s="6" t="s">
        <v>139</v>
      </c>
      <c r="C201" s="7" t="s">
        <v>19</v>
      </c>
      <c r="D201" s="7"/>
      <c r="E201" s="7" t="s">
        <v>20</v>
      </c>
      <c r="F201" s="22">
        <f ca="1">OFFSET(F201,1,2)</f>
        <v>12000</v>
      </c>
      <c r="G201" s="22">
        <f ca="1">F201</f>
        <v>12000</v>
      </c>
      <c r="H201" s="22">
        <f t="shared" ref="H201:H202" ca="1" si="92">G201*J201</f>
        <v>12000</v>
      </c>
      <c r="I201" s="14" t="s">
        <v>19</v>
      </c>
      <c r="J201" s="14">
        <v>1</v>
      </c>
      <c r="K201" s="14" t="s">
        <v>12</v>
      </c>
      <c r="L201" s="22">
        <v>12000</v>
      </c>
    </row>
    <row r="202" spans="1:12" s="5" customFormat="1" ht="21.95" hidden="1" customHeight="1" outlineLevel="2">
      <c r="A202" s="6">
        <f t="shared" si="71"/>
        <v>201</v>
      </c>
      <c r="B202" s="6" t="s">
        <v>139</v>
      </c>
      <c r="C202" s="7" t="s">
        <v>21</v>
      </c>
      <c r="D202" s="7"/>
      <c r="E202" s="7" t="s">
        <v>22</v>
      </c>
      <c r="F202" s="22">
        <v>2</v>
      </c>
      <c r="G202" s="22">
        <v>100</v>
      </c>
      <c r="H202" s="22">
        <f t="shared" si="92"/>
        <v>12000</v>
      </c>
      <c r="I202" s="14" t="s">
        <v>21</v>
      </c>
      <c r="J202" s="14">
        <f>60*F202</f>
        <v>120</v>
      </c>
      <c r="K202" s="14" t="s">
        <v>12</v>
      </c>
      <c r="L202" s="22">
        <v>12000</v>
      </c>
    </row>
    <row r="203" spans="1:12" s="5" customFormat="1" ht="21.95" customHeight="1" outlineLevel="1">
      <c r="A203" s="6"/>
      <c r="B203" s="15" t="s">
        <v>171</v>
      </c>
      <c r="C203" s="7"/>
      <c r="D203" s="7"/>
      <c r="E203" s="7"/>
      <c r="F203" s="22"/>
      <c r="G203" s="22"/>
      <c r="H203" s="22">
        <f>SUBTOTAL(9,H195:H202)</f>
        <v>0</v>
      </c>
      <c r="I203" s="14"/>
      <c r="J203" s="14"/>
      <c r="K203" s="14"/>
      <c r="L203" s="22">
        <v>58577.4</v>
      </c>
    </row>
    <row r="204" spans="1:12" s="10" customFormat="1" ht="21.95" customHeight="1" outlineLevel="2">
      <c r="A204" s="8">
        <f>ROW(A202)</f>
        <v>202</v>
      </c>
      <c r="B204" s="3" t="s">
        <v>140</v>
      </c>
      <c r="C204" s="9" t="s">
        <v>8</v>
      </c>
      <c r="D204" s="9"/>
      <c r="E204" s="9" t="s">
        <v>146</v>
      </c>
      <c r="F204" s="23"/>
      <c r="G204" s="23"/>
      <c r="H204" s="23"/>
      <c r="I204" s="12" t="s">
        <v>34</v>
      </c>
      <c r="J204" s="12">
        <v>1</v>
      </c>
      <c r="K204" s="12" t="s">
        <v>10</v>
      </c>
      <c r="L204" s="23"/>
    </row>
    <row r="205" spans="1:12" s="5" customFormat="1" ht="21.95" hidden="1" customHeight="1" outlineLevel="2">
      <c r="A205" s="6">
        <f t="shared" si="71"/>
        <v>204</v>
      </c>
      <c r="B205" s="6" t="s">
        <v>140</v>
      </c>
      <c r="C205" s="7" t="s">
        <v>11</v>
      </c>
      <c r="D205" s="7" t="s">
        <v>114</v>
      </c>
      <c r="E205" s="7" t="s">
        <v>115</v>
      </c>
      <c r="F205" s="22">
        <v>15140</v>
      </c>
      <c r="G205" s="22">
        <f t="shared" ref="G205:G207" si="93">0.6*F205</f>
        <v>9084</v>
      </c>
      <c r="H205" s="22">
        <f t="shared" ref="H205:H207" si="94">G205*J205</f>
        <v>9084</v>
      </c>
      <c r="I205" s="14" t="s">
        <v>105</v>
      </c>
      <c r="J205" s="14">
        <v>1</v>
      </c>
      <c r="K205" s="14" t="s">
        <v>12</v>
      </c>
      <c r="L205" s="22">
        <v>9084</v>
      </c>
    </row>
    <row r="206" spans="1:12" s="5" customFormat="1" ht="21.95" hidden="1" customHeight="1" outlineLevel="2">
      <c r="A206" s="6">
        <f t="shared" si="71"/>
        <v>205</v>
      </c>
      <c r="B206" s="6" t="s">
        <v>140</v>
      </c>
      <c r="C206" s="7" t="s">
        <v>28</v>
      </c>
      <c r="D206" s="7" t="s">
        <v>40</v>
      </c>
      <c r="E206" s="7" t="s">
        <v>41</v>
      </c>
      <c r="F206" s="22">
        <v>3372</v>
      </c>
      <c r="G206" s="22">
        <f t="shared" si="93"/>
        <v>2023.1999999999998</v>
      </c>
      <c r="H206" s="22">
        <f t="shared" si="94"/>
        <v>2023.1999999999998</v>
      </c>
      <c r="I206" s="14" t="s">
        <v>14</v>
      </c>
      <c r="J206" s="14">
        <v>1</v>
      </c>
      <c r="K206" s="14" t="s">
        <v>12</v>
      </c>
      <c r="L206" s="22">
        <v>2023.1999999999998</v>
      </c>
    </row>
    <row r="207" spans="1:12" s="5" customFormat="1" ht="21.95" hidden="1" customHeight="1" outlineLevel="2">
      <c r="A207" s="6">
        <f t="shared" si="71"/>
        <v>206</v>
      </c>
      <c r="B207" s="6" t="s">
        <v>140</v>
      </c>
      <c r="C207" s="7" t="s">
        <v>33</v>
      </c>
      <c r="D207" s="7" t="s">
        <v>51</v>
      </c>
      <c r="E207" s="7" t="s">
        <v>52</v>
      </c>
      <c r="F207" s="22">
        <v>5104</v>
      </c>
      <c r="G207" s="22">
        <f t="shared" si="93"/>
        <v>3062.4</v>
      </c>
      <c r="H207" s="22">
        <f t="shared" si="94"/>
        <v>36748.800000000003</v>
      </c>
      <c r="I207" s="14" t="s">
        <v>14</v>
      </c>
      <c r="J207" s="14">
        <v>12</v>
      </c>
      <c r="K207" s="14" t="s">
        <v>12</v>
      </c>
      <c r="L207" s="22">
        <v>36748.800000000003</v>
      </c>
    </row>
    <row r="208" spans="1:12" s="5" customFormat="1" ht="21.95" hidden="1" customHeight="1" outlineLevel="2">
      <c r="A208" s="6">
        <f t="shared" si="71"/>
        <v>207</v>
      </c>
      <c r="B208" s="6" t="s">
        <v>140</v>
      </c>
      <c r="C208" s="7" t="s">
        <v>19</v>
      </c>
      <c r="D208" s="7"/>
      <c r="E208" s="7" t="s">
        <v>20</v>
      </c>
      <c r="F208" s="22">
        <f ca="1">OFFSET(F208,1,2)</f>
        <v>9000</v>
      </c>
      <c r="G208" s="22">
        <f ca="1">F208</f>
        <v>9000</v>
      </c>
      <c r="H208" s="22">
        <f t="shared" ref="H208:H209" ca="1" si="95">G208*J208</f>
        <v>9000</v>
      </c>
      <c r="I208" s="14" t="s">
        <v>19</v>
      </c>
      <c r="J208" s="14">
        <v>1</v>
      </c>
      <c r="K208" s="14" t="s">
        <v>12</v>
      </c>
      <c r="L208" s="22">
        <v>9000</v>
      </c>
    </row>
    <row r="209" spans="1:12" s="5" customFormat="1" ht="21.95" hidden="1" customHeight="1" outlineLevel="2">
      <c r="A209" s="6">
        <f t="shared" si="71"/>
        <v>208</v>
      </c>
      <c r="B209" s="6" t="s">
        <v>140</v>
      </c>
      <c r="C209" s="7" t="s">
        <v>21</v>
      </c>
      <c r="D209" s="7"/>
      <c r="E209" s="7" t="s">
        <v>22</v>
      </c>
      <c r="F209" s="22">
        <v>1.5</v>
      </c>
      <c r="G209" s="22">
        <v>100</v>
      </c>
      <c r="H209" s="22">
        <f t="shared" si="95"/>
        <v>9000</v>
      </c>
      <c r="I209" s="14" t="s">
        <v>21</v>
      </c>
      <c r="J209" s="14">
        <f>60*F209</f>
        <v>90</v>
      </c>
      <c r="K209" s="14" t="s">
        <v>12</v>
      </c>
      <c r="L209" s="22">
        <v>9000</v>
      </c>
    </row>
    <row r="210" spans="1:12" s="5" customFormat="1" ht="21.95" customHeight="1" outlineLevel="1">
      <c r="A210" s="6"/>
      <c r="B210" s="15" t="s">
        <v>172</v>
      </c>
      <c r="C210" s="7"/>
      <c r="D210" s="7"/>
      <c r="E210" s="7"/>
      <c r="F210" s="22"/>
      <c r="G210" s="22"/>
      <c r="H210" s="22">
        <f>SUBTOTAL(9,H204:H209)</f>
        <v>0</v>
      </c>
      <c r="I210" s="14"/>
      <c r="J210" s="14"/>
      <c r="K210" s="14"/>
      <c r="L210" s="22">
        <v>65856</v>
      </c>
    </row>
    <row r="211" spans="1:12" s="10" customFormat="1" ht="21.95" customHeight="1" outlineLevel="2">
      <c r="A211" s="8">
        <f>ROW(A209)</f>
        <v>209</v>
      </c>
      <c r="B211" s="3" t="s">
        <v>141</v>
      </c>
      <c r="C211" s="9" t="s">
        <v>8</v>
      </c>
      <c r="D211" s="9"/>
      <c r="E211" s="9" t="s">
        <v>146</v>
      </c>
      <c r="F211" s="23"/>
      <c r="G211" s="23"/>
      <c r="H211" s="23"/>
      <c r="I211" s="12" t="s">
        <v>34</v>
      </c>
      <c r="J211" s="12">
        <v>1</v>
      </c>
      <c r="K211" s="12" t="s">
        <v>10</v>
      </c>
      <c r="L211" s="23"/>
    </row>
    <row r="212" spans="1:12" s="5" customFormat="1" ht="21.95" hidden="1" customHeight="1" outlineLevel="2">
      <c r="A212" s="6">
        <f t="shared" si="71"/>
        <v>211</v>
      </c>
      <c r="B212" s="6" t="s">
        <v>141</v>
      </c>
      <c r="C212" s="7" t="s">
        <v>11</v>
      </c>
      <c r="D212" s="7" t="s">
        <v>101</v>
      </c>
      <c r="E212" s="7" t="s">
        <v>102</v>
      </c>
      <c r="F212" s="22">
        <v>20040</v>
      </c>
      <c r="G212" s="22">
        <f t="shared" ref="G212:G215" si="96">0.6*F212</f>
        <v>12024</v>
      </c>
      <c r="H212" s="22">
        <f t="shared" ref="H212:H215" si="97">G212*J212</f>
        <v>12024</v>
      </c>
      <c r="I212" s="14" t="s">
        <v>105</v>
      </c>
      <c r="J212" s="14">
        <v>1</v>
      </c>
      <c r="K212" s="14" t="s">
        <v>12</v>
      </c>
      <c r="L212" s="22">
        <v>12024</v>
      </c>
    </row>
    <row r="213" spans="1:12" s="5" customFormat="1" ht="21.95" hidden="1" customHeight="1" outlineLevel="2">
      <c r="A213" s="6">
        <f t="shared" si="71"/>
        <v>212</v>
      </c>
      <c r="B213" s="6" t="s">
        <v>141</v>
      </c>
      <c r="C213" s="7" t="s">
        <v>28</v>
      </c>
      <c r="D213" s="7" t="s">
        <v>44</v>
      </c>
      <c r="E213" s="7" t="s">
        <v>45</v>
      </c>
      <c r="F213" s="22">
        <v>4439</v>
      </c>
      <c r="G213" s="22">
        <f t="shared" si="96"/>
        <v>2663.4</v>
      </c>
      <c r="H213" s="22">
        <f t="shared" si="97"/>
        <v>2663.4</v>
      </c>
      <c r="I213" s="14" t="s">
        <v>14</v>
      </c>
      <c r="J213" s="14">
        <v>1</v>
      </c>
      <c r="K213" s="14" t="s">
        <v>12</v>
      </c>
      <c r="L213" s="22">
        <v>2663.4</v>
      </c>
    </row>
    <row r="214" spans="1:12" s="5" customFormat="1" ht="21.95" hidden="1" customHeight="1" outlineLevel="2">
      <c r="A214" s="6">
        <f t="shared" si="71"/>
        <v>213</v>
      </c>
      <c r="B214" s="6" t="s">
        <v>141</v>
      </c>
      <c r="C214" s="7" t="s">
        <v>33</v>
      </c>
      <c r="D214" s="7" t="s">
        <v>51</v>
      </c>
      <c r="E214" s="7" t="s">
        <v>52</v>
      </c>
      <c r="F214" s="22">
        <v>5104</v>
      </c>
      <c r="G214" s="22">
        <f t="shared" si="96"/>
        <v>3062.4</v>
      </c>
      <c r="H214" s="22">
        <f t="shared" si="97"/>
        <v>45936</v>
      </c>
      <c r="I214" s="14" t="s">
        <v>14</v>
      </c>
      <c r="J214" s="14">
        <v>15</v>
      </c>
      <c r="K214" s="14" t="s">
        <v>12</v>
      </c>
      <c r="L214" s="22">
        <v>45936</v>
      </c>
    </row>
    <row r="215" spans="1:12" s="5" customFormat="1" ht="21.95" hidden="1" customHeight="1" outlineLevel="2">
      <c r="A215" s="6">
        <f t="shared" si="71"/>
        <v>214</v>
      </c>
      <c r="B215" s="6" t="s">
        <v>141</v>
      </c>
      <c r="C215" s="7" t="s">
        <v>33</v>
      </c>
      <c r="D215" s="7" t="s">
        <v>49</v>
      </c>
      <c r="E215" s="7" t="s">
        <v>50</v>
      </c>
      <c r="F215" s="22">
        <v>5552</v>
      </c>
      <c r="G215" s="22">
        <f t="shared" si="96"/>
        <v>3331.2</v>
      </c>
      <c r="H215" s="22">
        <f t="shared" si="97"/>
        <v>6662.4</v>
      </c>
      <c r="I215" s="14" t="s">
        <v>14</v>
      </c>
      <c r="J215" s="14">
        <v>2</v>
      </c>
      <c r="K215" s="14" t="s">
        <v>12</v>
      </c>
      <c r="L215" s="22">
        <v>6662.4</v>
      </c>
    </row>
    <row r="216" spans="1:12" s="5" customFormat="1" ht="21.95" hidden="1" customHeight="1" outlineLevel="2">
      <c r="A216" s="6">
        <f t="shared" si="71"/>
        <v>215</v>
      </c>
      <c r="B216" s="6" t="s">
        <v>141</v>
      </c>
      <c r="C216" s="7" t="s">
        <v>19</v>
      </c>
      <c r="D216" s="7"/>
      <c r="E216" s="7" t="s">
        <v>20</v>
      </c>
      <c r="F216" s="22">
        <f ca="1">OFFSET(F216,1,2)</f>
        <v>18000</v>
      </c>
      <c r="G216" s="22">
        <f ca="1">F216</f>
        <v>18000</v>
      </c>
      <c r="H216" s="22">
        <f t="shared" ref="H216:H217" ca="1" si="98">G216*J216</f>
        <v>18000</v>
      </c>
      <c r="I216" s="14" t="s">
        <v>19</v>
      </c>
      <c r="J216" s="14">
        <v>1</v>
      </c>
      <c r="K216" s="14" t="s">
        <v>12</v>
      </c>
      <c r="L216" s="22">
        <v>18000</v>
      </c>
    </row>
    <row r="217" spans="1:12" s="5" customFormat="1" ht="21.95" hidden="1" customHeight="1" outlineLevel="2">
      <c r="A217" s="6">
        <f t="shared" si="71"/>
        <v>216</v>
      </c>
      <c r="B217" s="6" t="s">
        <v>141</v>
      </c>
      <c r="C217" s="7" t="s">
        <v>21</v>
      </c>
      <c r="D217" s="7"/>
      <c r="E217" s="7" t="s">
        <v>22</v>
      </c>
      <c r="F217" s="22">
        <v>3</v>
      </c>
      <c r="G217" s="22">
        <v>100</v>
      </c>
      <c r="H217" s="22">
        <f t="shared" si="98"/>
        <v>18000</v>
      </c>
      <c r="I217" s="14" t="s">
        <v>21</v>
      </c>
      <c r="J217" s="14">
        <f>60*F217</f>
        <v>180</v>
      </c>
      <c r="K217" s="14" t="s">
        <v>12</v>
      </c>
      <c r="L217" s="22">
        <v>18000</v>
      </c>
    </row>
    <row r="218" spans="1:12" s="5" customFormat="1" ht="21.95" customHeight="1" outlineLevel="1">
      <c r="A218" s="6"/>
      <c r="B218" s="15" t="s">
        <v>173</v>
      </c>
      <c r="C218" s="7"/>
      <c r="D218" s="7"/>
      <c r="E218" s="7"/>
      <c r="F218" s="22"/>
      <c r="G218" s="22"/>
      <c r="H218" s="22">
        <f>SUBTOTAL(9,H211:H217)</f>
        <v>0</v>
      </c>
      <c r="I218" s="14"/>
      <c r="J218" s="14"/>
      <c r="K218" s="14"/>
      <c r="L218" s="22">
        <v>103285.8</v>
      </c>
    </row>
    <row r="219" spans="1:12" s="10" customFormat="1" ht="21.95" customHeight="1" outlineLevel="2">
      <c r="A219" s="8">
        <f>ROW(A217)</f>
        <v>217</v>
      </c>
      <c r="B219" s="3" t="s">
        <v>142</v>
      </c>
      <c r="C219" s="9" t="s">
        <v>8</v>
      </c>
      <c r="D219" s="9"/>
      <c r="E219" s="9" t="s">
        <v>146</v>
      </c>
      <c r="F219" s="23"/>
      <c r="G219" s="23"/>
      <c r="H219" s="23"/>
      <c r="I219" s="12" t="s">
        <v>34</v>
      </c>
      <c r="J219" s="12">
        <v>1</v>
      </c>
      <c r="K219" s="12" t="s">
        <v>10</v>
      </c>
      <c r="L219" s="23"/>
    </row>
    <row r="220" spans="1:12" s="5" customFormat="1" ht="21.95" hidden="1" customHeight="1" outlineLevel="2">
      <c r="A220" s="6">
        <f t="shared" si="71"/>
        <v>219</v>
      </c>
      <c r="B220" s="6" t="s">
        <v>142</v>
      </c>
      <c r="C220" s="7" t="s">
        <v>11</v>
      </c>
      <c r="D220" s="7" t="s">
        <v>114</v>
      </c>
      <c r="E220" s="7" t="s">
        <v>115</v>
      </c>
      <c r="F220" s="22">
        <v>15140</v>
      </c>
      <c r="G220" s="22">
        <f t="shared" ref="G220:G222" si="99">0.6*F220</f>
        <v>9084</v>
      </c>
      <c r="H220" s="22">
        <f t="shared" ref="H220:H222" si="100">G220*J220</f>
        <v>9084</v>
      </c>
      <c r="I220" s="14" t="s">
        <v>105</v>
      </c>
      <c r="J220" s="14">
        <v>1</v>
      </c>
      <c r="K220" s="14" t="s">
        <v>12</v>
      </c>
      <c r="L220" s="22">
        <v>9084</v>
      </c>
    </row>
    <row r="221" spans="1:12" s="5" customFormat="1" ht="21.95" hidden="1" customHeight="1" outlineLevel="2">
      <c r="A221" s="6">
        <f t="shared" ref="A221:A246" si="101">ROW(A220)</f>
        <v>220</v>
      </c>
      <c r="B221" s="6" t="s">
        <v>142</v>
      </c>
      <c r="C221" s="7" t="s">
        <v>28</v>
      </c>
      <c r="D221" s="7" t="s">
        <v>42</v>
      </c>
      <c r="E221" s="7" t="s">
        <v>43</v>
      </c>
      <c r="F221" s="22">
        <v>4217</v>
      </c>
      <c r="G221" s="22">
        <f t="shared" si="99"/>
        <v>2530.1999999999998</v>
      </c>
      <c r="H221" s="22">
        <f t="shared" si="100"/>
        <v>2530.1999999999998</v>
      </c>
      <c r="I221" s="14" t="s">
        <v>14</v>
      </c>
      <c r="J221" s="14">
        <v>1</v>
      </c>
      <c r="K221" s="14" t="s">
        <v>12</v>
      </c>
      <c r="L221" s="22">
        <v>2530.1999999999998</v>
      </c>
    </row>
    <row r="222" spans="1:12" s="5" customFormat="1" ht="21.95" hidden="1" customHeight="1" outlineLevel="2">
      <c r="A222" s="6">
        <f t="shared" si="101"/>
        <v>221</v>
      </c>
      <c r="B222" s="6" t="s">
        <v>142</v>
      </c>
      <c r="C222" s="7" t="s">
        <v>33</v>
      </c>
      <c r="D222" s="7" t="s">
        <v>51</v>
      </c>
      <c r="E222" s="7" t="s">
        <v>52</v>
      </c>
      <c r="F222" s="22">
        <v>5104</v>
      </c>
      <c r="G222" s="22">
        <f t="shared" si="99"/>
        <v>3062.4</v>
      </c>
      <c r="H222" s="22">
        <f t="shared" si="100"/>
        <v>45936</v>
      </c>
      <c r="I222" s="14" t="s">
        <v>14</v>
      </c>
      <c r="J222" s="14">
        <v>15</v>
      </c>
      <c r="K222" s="14" t="s">
        <v>12</v>
      </c>
      <c r="L222" s="22">
        <v>45936</v>
      </c>
    </row>
    <row r="223" spans="1:12" s="5" customFormat="1" ht="21.95" hidden="1" customHeight="1" outlineLevel="2">
      <c r="A223" s="6">
        <f t="shared" si="101"/>
        <v>222</v>
      </c>
      <c r="B223" s="6" t="s">
        <v>142</v>
      </c>
      <c r="C223" s="7" t="s">
        <v>19</v>
      </c>
      <c r="D223" s="7"/>
      <c r="E223" s="7" t="s">
        <v>20</v>
      </c>
      <c r="F223" s="22">
        <f ca="1">OFFSET(F223,1,2)</f>
        <v>6000</v>
      </c>
      <c r="G223" s="22">
        <f ca="1">F223</f>
        <v>6000</v>
      </c>
      <c r="H223" s="22">
        <f t="shared" ref="H223:H224" ca="1" si="102">G223*J223</f>
        <v>6000</v>
      </c>
      <c r="I223" s="14" t="s">
        <v>19</v>
      </c>
      <c r="J223" s="14">
        <v>1</v>
      </c>
      <c r="K223" s="14" t="s">
        <v>12</v>
      </c>
      <c r="L223" s="22">
        <v>6000</v>
      </c>
    </row>
    <row r="224" spans="1:12" s="5" customFormat="1" ht="21.95" hidden="1" customHeight="1" outlineLevel="2">
      <c r="A224" s="6">
        <f t="shared" si="101"/>
        <v>223</v>
      </c>
      <c r="B224" s="6" t="s">
        <v>142</v>
      </c>
      <c r="C224" s="7" t="s">
        <v>21</v>
      </c>
      <c r="D224" s="7"/>
      <c r="E224" s="7" t="s">
        <v>22</v>
      </c>
      <c r="F224" s="22">
        <v>1</v>
      </c>
      <c r="G224" s="22">
        <v>100</v>
      </c>
      <c r="H224" s="22">
        <f t="shared" si="102"/>
        <v>6000</v>
      </c>
      <c r="I224" s="14" t="s">
        <v>21</v>
      </c>
      <c r="J224" s="14">
        <f>60*F224</f>
        <v>60</v>
      </c>
      <c r="K224" s="14" t="s">
        <v>12</v>
      </c>
      <c r="L224" s="22">
        <v>6000</v>
      </c>
    </row>
    <row r="225" spans="1:12" s="5" customFormat="1" ht="21.95" customHeight="1" outlineLevel="1">
      <c r="A225" s="6"/>
      <c r="B225" s="15" t="s">
        <v>174</v>
      </c>
      <c r="C225" s="7"/>
      <c r="D225" s="7"/>
      <c r="E225" s="7"/>
      <c r="F225" s="22"/>
      <c r="G225" s="22"/>
      <c r="H225" s="22">
        <f>SUBTOTAL(9,H219:H224)</f>
        <v>0</v>
      </c>
      <c r="I225" s="14"/>
      <c r="J225" s="14"/>
      <c r="K225" s="14"/>
      <c r="L225" s="22">
        <v>69550.2</v>
      </c>
    </row>
    <row r="226" spans="1:12" s="10" customFormat="1" ht="21.95" customHeight="1" outlineLevel="2">
      <c r="A226" s="8">
        <f>ROW(A224)</f>
        <v>224</v>
      </c>
      <c r="B226" s="3" t="s">
        <v>143</v>
      </c>
      <c r="C226" s="9" t="s">
        <v>8</v>
      </c>
      <c r="D226" s="9"/>
      <c r="E226" s="9" t="s">
        <v>146</v>
      </c>
      <c r="F226" s="23"/>
      <c r="G226" s="23"/>
      <c r="H226" s="23"/>
      <c r="I226" s="12" t="s">
        <v>34</v>
      </c>
      <c r="J226" s="12">
        <v>1</v>
      </c>
      <c r="K226" s="12" t="s">
        <v>10</v>
      </c>
      <c r="L226" s="23"/>
    </row>
    <row r="227" spans="1:12" s="5" customFormat="1" ht="21.95" hidden="1" customHeight="1" outlineLevel="2">
      <c r="A227" s="6">
        <f t="shared" si="101"/>
        <v>226</v>
      </c>
      <c r="B227" s="6" t="s">
        <v>143</v>
      </c>
      <c r="C227" s="7" t="s">
        <v>11</v>
      </c>
      <c r="D227" s="7" t="s">
        <v>101</v>
      </c>
      <c r="E227" s="7" t="s">
        <v>102</v>
      </c>
      <c r="F227" s="22">
        <v>20040</v>
      </c>
      <c r="G227" s="22">
        <f t="shared" ref="G227:G229" si="103">0.6*F227</f>
        <v>12024</v>
      </c>
      <c r="H227" s="22">
        <f t="shared" ref="H227:H229" si="104">G227*J227</f>
        <v>12024</v>
      </c>
      <c r="I227" s="14" t="s">
        <v>105</v>
      </c>
      <c r="J227" s="14">
        <v>1</v>
      </c>
      <c r="K227" s="14" t="s">
        <v>12</v>
      </c>
      <c r="L227" s="22">
        <v>12024</v>
      </c>
    </row>
    <row r="228" spans="1:12" s="5" customFormat="1" ht="21.95" hidden="1" customHeight="1" outlineLevel="2">
      <c r="A228" s="6">
        <f t="shared" si="101"/>
        <v>227</v>
      </c>
      <c r="B228" s="6" t="s">
        <v>143</v>
      </c>
      <c r="C228" s="7" t="s">
        <v>28</v>
      </c>
      <c r="D228" s="7" t="s">
        <v>42</v>
      </c>
      <c r="E228" s="7" t="s">
        <v>43</v>
      </c>
      <c r="F228" s="22">
        <v>4217</v>
      </c>
      <c r="G228" s="22">
        <f t="shared" si="103"/>
        <v>2530.1999999999998</v>
      </c>
      <c r="H228" s="22">
        <f t="shared" si="104"/>
        <v>2530.1999999999998</v>
      </c>
      <c r="I228" s="14" t="s">
        <v>14</v>
      </c>
      <c r="J228" s="14">
        <v>1</v>
      </c>
      <c r="K228" s="14" t="s">
        <v>12</v>
      </c>
      <c r="L228" s="22">
        <v>2530.1999999999998</v>
      </c>
    </row>
    <row r="229" spans="1:12" s="5" customFormat="1" ht="21.95" hidden="1" customHeight="1" outlineLevel="2">
      <c r="A229" s="6">
        <f t="shared" si="101"/>
        <v>228</v>
      </c>
      <c r="B229" s="6" t="s">
        <v>143</v>
      </c>
      <c r="C229" s="7" t="s">
        <v>33</v>
      </c>
      <c r="D229" s="7" t="s">
        <v>51</v>
      </c>
      <c r="E229" s="7" t="s">
        <v>52</v>
      </c>
      <c r="F229" s="22">
        <v>5104</v>
      </c>
      <c r="G229" s="22">
        <f t="shared" si="103"/>
        <v>3062.4</v>
      </c>
      <c r="H229" s="22">
        <f t="shared" si="104"/>
        <v>52060.800000000003</v>
      </c>
      <c r="I229" s="14" t="s">
        <v>14</v>
      </c>
      <c r="J229" s="14">
        <v>17</v>
      </c>
      <c r="K229" s="14" t="s">
        <v>12</v>
      </c>
      <c r="L229" s="22">
        <v>52060.800000000003</v>
      </c>
    </row>
    <row r="230" spans="1:12" s="5" customFormat="1" ht="21.95" hidden="1" customHeight="1" outlineLevel="2">
      <c r="A230" s="6">
        <f t="shared" si="101"/>
        <v>229</v>
      </c>
      <c r="B230" s="6" t="s">
        <v>143</v>
      </c>
      <c r="C230" s="7" t="s">
        <v>19</v>
      </c>
      <c r="D230" s="7"/>
      <c r="E230" s="7" t="s">
        <v>20</v>
      </c>
      <c r="F230" s="22">
        <f ca="1">OFFSET(F230,1,2)</f>
        <v>15000</v>
      </c>
      <c r="G230" s="22">
        <f ca="1">F230</f>
        <v>15000</v>
      </c>
      <c r="H230" s="22">
        <f t="shared" ref="H230:H231" ca="1" si="105">G230*J230</f>
        <v>15000</v>
      </c>
      <c r="I230" s="14" t="s">
        <v>19</v>
      </c>
      <c r="J230" s="14">
        <v>1</v>
      </c>
      <c r="K230" s="14" t="s">
        <v>12</v>
      </c>
      <c r="L230" s="22">
        <v>15000</v>
      </c>
    </row>
    <row r="231" spans="1:12" s="5" customFormat="1" ht="21.95" hidden="1" customHeight="1" outlineLevel="2">
      <c r="A231" s="6">
        <f t="shared" si="101"/>
        <v>230</v>
      </c>
      <c r="B231" s="6" t="s">
        <v>143</v>
      </c>
      <c r="C231" s="7" t="s">
        <v>21</v>
      </c>
      <c r="D231" s="7"/>
      <c r="E231" s="7" t="s">
        <v>22</v>
      </c>
      <c r="F231" s="22">
        <v>2.5</v>
      </c>
      <c r="G231" s="22">
        <v>100</v>
      </c>
      <c r="H231" s="22">
        <f t="shared" si="105"/>
        <v>15000</v>
      </c>
      <c r="I231" s="14" t="s">
        <v>21</v>
      </c>
      <c r="J231" s="14">
        <f>60*F231</f>
        <v>150</v>
      </c>
      <c r="K231" s="14" t="s">
        <v>12</v>
      </c>
      <c r="L231" s="22">
        <v>15000</v>
      </c>
    </row>
    <row r="232" spans="1:12" s="5" customFormat="1" ht="21.95" customHeight="1" outlineLevel="1">
      <c r="A232" s="6"/>
      <c r="B232" s="15" t="s">
        <v>175</v>
      </c>
      <c r="C232" s="7"/>
      <c r="D232" s="7"/>
      <c r="E232" s="7"/>
      <c r="F232" s="22"/>
      <c r="G232" s="22"/>
      <c r="H232" s="22">
        <f>SUBTOTAL(9,H226:H231)</f>
        <v>0</v>
      </c>
      <c r="I232" s="14"/>
      <c r="J232" s="14"/>
      <c r="K232" s="14"/>
      <c r="L232" s="22">
        <v>96615</v>
      </c>
    </row>
    <row r="233" spans="1:12" s="10" customFormat="1" ht="21.95" customHeight="1" outlineLevel="2">
      <c r="A233" s="8">
        <f>ROW(A231)</f>
        <v>231</v>
      </c>
      <c r="B233" s="3" t="s">
        <v>144</v>
      </c>
      <c r="C233" s="9" t="s">
        <v>8</v>
      </c>
      <c r="D233" s="9"/>
      <c r="E233" s="9" t="s">
        <v>146</v>
      </c>
      <c r="F233" s="23"/>
      <c r="G233" s="23"/>
      <c r="H233" s="23"/>
      <c r="I233" s="12" t="s">
        <v>34</v>
      </c>
      <c r="J233" s="12">
        <v>1</v>
      </c>
      <c r="K233" s="12" t="s">
        <v>10</v>
      </c>
      <c r="L233" s="23"/>
    </row>
    <row r="234" spans="1:12" s="5" customFormat="1" ht="21.95" hidden="1" customHeight="1" outlineLevel="2">
      <c r="A234" s="6">
        <f t="shared" si="101"/>
        <v>233</v>
      </c>
      <c r="B234" s="6" t="s">
        <v>144</v>
      </c>
      <c r="C234" s="7" t="s">
        <v>11</v>
      </c>
      <c r="D234" s="7" t="s">
        <v>101</v>
      </c>
      <c r="E234" s="7" t="s">
        <v>102</v>
      </c>
      <c r="F234" s="22">
        <v>20040</v>
      </c>
      <c r="G234" s="22">
        <f t="shared" ref="G234:G236" si="106">0.6*F234</f>
        <v>12024</v>
      </c>
      <c r="H234" s="22">
        <f t="shared" ref="H234:H236" si="107">G234*J234</f>
        <v>12024</v>
      </c>
      <c r="I234" s="14" t="s">
        <v>105</v>
      </c>
      <c r="J234" s="14">
        <v>1</v>
      </c>
      <c r="K234" s="14" t="s">
        <v>12</v>
      </c>
      <c r="L234" s="22">
        <v>12024</v>
      </c>
    </row>
    <row r="235" spans="1:12" s="5" customFormat="1" ht="21.95" hidden="1" customHeight="1" outlineLevel="2">
      <c r="A235" s="6">
        <f t="shared" si="101"/>
        <v>234</v>
      </c>
      <c r="B235" s="6" t="s">
        <v>144</v>
      </c>
      <c r="C235" s="7" t="s">
        <v>28</v>
      </c>
      <c r="D235" s="7" t="s">
        <v>42</v>
      </c>
      <c r="E235" s="7" t="s">
        <v>43</v>
      </c>
      <c r="F235" s="22">
        <v>4217</v>
      </c>
      <c r="G235" s="22">
        <f t="shared" si="106"/>
        <v>2530.1999999999998</v>
      </c>
      <c r="H235" s="22">
        <f t="shared" si="107"/>
        <v>2530.1999999999998</v>
      </c>
      <c r="I235" s="14" t="s">
        <v>14</v>
      </c>
      <c r="J235" s="14">
        <v>1</v>
      </c>
      <c r="K235" s="14" t="s">
        <v>12</v>
      </c>
      <c r="L235" s="22">
        <v>2530.1999999999998</v>
      </c>
    </row>
    <row r="236" spans="1:12" s="5" customFormat="1" ht="21.95" hidden="1" customHeight="1" outlineLevel="2">
      <c r="A236" s="6">
        <f t="shared" si="101"/>
        <v>235</v>
      </c>
      <c r="B236" s="6" t="s">
        <v>144</v>
      </c>
      <c r="C236" s="7" t="s">
        <v>33</v>
      </c>
      <c r="D236" s="7" t="s">
        <v>51</v>
      </c>
      <c r="E236" s="7" t="s">
        <v>52</v>
      </c>
      <c r="F236" s="22">
        <v>5104</v>
      </c>
      <c r="G236" s="22">
        <f t="shared" si="106"/>
        <v>3062.4</v>
      </c>
      <c r="H236" s="22">
        <f t="shared" si="107"/>
        <v>48998.400000000001</v>
      </c>
      <c r="I236" s="14" t="s">
        <v>14</v>
      </c>
      <c r="J236" s="14">
        <v>16</v>
      </c>
      <c r="K236" s="14" t="s">
        <v>12</v>
      </c>
      <c r="L236" s="22">
        <v>48998.400000000001</v>
      </c>
    </row>
    <row r="237" spans="1:12" s="5" customFormat="1" ht="21.95" hidden="1" customHeight="1" outlineLevel="2">
      <c r="A237" s="6">
        <f t="shared" si="101"/>
        <v>236</v>
      </c>
      <c r="B237" s="6" t="s">
        <v>144</v>
      </c>
      <c r="C237" s="7" t="s">
        <v>19</v>
      </c>
      <c r="D237" s="7"/>
      <c r="E237" s="7" t="s">
        <v>20</v>
      </c>
      <c r="F237" s="22">
        <f ca="1">OFFSET(F237,1,2)</f>
        <v>15000</v>
      </c>
      <c r="G237" s="22">
        <f ca="1">F237</f>
        <v>15000</v>
      </c>
      <c r="H237" s="22">
        <f t="shared" ref="H237:H238" ca="1" si="108">G237*J237</f>
        <v>15000</v>
      </c>
      <c r="I237" s="14" t="s">
        <v>19</v>
      </c>
      <c r="J237" s="14">
        <v>1</v>
      </c>
      <c r="K237" s="14" t="s">
        <v>12</v>
      </c>
      <c r="L237" s="22">
        <v>15000</v>
      </c>
    </row>
    <row r="238" spans="1:12" s="5" customFormat="1" ht="21.95" hidden="1" customHeight="1" outlineLevel="2">
      <c r="A238" s="6">
        <f t="shared" si="101"/>
        <v>237</v>
      </c>
      <c r="B238" s="6" t="s">
        <v>144</v>
      </c>
      <c r="C238" s="7" t="s">
        <v>21</v>
      </c>
      <c r="D238" s="7"/>
      <c r="E238" s="7" t="s">
        <v>22</v>
      </c>
      <c r="F238" s="22">
        <v>2.5</v>
      </c>
      <c r="G238" s="22">
        <v>100</v>
      </c>
      <c r="H238" s="22">
        <f t="shared" si="108"/>
        <v>15000</v>
      </c>
      <c r="I238" s="14" t="s">
        <v>21</v>
      </c>
      <c r="J238" s="14">
        <f>60*F238</f>
        <v>150</v>
      </c>
      <c r="K238" s="14" t="s">
        <v>12</v>
      </c>
      <c r="L238" s="22">
        <v>15000</v>
      </c>
    </row>
    <row r="239" spans="1:12" s="5" customFormat="1" ht="21.95" customHeight="1" outlineLevel="1">
      <c r="A239" s="6"/>
      <c r="B239" s="15" t="s">
        <v>176</v>
      </c>
      <c r="C239" s="7"/>
      <c r="D239" s="7"/>
      <c r="E239" s="7"/>
      <c r="F239" s="22"/>
      <c r="G239" s="22"/>
      <c r="H239" s="22">
        <f>SUBTOTAL(9,H233:H238)</f>
        <v>0</v>
      </c>
      <c r="I239" s="14"/>
      <c r="J239" s="14"/>
      <c r="K239" s="14"/>
      <c r="L239" s="22">
        <v>93552.6</v>
      </c>
    </row>
    <row r="240" spans="1:12" s="10" customFormat="1" ht="21.95" customHeight="1" outlineLevel="2">
      <c r="A240" s="8">
        <f>ROW(A238)</f>
        <v>238</v>
      </c>
      <c r="B240" s="3" t="s">
        <v>145</v>
      </c>
      <c r="C240" s="9" t="s">
        <v>8</v>
      </c>
      <c r="D240" s="9"/>
      <c r="E240" s="9" t="s">
        <v>146</v>
      </c>
      <c r="F240" s="23"/>
      <c r="G240" s="23"/>
      <c r="H240" s="23"/>
      <c r="I240" s="12" t="s">
        <v>34</v>
      </c>
      <c r="J240" s="12">
        <v>1</v>
      </c>
      <c r="K240" s="12" t="s">
        <v>10</v>
      </c>
      <c r="L240" s="23"/>
    </row>
    <row r="241" spans="1:12" s="5" customFormat="1" ht="21.95" hidden="1" customHeight="1" outlineLevel="2">
      <c r="A241" s="6">
        <f t="shared" si="101"/>
        <v>240</v>
      </c>
      <c r="B241" s="6" t="s">
        <v>145</v>
      </c>
      <c r="C241" s="7" t="s">
        <v>11</v>
      </c>
      <c r="D241" s="7" t="s">
        <v>56</v>
      </c>
      <c r="E241" s="7" t="s">
        <v>57</v>
      </c>
      <c r="F241" s="22">
        <v>10270</v>
      </c>
      <c r="G241" s="22">
        <f t="shared" ref="G241:G244" si="109">0.6*F241</f>
        <v>6162</v>
      </c>
      <c r="H241" s="22">
        <f t="shared" ref="H241:H244" si="110">G241*J241</f>
        <v>6162</v>
      </c>
      <c r="I241" s="14" t="s">
        <v>105</v>
      </c>
      <c r="J241" s="14">
        <v>1</v>
      </c>
      <c r="K241" s="14" t="s">
        <v>12</v>
      </c>
      <c r="L241" s="22">
        <v>6162</v>
      </c>
    </row>
    <row r="242" spans="1:12" s="5" customFormat="1" ht="21.95" hidden="1" customHeight="1" outlineLevel="2">
      <c r="A242" s="6">
        <f t="shared" si="101"/>
        <v>241</v>
      </c>
      <c r="B242" s="6" t="s">
        <v>145</v>
      </c>
      <c r="C242" s="7" t="s">
        <v>28</v>
      </c>
      <c r="D242" s="7" t="s">
        <v>40</v>
      </c>
      <c r="E242" s="7" t="s">
        <v>41</v>
      </c>
      <c r="F242" s="22">
        <v>3372</v>
      </c>
      <c r="G242" s="22">
        <f t="shared" si="109"/>
        <v>2023.1999999999998</v>
      </c>
      <c r="H242" s="22">
        <f t="shared" si="110"/>
        <v>2023.1999999999998</v>
      </c>
      <c r="I242" s="14" t="s">
        <v>14</v>
      </c>
      <c r="J242" s="14">
        <v>1</v>
      </c>
      <c r="K242" s="14" t="s">
        <v>12</v>
      </c>
      <c r="L242" s="22">
        <v>2023.1999999999998</v>
      </c>
    </row>
    <row r="243" spans="1:12" s="5" customFormat="1" ht="21.95" hidden="1" customHeight="1" outlineLevel="2">
      <c r="A243" s="6">
        <f t="shared" si="101"/>
        <v>242</v>
      </c>
      <c r="B243" s="6" t="s">
        <v>145</v>
      </c>
      <c r="C243" s="7" t="s">
        <v>33</v>
      </c>
      <c r="D243" s="7" t="s">
        <v>51</v>
      </c>
      <c r="E243" s="7" t="s">
        <v>52</v>
      </c>
      <c r="F243" s="22">
        <v>5104</v>
      </c>
      <c r="G243" s="22">
        <f t="shared" si="109"/>
        <v>3062.4</v>
      </c>
      <c r="H243" s="22">
        <f t="shared" si="110"/>
        <v>9187.2000000000007</v>
      </c>
      <c r="I243" s="14" t="s">
        <v>14</v>
      </c>
      <c r="J243" s="14">
        <v>3</v>
      </c>
      <c r="K243" s="14" t="s">
        <v>12</v>
      </c>
      <c r="L243" s="22">
        <v>9187.2000000000007</v>
      </c>
    </row>
    <row r="244" spans="1:12" s="5" customFormat="1" ht="21.95" hidden="1" customHeight="1" outlineLevel="2">
      <c r="A244" s="6">
        <f t="shared" si="101"/>
        <v>243</v>
      </c>
      <c r="B244" s="6" t="s">
        <v>145</v>
      </c>
      <c r="C244" s="7" t="s">
        <v>29</v>
      </c>
      <c r="D244" s="7" t="s">
        <v>30</v>
      </c>
      <c r="E244" s="7" t="s">
        <v>53</v>
      </c>
      <c r="F244" s="22">
        <v>13622</v>
      </c>
      <c r="G244" s="22">
        <f t="shared" si="109"/>
        <v>8173.2</v>
      </c>
      <c r="H244" s="22">
        <f t="shared" si="110"/>
        <v>8173.2</v>
      </c>
      <c r="I244" s="14" t="s">
        <v>14</v>
      </c>
      <c r="J244" s="14">
        <v>1</v>
      </c>
      <c r="K244" s="14" t="s">
        <v>12</v>
      </c>
      <c r="L244" s="22">
        <v>8173.2</v>
      </c>
    </row>
    <row r="245" spans="1:12" s="5" customFormat="1" ht="21.95" hidden="1" customHeight="1" outlineLevel="2">
      <c r="A245" s="6">
        <f t="shared" si="101"/>
        <v>244</v>
      </c>
      <c r="B245" s="6" t="s">
        <v>145</v>
      </c>
      <c r="C245" s="7" t="s">
        <v>19</v>
      </c>
      <c r="D245" s="7"/>
      <c r="E245" s="7" t="s">
        <v>20</v>
      </c>
      <c r="F245" s="22">
        <f ca="1">OFFSET(F245,1,2)</f>
        <v>3000</v>
      </c>
      <c r="G245" s="22">
        <f ca="1">F245</f>
        <v>3000</v>
      </c>
      <c r="H245" s="22">
        <f t="shared" ref="H241:H246" ca="1" si="111">G245*J245</f>
        <v>3000</v>
      </c>
      <c r="I245" s="14" t="s">
        <v>19</v>
      </c>
      <c r="J245" s="14">
        <v>1</v>
      </c>
      <c r="K245" s="14" t="s">
        <v>12</v>
      </c>
      <c r="L245" s="22">
        <v>3000</v>
      </c>
    </row>
    <row r="246" spans="1:12" s="5" customFormat="1" ht="21.95" hidden="1" customHeight="1" outlineLevel="2">
      <c r="A246" s="6">
        <f t="shared" si="101"/>
        <v>245</v>
      </c>
      <c r="B246" s="6" t="s">
        <v>145</v>
      </c>
      <c r="C246" s="7" t="s">
        <v>21</v>
      </c>
      <c r="D246" s="7"/>
      <c r="E246" s="7" t="s">
        <v>22</v>
      </c>
      <c r="F246" s="22">
        <v>0.5</v>
      </c>
      <c r="G246" s="22">
        <v>100</v>
      </c>
      <c r="H246" s="22">
        <f t="shared" si="111"/>
        <v>3000</v>
      </c>
      <c r="I246" s="14" t="s">
        <v>21</v>
      </c>
      <c r="J246" s="14">
        <f>60*F246</f>
        <v>30</v>
      </c>
      <c r="K246" s="14" t="s">
        <v>12</v>
      </c>
      <c r="L246" s="22">
        <v>3000</v>
      </c>
    </row>
    <row r="247" spans="1:12" s="5" customFormat="1" ht="21.95" customHeight="1" outlineLevel="1">
      <c r="A247" s="16"/>
      <c r="B247" s="19" t="s">
        <v>177</v>
      </c>
      <c r="C247" s="17"/>
      <c r="D247" s="17"/>
      <c r="E247" s="17"/>
      <c r="F247" s="24"/>
      <c r="G247" s="24"/>
      <c r="H247" s="24">
        <f>SUBTOTAL(9,H240:H246)</f>
        <v>0</v>
      </c>
      <c r="I247" s="18"/>
      <c r="J247" s="18"/>
      <c r="K247" s="18"/>
      <c r="L247" s="24">
        <v>31545.600000000002</v>
      </c>
    </row>
    <row r="248" spans="1:12" s="5" customFormat="1" ht="21.95" customHeight="1">
      <c r="A248" s="16"/>
      <c r="B248" s="19" t="s">
        <v>178</v>
      </c>
      <c r="C248" s="17"/>
      <c r="D248" s="17"/>
      <c r="E248" s="17"/>
      <c r="F248" s="24"/>
      <c r="G248" s="24"/>
      <c r="H248" s="24">
        <f>SUBTOTAL(9,H2:H246)</f>
        <v>0</v>
      </c>
      <c r="I248" s="18"/>
      <c r="J248" s="18"/>
      <c r="K248" s="18"/>
      <c r="L248" s="24">
        <v>4324285.2000000011</v>
      </c>
    </row>
  </sheetData>
  <autoFilter ref="A1:K247" xr:uid="{00000000-0001-0000-0000-000000000000}">
    <filterColumn colId="10">
      <filters blank="1">
        <filter val="компл."/>
      </filters>
    </filterColumn>
  </autoFilter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055D-9841-468E-95BB-55E062B69A30}">
  <dimension ref="A1:L31"/>
  <sheetViews>
    <sheetView tabSelected="1" workbookViewId="0">
      <selection activeCell="G2" sqref="G2:G31"/>
    </sheetView>
  </sheetViews>
  <sheetFormatPr defaultRowHeight="33" customHeight="1"/>
  <cols>
    <col min="1" max="1" width="42.75" customWidth="1"/>
    <col min="4" max="4" width="50.375" customWidth="1"/>
    <col min="12" max="12" width="17.75" customWidth="1"/>
  </cols>
  <sheetData>
    <row r="1" spans="1:12" ht="33" customHeight="1">
      <c r="A1" s="2" t="s">
        <v>1</v>
      </c>
      <c r="B1" s="2" t="s">
        <v>2</v>
      </c>
      <c r="C1" s="2" t="s">
        <v>5</v>
      </c>
      <c r="D1" s="2" t="s">
        <v>3</v>
      </c>
      <c r="E1" s="20" t="s">
        <v>35</v>
      </c>
      <c r="F1" s="20" t="s">
        <v>36</v>
      </c>
      <c r="G1" s="20" t="s">
        <v>37</v>
      </c>
      <c r="H1" s="2" t="s">
        <v>4</v>
      </c>
      <c r="I1" s="2" t="s">
        <v>6</v>
      </c>
      <c r="J1" s="2" t="s">
        <v>7</v>
      </c>
      <c r="K1" s="20" t="s">
        <v>179</v>
      </c>
      <c r="L1" s="26">
        <v>2.2999999999999998</v>
      </c>
    </row>
    <row r="2" spans="1:12" ht="33" customHeight="1">
      <c r="A2" s="3" t="s">
        <v>116</v>
      </c>
      <c r="B2" s="4" t="s">
        <v>8</v>
      </c>
      <c r="C2" s="4"/>
      <c r="D2" s="4" t="s">
        <v>9</v>
      </c>
      <c r="E2" s="21">
        <f>ROUNDUP(L2,-3)</f>
        <v>1398000</v>
      </c>
      <c r="F2" s="21">
        <f>0.7*E2</f>
        <v>978599.99999999988</v>
      </c>
      <c r="G2" s="21">
        <f>F2*I2</f>
        <v>978599.99999999988</v>
      </c>
      <c r="H2" s="11" t="s">
        <v>34</v>
      </c>
      <c r="I2" s="11">
        <v>1</v>
      </c>
      <c r="J2" s="11" t="s">
        <v>10</v>
      </c>
      <c r="K2" s="22">
        <v>607800</v>
      </c>
      <c r="L2" s="22">
        <f>2.3*K2</f>
        <v>1397940</v>
      </c>
    </row>
    <row r="3" spans="1:12" ht="33" customHeight="1">
      <c r="A3" s="3" t="s">
        <v>117</v>
      </c>
      <c r="B3" s="4" t="s">
        <v>8</v>
      </c>
      <c r="C3" s="4"/>
      <c r="D3" s="4" t="s">
        <v>23</v>
      </c>
      <c r="E3" s="21">
        <f t="shared" ref="E3:E31" si="0">ROUNDUP(L3,-3)</f>
        <v>416000</v>
      </c>
      <c r="F3" s="21">
        <f t="shared" ref="F3:F31" si="1">0.7*E3</f>
        <v>291200</v>
      </c>
      <c r="G3" s="21">
        <f t="shared" ref="G3:G31" si="2">F3*I3</f>
        <v>291200</v>
      </c>
      <c r="H3" s="11" t="s">
        <v>34</v>
      </c>
      <c r="I3" s="11">
        <v>1</v>
      </c>
      <c r="J3" s="11" t="s">
        <v>10</v>
      </c>
      <c r="K3" s="22">
        <v>180621.6</v>
      </c>
      <c r="L3" s="22">
        <f t="shared" ref="L3:L31" si="3">2.3*K3</f>
        <v>415429.68</v>
      </c>
    </row>
    <row r="4" spans="1:12" ht="33" customHeight="1">
      <c r="A4" s="3" t="s">
        <v>118</v>
      </c>
      <c r="B4" s="4" t="s">
        <v>8</v>
      </c>
      <c r="C4" s="4"/>
      <c r="D4" s="4" t="s">
        <v>25</v>
      </c>
      <c r="E4" s="21">
        <f t="shared" si="0"/>
        <v>1681000</v>
      </c>
      <c r="F4" s="21">
        <f t="shared" si="1"/>
        <v>1176700</v>
      </c>
      <c r="G4" s="21">
        <f t="shared" si="2"/>
        <v>1176700</v>
      </c>
      <c r="H4" s="11" t="s">
        <v>34</v>
      </c>
      <c r="I4" s="11">
        <v>1</v>
      </c>
      <c r="J4" s="11" t="s">
        <v>10</v>
      </c>
      <c r="K4" s="22">
        <v>730750.79999999993</v>
      </c>
      <c r="L4" s="22">
        <f t="shared" si="3"/>
        <v>1680726.8399999996</v>
      </c>
    </row>
    <row r="5" spans="1:12" ht="33" customHeight="1">
      <c r="A5" s="3" t="s">
        <v>119</v>
      </c>
      <c r="B5" s="4" t="s">
        <v>8</v>
      </c>
      <c r="C5" s="4"/>
      <c r="D5" s="4" t="s">
        <v>147</v>
      </c>
      <c r="E5" s="21">
        <f t="shared" si="0"/>
        <v>203000</v>
      </c>
      <c r="F5" s="21">
        <f t="shared" si="1"/>
        <v>142100</v>
      </c>
      <c r="G5" s="21">
        <f t="shared" si="2"/>
        <v>142100</v>
      </c>
      <c r="H5" s="11" t="s">
        <v>34</v>
      </c>
      <c r="I5" s="11">
        <v>1</v>
      </c>
      <c r="J5" s="11" t="s">
        <v>10</v>
      </c>
      <c r="K5" s="22">
        <v>88006.199999999983</v>
      </c>
      <c r="L5" s="22">
        <f t="shared" si="3"/>
        <v>202414.25999999995</v>
      </c>
    </row>
    <row r="6" spans="1:12" ht="33" customHeight="1">
      <c r="A6" s="3" t="s">
        <v>120</v>
      </c>
      <c r="B6" s="4" t="s">
        <v>8</v>
      </c>
      <c r="C6" s="4"/>
      <c r="D6" s="4" t="s">
        <v>146</v>
      </c>
      <c r="E6" s="21">
        <f t="shared" si="0"/>
        <v>74000</v>
      </c>
      <c r="F6" s="21">
        <f t="shared" si="1"/>
        <v>51800</v>
      </c>
      <c r="G6" s="21">
        <f t="shared" si="2"/>
        <v>51800</v>
      </c>
      <c r="H6" s="11" t="s">
        <v>34</v>
      </c>
      <c r="I6" s="11">
        <v>1</v>
      </c>
      <c r="J6" s="11" t="s">
        <v>10</v>
      </c>
      <c r="K6" s="22">
        <v>32111.4</v>
      </c>
      <c r="L6" s="22">
        <f t="shared" si="3"/>
        <v>73856.22</v>
      </c>
    </row>
    <row r="7" spans="1:12" ht="33" customHeight="1">
      <c r="A7" s="3" t="s">
        <v>121</v>
      </c>
      <c r="B7" s="4" t="s">
        <v>8</v>
      </c>
      <c r="C7" s="4"/>
      <c r="D7" s="4" t="s">
        <v>146</v>
      </c>
      <c r="E7" s="21">
        <f t="shared" si="0"/>
        <v>126000</v>
      </c>
      <c r="F7" s="21">
        <f t="shared" si="1"/>
        <v>88200</v>
      </c>
      <c r="G7" s="21">
        <f t="shared" si="2"/>
        <v>88200</v>
      </c>
      <c r="H7" s="11" t="s">
        <v>34</v>
      </c>
      <c r="I7" s="11">
        <v>1</v>
      </c>
      <c r="J7" s="11" t="s">
        <v>10</v>
      </c>
      <c r="K7" s="22">
        <v>54751.8</v>
      </c>
      <c r="L7" s="22">
        <f t="shared" si="3"/>
        <v>125929.14</v>
      </c>
    </row>
    <row r="8" spans="1:12" ht="33" customHeight="1">
      <c r="A8" s="3" t="s">
        <v>122</v>
      </c>
      <c r="B8" s="4" t="s">
        <v>8</v>
      </c>
      <c r="C8" s="4"/>
      <c r="D8" s="4" t="s">
        <v>146</v>
      </c>
      <c r="E8" s="21">
        <f t="shared" si="0"/>
        <v>66000</v>
      </c>
      <c r="F8" s="21">
        <f t="shared" si="1"/>
        <v>46200</v>
      </c>
      <c r="G8" s="21">
        <f t="shared" si="2"/>
        <v>46200</v>
      </c>
      <c r="H8" s="11" t="s">
        <v>34</v>
      </c>
      <c r="I8" s="11">
        <v>1</v>
      </c>
      <c r="J8" s="11" t="s">
        <v>10</v>
      </c>
      <c r="K8" s="22">
        <v>28538.400000000001</v>
      </c>
      <c r="L8" s="22">
        <f t="shared" si="3"/>
        <v>65638.319999999992</v>
      </c>
    </row>
    <row r="9" spans="1:12" ht="33" customHeight="1">
      <c r="A9" s="3" t="s">
        <v>123</v>
      </c>
      <c r="B9" s="4" t="s">
        <v>8</v>
      </c>
      <c r="C9" s="4"/>
      <c r="D9" s="4" t="s">
        <v>146</v>
      </c>
      <c r="E9" s="21">
        <f t="shared" si="0"/>
        <v>83000</v>
      </c>
      <c r="F9" s="21">
        <f t="shared" si="1"/>
        <v>58099.999999999993</v>
      </c>
      <c r="G9" s="21">
        <f t="shared" si="2"/>
        <v>58099.999999999993</v>
      </c>
      <c r="H9" s="11" t="s">
        <v>34</v>
      </c>
      <c r="I9" s="11">
        <v>1</v>
      </c>
      <c r="J9" s="11" t="s">
        <v>10</v>
      </c>
      <c r="K9" s="22">
        <v>35954.400000000001</v>
      </c>
      <c r="L9" s="22">
        <f t="shared" si="3"/>
        <v>82695.12</v>
      </c>
    </row>
    <row r="10" spans="1:12" ht="33" customHeight="1">
      <c r="A10" s="3" t="s">
        <v>124</v>
      </c>
      <c r="B10" s="4" t="s">
        <v>8</v>
      </c>
      <c r="C10" s="4"/>
      <c r="D10" s="4" t="s">
        <v>146</v>
      </c>
      <c r="E10" s="21">
        <f t="shared" si="0"/>
        <v>237000</v>
      </c>
      <c r="F10" s="21">
        <f t="shared" si="1"/>
        <v>165900</v>
      </c>
      <c r="G10" s="21">
        <f t="shared" si="2"/>
        <v>165900</v>
      </c>
      <c r="H10" s="11" t="s">
        <v>34</v>
      </c>
      <c r="I10" s="11">
        <v>1</v>
      </c>
      <c r="J10" s="11" t="s">
        <v>10</v>
      </c>
      <c r="K10" s="22">
        <v>103017</v>
      </c>
      <c r="L10" s="22">
        <f t="shared" si="3"/>
        <v>236939.09999999998</v>
      </c>
    </row>
    <row r="11" spans="1:12" ht="33" customHeight="1">
      <c r="A11" s="3" t="s">
        <v>125</v>
      </c>
      <c r="B11" s="4" t="s">
        <v>8</v>
      </c>
      <c r="C11" s="4"/>
      <c r="D11" s="4" t="s">
        <v>146</v>
      </c>
      <c r="E11" s="21">
        <f t="shared" si="0"/>
        <v>202000</v>
      </c>
      <c r="F11" s="21">
        <f t="shared" si="1"/>
        <v>141400</v>
      </c>
      <c r="G11" s="21">
        <f t="shared" si="2"/>
        <v>141400</v>
      </c>
      <c r="H11" s="11" t="s">
        <v>34</v>
      </c>
      <c r="I11" s="11">
        <v>1</v>
      </c>
      <c r="J11" s="11" t="s">
        <v>10</v>
      </c>
      <c r="K11" s="22">
        <v>87427.8</v>
      </c>
      <c r="L11" s="22">
        <f t="shared" si="3"/>
        <v>201083.94</v>
      </c>
    </row>
    <row r="12" spans="1:12" ht="33" customHeight="1">
      <c r="A12" s="3" t="s">
        <v>126</v>
      </c>
      <c r="B12" s="4" t="s">
        <v>8</v>
      </c>
      <c r="C12" s="4"/>
      <c r="D12" s="4" t="s">
        <v>146</v>
      </c>
      <c r="E12" s="21">
        <f t="shared" si="0"/>
        <v>209000</v>
      </c>
      <c r="F12" s="21">
        <f t="shared" si="1"/>
        <v>146300</v>
      </c>
      <c r="G12" s="21">
        <f t="shared" si="2"/>
        <v>146300</v>
      </c>
      <c r="H12" s="11" t="s">
        <v>34</v>
      </c>
      <c r="I12" s="11">
        <v>1</v>
      </c>
      <c r="J12" s="11" t="s">
        <v>10</v>
      </c>
      <c r="K12" s="22">
        <v>90490.2</v>
      </c>
      <c r="L12" s="22">
        <f t="shared" si="3"/>
        <v>208127.45999999996</v>
      </c>
    </row>
    <row r="13" spans="1:12" ht="33" customHeight="1">
      <c r="A13" s="3" t="s">
        <v>127</v>
      </c>
      <c r="B13" s="4" t="s">
        <v>8</v>
      </c>
      <c r="C13" s="4"/>
      <c r="D13" s="4" t="s">
        <v>146</v>
      </c>
      <c r="E13" s="21">
        <f t="shared" si="0"/>
        <v>186000</v>
      </c>
      <c r="F13" s="21">
        <f t="shared" si="1"/>
        <v>130199.99999999999</v>
      </c>
      <c r="G13" s="21">
        <f t="shared" si="2"/>
        <v>130199.99999999999</v>
      </c>
      <c r="H13" s="11" t="s">
        <v>34</v>
      </c>
      <c r="I13" s="11">
        <v>1</v>
      </c>
      <c r="J13" s="11" t="s">
        <v>10</v>
      </c>
      <c r="K13" s="22">
        <v>80741.400000000009</v>
      </c>
      <c r="L13" s="22">
        <f t="shared" si="3"/>
        <v>185705.22</v>
      </c>
    </row>
    <row r="14" spans="1:12" ht="33" customHeight="1">
      <c r="A14" s="3" t="s">
        <v>128</v>
      </c>
      <c r="B14" s="4" t="s">
        <v>8</v>
      </c>
      <c r="C14" s="4"/>
      <c r="D14" s="4" t="s">
        <v>146</v>
      </c>
      <c r="E14" s="21">
        <f t="shared" si="0"/>
        <v>37000</v>
      </c>
      <c r="F14" s="21">
        <f t="shared" si="1"/>
        <v>25900</v>
      </c>
      <c r="G14" s="21">
        <f t="shared" si="2"/>
        <v>25900</v>
      </c>
      <c r="H14" s="11" t="s">
        <v>34</v>
      </c>
      <c r="I14" s="11">
        <v>1</v>
      </c>
      <c r="J14" s="11" t="s">
        <v>10</v>
      </c>
      <c r="K14" s="22">
        <v>16064.4</v>
      </c>
      <c r="L14" s="22">
        <f t="shared" si="3"/>
        <v>36948.119999999995</v>
      </c>
    </row>
    <row r="15" spans="1:12" ht="33" customHeight="1">
      <c r="A15" s="3" t="s">
        <v>129</v>
      </c>
      <c r="B15" s="4" t="s">
        <v>8</v>
      </c>
      <c r="C15" s="4"/>
      <c r="D15" s="4" t="s">
        <v>146</v>
      </c>
      <c r="E15" s="21">
        <f t="shared" si="0"/>
        <v>54000</v>
      </c>
      <c r="F15" s="21">
        <f t="shared" si="1"/>
        <v>37800</v>
      </c>
      <c r="G15" s="21">
        <f t="shared" si="2"/>
        <v>37800</v>
      </c>
      <c r="H15" s="11" t="s">
        <v>34</v>
      </c>
      <c r="I15" s="11">
        <v>1</v>
      </c>
      <c r="J15" s="11" t="s">
        <v>10</v>
      </c>
      <c r="K15" s="22">
        <v>23468.400000000001</v>
      </c>
      <c r="L15" s="22">
        <f t="shared" si="3"/>
        <v>53977.32</v>
      </c>
    </row>
    <row r="16" spans="1:12" ht="33" customHeight="1">
      <c r="A16" s="3" t="s">
        <v>130</v>
      </c>
      <c r="B16" s="4" t="s">
        <v>8</v>
      </c>
      <c r="C16" s="4"/>
      <c r="D16" s="4" t="s">
        <v>146</v>
      </c>
      <c r="E16" s="21">
        <f t="shared" si="0"/>
        <v>61000</v>
      </c>
      <c r="F16" s="21">
        <f t="shared" si="1"/>
        <v>42700</v>
      </c>
      <c r="G16" s="21">
        <f t="shared" si="2"/>
        <v>42700</v>
      </c>
      <c r="H16" s="11" t="s">
        <v>34</v>
      </c>
      <c r="I16" s="11">
        <v>1</v>
      </c>
      <c r="J16" s="11" t="s">
        <v>10</v>
      </c>
      <c r="K16" s="22">
        <v>26507.4</v>
      </c>
      <c r="L16" s="22">
        <f t="shared" si="3"/>
        <v>60967.02</v>
      </c>
    </row>
    <row r="17" spans="1:12" ht="33" customHeight="1">
      <c r="A17" s="3" t="s">
        <v>131</v>
      </c>
      <c r="B17" s="4" t="s">
        <v>8</v>
      </c>
      <c r="C17" s="4"/>
      <c r="D17" s="4" t="s">
        <v>146</v>
      </c>
      <c r="E17" s="21">
        <f t="shared" si="0"/>
        <v>37000</v>
      </c>
      <c r="F17" s="21">
        <f t="shared" si="1"/>
        <v>25900</v>
      </c>
      <c r="G17" s="21">
        <f t="shared" si="2"/>
        <v>25900</v>
      </c>
      <c r="H17" s="11" t="s">
        <v>34</v>
      </c>
      <c r="I17" s="11">
        <v>1</v>
      </c>
      <c r="J17" s="11" t="s">
        <v>10</v>
      </c>
      <c r="K17" s="22">
        <v>16064.4</v>
      </c>
      <c r="L17" s="22">
        <f t="shared" si="3"/>
        <v>36948.119999999995</v>
      </c>
    </row>
    <row r="18" spans="1:12" ht="33" customHeight="1">
      <c r="A18" s="3" t="s">
        <v>132</v>
      </c>
      <c r="B18" s="9" t="s">
        <v>8</v>
      </c>
      <c r="C18" s="9"/>
      <c r="D18" s="9" t="s">
        <v>9</v>
      </c>
      <c r="E18" s="21">
        <f t="shared" si="0"/>
        <v>1365000</v>
      </c>
      <c r="F18" s="21">
        <f t="shared" si="1"/>
        <v>955499.99999999988</v>
      </c>
      <c r="G18" s="21">
        <f t="shared" si="2"/>
        <v>955499.99999999988</v>
      </c>
      <c r="H18" s="12" t="s">
        <v>34</v>
      </c>
      <c r="I18" s="12">
        <v>1</v>
      </c>
      <c r="J18" s="12" t="s">
        <v>10</v>
      </c>
      <c r="K18" s="22">
        <v>593356.80000000005</v>
      </c>
      <c r="L18" s="22">
        <f t="shared" si="3"/>
        <v>1364720.6399999999</v>
      </c>
    </row>
    <row r="19" spans="1:12" ht="33" customHeight="1">
      <c r="A19" s="3" t="s">
        <v>133</v>
      </c>
      <c r="B19" s="9" t="s">
        <v>8</v>
      </c>
      <c r="C19" s="9"/>
      <c r="D19" s="9" t="s">
        <v>23</v>
      </c>
      <c r="E19" s="21">
        <f t="shared" si="0"/>
        <v>468000</v>
      </c>
      <c r="F19" s="21">
        <f t="shared" si="1"/>
        <v>327600</v>
      </c>
      <c r="G19" s="21">
        <f t="shared" si="2"/>
        <v>327600</v>
      </c>
      <c r="H19" s="12" t="s">
        <v>34</v>
      </c>
      <c r="I19" s="12">
        <v>1</v>
      </c>
      <c r="J19" s="12" t="s">
        <v>10</v>
      </c>
      <c r="K19" s="22">
        <v>203196</v>
      </c>
      <c r="L19" s="22">
        <f t="shared" si="3"/>
        <v>467350.8</v>
      </c>
    </row>
    <row r="20" spans="1:12" ht="33" customHeight="1">
      <c r="A20" s="3" t="s">
        <v>134</v>
      </c>
      <c r="B20" s="9" t="s">
        <v>8</v>
      </c>
      <c r="C20" s="9"/>
      <c r="D20" s="9" t="s">
        <v>25</v>
      </c>
      <c r="E20" s="21">
        <f t="shared" si="0"/>
        <v>1332000</v>
      </c>
      <c r="F20" s="21">
        <f t="shared" si="1"/>
        <v>932399.99999999988</v>
      </c>
      <c r="G20" s="21">
        <f t="shared" si="2"/>
        <v>932399.99999999988</v>
      </c>
      <c r="H20" s="12" t="s">
        <v>34</v>
      </c>
      <c r="I20" s="12">
        <v>1</v>
      </c>
      <c r="J20" s="12" t="s">
        <v>10</v>
      </c>
      <c r="K20" s="22">
        <v>578802.6</v>
      </c>
      <c r="L20" s="22">
        <f t="shared" si="3"/>
        <v>1331245.9799999997</v>
      </c>
    </row>
    <row r="21" spans="1:12" ht="33" customHeight="1">
      <c r="A21" s="3" t="s">
        <v>135</v>
      </c>
      <c r="B21" s="9" t="s">
        <v>8</v>
      </c>
      <c r="C21" s="9"/>
      <c r="D21" s="9" t="s">
        <v>147</v>
      </c>
      <c r="E21" s="21">
        <f t="shared" si="0"/>
        <v>65000</v>
      </c>
      <c r="F21" s="21">
        <f t="shared" si="1"/>
        <v>45500</v>
      </c>
      <c r="G21" s="21">
        <f t="shared" si="2"/>
        <v>45500</v>
      </c>
      <c r="H21" s="12" t="s">
        <v>34</v>
      </c>
      <c r="I21" s="12">
        <v>1</v>
      </c>
      <c r="J21" s="12" t="s">
        <v>10</v>
      </c>
      <c r="K21" s="22">
        <v>27865.200000000001</v>
      </c>
      <c r="L21" s="22">
        <f t="shared" si="3"/>
        <v>64089.96</v>
      </c>
    </row>
    <row r="22" spans="1:12" ht="33" customHeight="1">
      <c r="A22" s="3" t="s">
        <v>136</v>
      </c>
      <c r="B22" s="9" t="s">
        <v>8</v>
      </c>
      <c r="C22" s="9"/>
      <c r="D22" s="9" t="s">
        <v>146</v>
      </c>
      <c r="E22" s="21">
        <f t="shared" si="0"/>
        <v>137000</v>
      </c>
      <c r="F22" s="21">
        <f t="shared" si="1"/>
        <v>95900</v>
      </c>
      <c r="G22" s="21">
        <f t="shared" si="2"/>
        <v>95900</v>
      </c>
      <c r="H22" s="12" t="s">
        <v>34</v>
      </c>
      <c r="I22" s="12">
        <v>1</v>
      </c>
      <c r="J22" s="12" t="s">
        <v>10</v>
      </c>
      <c r="K22" s="22">
        <v>59163</v>
      </c>
      <c r="L22" s="22">
        <f t="shared" si="3"/>
        <v>136074.9</v>
      </c>
    </row>
    <row r="23" spans="1:12" ht="33" customHeight="1">
      <c r="A23" s="3" t="s">
        <v>137</v>
      </c>
      <c r="B23" s="9" t="s">
        <v>8</v>
      </c>
      <c r="C23" s="9"/>
      <c r="D23" s="9" t="s">
        <v>146</v>
      </c>
      <c r="E23" s="21">
        <f t="shared" si="0"/>
        <v>198000</v>
      </c>
      <c r="F23" s="21">
        <f t="shared" si="1"/>
        <v>138600</v>
      </c>
      <c r="G23" s="21">
        <f t="shared" si="2"/>
        <v>138600</v>
      </c>
      <c r="H23" s="12" t="s">
        <v>34</v>
      </c>
      <c r="I23" s="12">
        <v>1</v>
      </c>
      <c r="J23" s="12" t="s">
        <v>10</v>
      </c>
      <c r="K23" s="22">
        <v>85851.6</v>
      </c>
      <c r="L23" s="22">
        <f t="shared" si="3"/>
        <v>197458.68</v>
      </c>
    </row>
    <row r="24" spans="1:12" ht="33" customHeight="1">
      <c r="A24" s="3" t="s">
        <v>138</v>
      </c>
      <c r="B24" s="9" t="s">
        <v>8</v>
      </c>
      <c r="C24" s="9"/>
      <c r="D24" s="9" t="s">
        <v>146</v>
      </c>
      <c r="E24" s="21">
        <f t="shared" si="0"/>
        <v>126000</v>
      </c>
      <c r="F24" s="21">
        <f t="shared" si="1"/>
        <v>88200</v>
      </c>
      <c r="G24" s="21">
        <f t="shared" si="2"/>
        <v>88200</v>
      </c>
      <c r="H24" s="12" t="s">
        <v>34</v>
      </c>
      <c r="I24" s="12">
        <v>1</v>
      </c>
      <c r="J24" s="12" t="s">
        <v>10</v>
      </c>
      <c r="K24" s="22">
        <v>54751.8</v>
      </c>
      <c r="L24" s="22">
        <f t="shared" si="3"/>
        <v>125929.14</v>
      </c>
    </row>
    <row r="25" spans="1:12" ht="33" customHeight="1">
      <c r="A25" s="3" t="s">
        <v>139</v>
      </c>
      <c r="B25" s="9" t="s">
        <v>8</v>
      </c>
      <c r="C25" s="9"/>
      <c r="D25" s="9" t="s">
        <v>146</v>
      </c>
      <c r="E25" s="21">
        <f t="shared" si="0"/>
        <v>135000</v>
      </c>
      <c r="F25" s="21">
        <f t="shared" si="1"/>
        <v>94500</v>
      </c>
      <c r="G25" s="21">
        <f t="shared" si="2"/>
        <v>94500</v>
      </c>
      <c r="H25" s="12" t="s">
        <v>34</v>
      </c>
      <c r="I25" s="12">
        <v>1</v>
      </c>
      <c r="J25" s="12" t="s">
        <v>10</v>
      </c>
      <c r="K25" s="22">
        <v>58577.4</v>
      </c>
      <c r="L25" s="22">
        <f t="shared" si="3"/>
        <v>134728.01999999999</v>
      </c>
    </row>
    <row r="26" spans="1:12" ht="33" customHeight="1">
      <c r="A26" s="3" t="s">
        <v>140</v>
      </c>
      <c r="B26" s="9" t="s">
        <v>8</v>
      </c>
      <c r="C26" s="9"/>
      <c r="D26" s="9" t="s">
        <v>146</v>
      </c>
      <c r="E26" s="21">
        <f t="shared" si="0"/>
        <v>152000</v>
      </c>
      <c r="F26" s="21">
        <f t="shared" si="1"/>
        <v>106400</v>
      </c>
      <c r="G26" s="21">
        <f t="shared" si="2"/>
        <v>106400</v>
      </c>
      <c r="H26" s="12" t="s">
        <v>34</v>
      </c>
      <c r="I26" s="12">
        <v>1</v>
      </c>
      <c r="J26" s="12" t="s">
        <v>10</v>
      </c>
      <c r="K26" s="22">
        <v>65856</v>
      </c>
      <c r="L26" s="22">
        <f t="shared" si="3"/>
        <v>151468.79999999999</v>
      </c>
    </row>
    <row r="27" spans="1:12" ht="33" customHeight="1">
      <c r="A27" s="3" t="s">
        <v>141</v>
      </c>
      <c r="B27" s="9" t="s">
        <v>8</v>
      </c>
      <c r="C27" s="9"/>
      <c r="D27" s="9" t="s">
        <v>146</v>
      </c>
      <c r="E27" s="21">
        <f t="shared" si="0"/>
        <v>238000</v>
      </c>
      <c r="F27" s="21">
        <f t="shared" si="1"/>
        <v>166600</v>
      </c>
      <c r="G27" s="21">
        <f t="shared" si="2"/>
        <v>166600</v>
      </c>
      <c r="H27" s="12" t="s">
        <v>34</v>
      </c>
      <c r="I27" s="12">
        <v>1</v>
      </c>
      <c r="J27" s="12" t="s">
        <v>10</v>
      </c>
      <c r="K27" s="22">
        <v>103285.8</v>
      </c>
      <c r="L27" s="22">
        <f t="shared" si="3"/>
        <v>237557.34</v>
      </c>
    </row>
    <row r="28" spans="1:12" ht="33" customHeight="1">
      <c r="A28" s="3" t="s">
        <v>142</v>
      </c>
      <c r="B28" s="9" t="s">
        <v>8</v>
      </c>
      <c r="C28" s="9"/>
      <c r="D28" s="9" t="s">
        <v>146</v>
      </c>
      <c r="E28" s="21">
        <f t="shared" si="0"/>
        <v>160000</v>
      </c>
      <c r="F28" s="21">
        <f t="shared" si="1"/>
        <v>112000</v>
      </c>
      <c r="G28" s="21">
        <f t="shared" si="2"/>
        <v>112000</v>
      </c>
      <c r="H28" s="12" t="s">
        <v>34</v>
      </c>
      <c r="I28" s="12">
        <v>1</v>
      </c>
      <c r="J28" s="12" t="s">
        <v>10</v>
      </c>
      <c r="K28" s="22">
        <v>69550.2</v>
      </c>
      <c r="L28" s="22">
        <f t="shared" si="3"/>
        <v>159965.46</v>
      </c>
    </row>
    <row r="29" spans="1:12" ht="33" customHeight="1">
      <c r="A29" s="3" t="s">
        <v>143</v>
      </c>
      <c r="B29" s="9" t="s">
        <v>8</v>
      </c>
      <c r="C29" s="9"/>
      <c r="D29" s="9" t="s">
        <v>146</v>
      </c>
      <c r="E29" s="21">
        <f t="shared" si="0"/>
        <v>223000</v>
      </c>
      <c r="F29" s="21">
        <f t="shared" si="1"/>
        <v>156100</v>
      </c>
      <c r="G29" s="21">
        <f t="shared" si="2"/>
        <v>156100</v>
      </c>
      <c r="H29" s="12" t="s">
        <v>34</v>
      </c>
      <c r="I29" s="12">
        <v>1</v>
      </c>
      <c r="J29" s="12" t="s">
        <v>10</v>
      </c>
      <c r="K29" s="22">
        <v>96615</v>
      </c>
      <c r="L29" s="22">
        <f t="shared" si="3"/>
        <v>222214.49999999997</v>
      </c>
    </row>
    <row r="30" spans="1:12" ht="33" customHeight="1">
      <c r="A30" s="3" t="s">
        <v>144</v>
      </c>
      <c r="B30" s="9" t="s">
        <v>8</v>
      </c>
      <c r="C30" s="9"/>
      <c r="D30" s="9" t="s">
        <v>146</v>
      </c>
      <c r="E30" s="21">
        <f t="shared" si="0"/>
        <v>216000</v>
      </c>
      <c r="F30" s="21">
        <f t="shared" si="1"/>
        <v>151200</v>
      </c>
      <c r="G30" s="21">
        <f t="shared" si="2"/>
        <v>151200</v>
      </c>
      <c r="H30" s="12" t="s">
        <v>34</v>
      </c>
      <c r="I30" s="12">
        <v>1</v>
      </c>
      <c r="J30" s="12" t="s">
        <v>10</v>
      </c>
      <c r="K30" s="22">
        <v>93552.6</v>
      </c>
      <c r="L30" s="22">
        <f t="shared" si="3"/>
        <v>215170.98</v>
      </c>
    </row>
    <row r="31" spans="1:12" ht="33" customHeight="1">
      <c r="A31" s="3" t="s">
        <v>145</v>
      </c>
      <c r="B31" s="9" t="s">
        <v>8</v>
      </c>
      <c r="C31" s="9"/>
      <c r="D31" s="9" t="s">
        <v>146</v>
      </c>
      <c r="E31" s="21">
        <f t="shared" si="0"/>
        <v>73000</v>
      </c>
      <c r="F31" s="21">
        <f t="shared" si="1"/>
        <v>51100</v>
      </c>
      <c r="G31" s="21">
        <f t="shared" si="2"/>
        <v>51100</v>
      </c>
      <c r="H31" s="12" t="s">
        <v>34</v>
      </c>
      <c r="I31" s="12">
        <v>1</v>
      </c>
      <c r="J31" s="12" t="s">
        <v>10</v>
      </c>
      <c r="K31" s="24">
        <v>31545.600000000002</v>
      </c>
      <c r="L31" s="24">
        <f t="shared" si="3"/>
        <v>72554.880000000005</v>
      </c>
    </row>
  </sheetData>
  <autoFilter ref="A1:K31" xr:uid="{040A055D-9841-468E-95BB-55E062B69A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LAB_ med centrCHINT_BOM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2026-08-24T13:07:21Z</dcterms:modified>
</cp:coreProperties>
</file>