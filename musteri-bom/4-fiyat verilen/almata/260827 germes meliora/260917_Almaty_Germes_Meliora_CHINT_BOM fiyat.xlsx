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27 germes meliora\"/>
    </mc:Choice>
  </mc:AlternateContent>
  <xr:revisionPtr revIDLastSave="0" documentId="13_ncr:1_{D32FB9C0-F9F0-40FB-A107-AC406ABE1D7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RA_DERATING">#REF!</definedName>
    <definedName name="BARA_ESIK_A">#REF!</definedName>
    <definedName name="BARA_FIRE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ECERLILIK">#REF!</definedName>
    <definedName name="GUN_SAAT">#REF!</definedName>
    <definedName name="ICERIK_AD">#REF!</definedName>
    <definedName name="ICERIK_IZI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TEKLIF!$A$1:$F$106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0" i="4" l="1"/>
  <c r="F98" i="4"/>
  <c r="F95" i="4"/>
  <c r="F94" i="4"/>
  <c r="F93" i="4"/>
  <c r="F92" i="4"/>
  <c r="F91" i="4"/>
  <c r="F88" i="4"/>
  <c r="F87" i="4"/>
  <c r="F85" i="4"/>
  <c r="F79" i="4"/>
  <c r="F78" i="4"/>
  <c r="F77" i="4"/>
  <c r="F72" i="4"/>
  <c r="F69" i="4"/>
  <c r="F67" i="4"/>
  <c r="F62" i="4"/>
  <c r="F61" i="4"/>
  <c r="F56" i="4"/>
  <c r="F53" i="4"/>
  <c r="F51" i="4"/>
  <c r="F46" i="4"/>
  <c r="F45" i="4"/>
  <c r="F40" i="4"/>
  <c r="F37" i="4"/>
  <c r="F35" i="4"/>
  <c r="F30" i="4"/>
  <c r="F29" i="4"/>
  <c r="F24" i="4"/>
  <c r="F21" i="4"/>
  <c r="F19" i="4"/>
  <c r="F14" i="4"/>
  <c r="F13" i="4"/>
  <c r="F8" i="4"/>
  <c r="F64" i="4" l="1"/>
  <c r="F49" i="4"/>
  <c r="F76" i="4"/>
  <c r="F57" i="4"/>
  <c r="F11" i="4"/>
  <c r="F27" i="4"/>
  <c r="F89" i="4"/>
  <c r="F39" i="4"/>
  <c r="F66" i="4"/>
  <c r="F23" i="4"/>
  <c r="F38" i="4"/>
  <c r="F63" i="4"/>
  <c r="F81" i="4"/>
  <c r="F12" i="4"/>
  <c r="F60" i="4"/>
  <c r="F9" i="4"/>
  <c r="F75" i="4"/>
  <c r="F47" i="4"/>
  <c r="F50" i="4"/>
  <c r="F54" i="4"/>
  <c r="F33" i="4"/>
  <c r="F80" i="4"/>
  <c r="F48" i="4"/>
  <c r="F7" i="4"/>
  <c r="F17" i="4"/>
  <c r="F44" i="4"/>
  <c r="F71" i="4"/>
  <c r="F96" i="4"/>
  <c r="F31" i="4"/>
  <c r="F34" i="4"/>
  <c r="F41" i="4"/>
  <c r="F28" i="4"/>
  <c r="F55" i="4"/>
  <c r="F65" i="4"/>
  <c r="F82" i="4"/>
  <c r="F15" i="4"/>
  <c r="F18" i="4"/>
  <c r="F25" i="4"/>
  <c r="F86" i="4"/>
  <c r="F97" i="4"/>
  <c r="F22" i="4"/>
  <c r="F32" i="4"/>
  <c r="F59" i="4"/>
  <c r="F73" i="4"/>
  <c r="F6" i="4"/>
  <c r="F16" i="4"/>
  <c r="F43" i="4"/>
  <c r="F70" i="4"/>
  <c r="F83" i="4"/>
  <c r="F10" i="4"/>
  <c r="F26" i="4"/>
  <c r="F42" i="4"/>
  <c r="F58" i="4"/>
  <c r="F74" i="4"/>
  <c r="F90" i="4"/>
  <c r="F20" i="4"/>
  <c r="F36" i="4"/>
  <c r="F52" i="4"/>
  <c r="F68" i="4"/>
  <c r="F84" i="4"/>
  <c r="F99" i="4" l="1"/>
</calcChain>
</file>

<file path=xl/sharedStrings.xml><?xml version="1.0" encoding="utf-8"?>
<sst xmlns="http://schemas.openxmlformats.org/spreadsheetml/2006/main" count="206" uniqueCount="113">
  <si>
    <t>Наименование</t>
  </si>
  <si>
    <t>Ед.изм</t>
  </si>
  <si>
    <t>ВРУ.1 — вводная панель (ВРУ1-13-10) (260917 germes meliora)</t>
  </si>
  <si>
    <t>ВРУ.1 — линейная панель (ВРУ1-50-01) (260917 germes meliora)</t>
  </si>
  <si>
    <t>ВРУ.1 — панель АВР (ВРУ1-18-70) (260917 germes meliora)</t>
  </si>
  <si>
    <t>ВРУ.1 — линейная панель АВР (ВРУ1-41-00) (260917 germes meliora)</t>
  </si>
  <si>
    <t>ВРУ.2 — вводная панель (ВРУ1-12-10) (260917 germes meliora)</t>
  </si>
  <si>
    <t>ВРУ.2 — линейная панель (ВРУ1-47-00А) (260917 germes meliora)</t>
  </si>
  <si>
    <t>ВРУ.2 — панель АВР ЩАО2.1 (ВРУ1-17-70) (260917 germes meliora)</t>
  </si>
  <si>
    <t>ВРУ.3 — вводная панель (ВРУ1-13-10) (260917 germes meliora)</t>
  </si>
  <si>
    <t>ВРУ.3 — линейная панель (ВРУ1-50-01) (260917 germes meliora)</t>
  </si>
  <si>
    <t>ВРУ.3 — панель АВР (ВРУ1-18-70) (260917 germes meliora)</t>
  </si>
  <si>
    <t>ВРУ.3 — линейная панель АВР (ВРУ1-41-00) (260917 germes meliora)</t>
  </si>
  <si>
    <t>ВРУ.4 — вводная панель (ВРУ1-13-10) (260917 germes meliora)</t>
  </si>
  <si>
    <t>ВРУ.4 — линейная панель (ВРУ1-50-01) (260917 germes meliora)</t>
  </si>
  <si>
    <t>ВРУ.4 — панель АВР (ВРУ1-18-70) (260917 germes meliora)</t>
  </si>
  <si>
    <t>ВРУ.4 — линейная панель АВР (ВРУ1-41-00) (260917 germes meliora)</t>
  </si>
  <si>
    <t>ВРУ.5 — вводная панель (ВРУ1-15-30) (260917 germes meliora)</t>
  </si>
  <si>
    <t>ВРУ.5 — панель АВР ЩАО5.1 (ВРУ1-17-70) (260917 germes meliora)</t>
  </si>
  <si>
    <t>ВРУ.6 — вводная панель (ВРУ1-12-10) (260917 germes meliora)</t>
  </si>
  <si>
    <t>ВРУ.6 — линейная панель (ВРУ1-47-00А) (260917 germes meliora)</t>
  </si>
  <si>
    <t>ВРУ.6 — панель АВР (ВРУ1-17-70) (260917 germes meliora)</t>
  </si>
  <si>
    <t>ВРУ.6 — линейная панель АВР (ВРУ1-41-01) (260917 germes meliora)</t>
  </si>
  <si>
    <t>ЩАО1.1 (260917 germes meliora)</t>
  </si>
  <si>
    <t>ЩАО2.1 (260917 germes meliora)</t>
  </si>
  <si>
    <t>ЩАО3.1 (260917 germes meliora)</t>
  </si>
  <si>
    <t>ЩАО3.2 (260917 germes meliora)</t>
  </si>
  <si>
    <t>ЩАО4.1 (260917 germes meliora)</t>
  </si>
  <si>
    <t>ЩАО4.2 (260917 germes meliora)</t>
  </si>
  <si>
    <t>ЩАО5.1 (260917 germes meliora)</t>
  </si>
  <si>
    <t>ЩАО6.1 (260917 germes meliora)</t>
  </si>
  <si>
    <t>ЩО1.1 (260917 germes meliora)</t>
  </si>
  <si>
    <t>ЩО3.1 (260917 germes meliora)</t>
  </si>
  <si>
    <t>ЩР2.1 (260917 germes meliora)</t>
  </si>
  <si>
    <t>ЩР2.2 (260917 germes meliora)</t>
  </si>
  <si>
    <t>ЩР2.3 (260917 germes meliora)</t>
  </si>
  <si>
    <t>ЩР3.1 (260917 germes meliora)</t>
  </si>
  <si>
    <t>ЩР3.2 (260917 germes meliora)</t>
  </si>
  <si>
    <t>ЩР3.3 (260917 germes meliora)</t>
  </si>
  <si>
    <t>ЩР3.4 (260917 germes meliora)</t>
  </si>
  <si>
    <t>ЩР4.1 (260917 germes meliora)</t>
  </si>
  <si>
    <t>ЩР5.1 (260917 germes meliora)</t>
  </si>
  <si>
    <t>ЩР6.1 (260917 germes meliora)</t>
  </si>
  <si>
    <t>ЩР6.2 (260917 germes meliora)</t>
  </si>
  <si>
    <t>ЩР6.3 (260917 germes meliora)</t>
  </si>
  <si>
    <t>ЩР-9.1 (ЩР-9.2, ЩР-9.3) (260917 germes meliora)</t>
  </si>
  <si>
    <t>ЩР-9.4 (260917 germes meliora)</t>
  </si>
  <si>
    <t>ЩР-10.1 (260917 germes meliora)</t>
  </si>
  <si>
    <t>ЩР-10.2 (ЩР-10.3, ЩР-10.4, ЩР-10.5) (260917 germes meliora)</t>
  </si>
  <si>
    <t>ЩР-10.6 (260917 germes meliora)</t>
  </si>
  <si>
    <t>ЩР-1.1 (260917 germes meliora)</t>
  </si>
  <si>
    <t>ЩУР.1 (260917 germes meliora)</t>
  </si>
  <si>
    <t>ЩУР.2 (260917 germes meliora)</t>
  </si>
  <si>
    <t>ЩУР.3 (ЩУР.5, ЩУР.7, ЩУР.9) (260917 germes meliora)</t>
  </si>
  <si>
    <t>ЩУР.4 (ЩУР.6, ЩУР.8) (260917 germes meliora)</t>
  </si>
  <si>
    <t>ЩУР.10 (260917 germes meliora)</t>
  </si>
  <si>
    <t>ЩУР.11 (260917 germes meliora)</t>
  </si>
  <si>
    <t>ЩС4.1 (260917 germes meliora)</t>
  </si>
  <si>
    <t>ЩС4.2 (260917 germes meliora)</t>
  </si>
  <si>
    <t>ЩС6.1 (260917 germes meliora)</t>
  </si>
  <si>
    <t>ЩС6.2 (260917 germes meliora)</t>
  </si>
  <si>
    <t>ЩПТс.1 (260917 germes meliora)</t>
  </si>
  <si>
    <t>ЩПТс.2 (260917 germes meliora)</t>
  </si>
  <si>
    <t>ЩСС.1 (260917 germes meliora)</t>
  </si>
  <si>
    <t>ЩСС.2 (260917 germes meliora)</t>
  </si>
  <si>
    <t>ЩСС.3 (260917 germes meliora)</t>
  </si>
  <si>
    <t>ЩСВ.1 (260917 germes meliora)</t>
  </si>
  <si>
    <t>ЩСВ.2 (260917 germes meliora)</t>
  </si>
  <si>
    <t>ЩВ.1 (260917 germes meliora)</t>
  </si>
  <si>
    <t>ЩВ.2 (260917 germes meliora)</t>
  </si>
  <si>
    <t>ЩВ.3 (260917 germes meliora)</t>
  </si>
  <si>
    <t>ЩВ.4 (260917 germes meliora)</t>
  </si>
  <si>
    <t>ЩВ.5 (260917 germes meliora)</t>
  </si>
  <si>
    <t>ЩВ.6 (260917 germes meliora)</t>
  </si>
  <si>
    <t>ЩВ.7 (260917 germes meliora)</t>
  </si>
  <si>
    <t>ЩВ.8 (260917 germes meliora)</t>
  </si>
  <si>
    <t>ЩВ.9 (260917 germes meliora)</t>
  </si>
  <si>
    <t>ЩВ.10 (260917 germes meliora)</t>
  </si>
  <si>
    <t>ЩВ.11 (260917 germes meliora)</t>
  </si>
  <si>
    <t>ЩВ.12 (260917 germes meliora)</t>
  </si>
  <si>
    <t>ЩВ.13 (260917 germes meliora)</t>
  </si>
  <si>
    <t>ЩВ-9.1 (ЩВ-9.2, ЩВ-9.3) (260917 germes meliora)</t>
  </si>
  <si>
    <t>ЩВ-10.1 (ЩВ-10.2) (260917 germes meliora)</t>
  </si>
  <si>
    <t>ЩВ-10.3 (260917 germes meliora)</t>
  </si>
  <si>
    <t>ЩВ-10.4 (ЩВ-10.5) (260917 germes meliora)</t>
  </si>
  <si>
    <t>ЩДУ.1 (260917 germes meliora)</t>
  </si>
  <si>
    <t>ЩДУ.2 (260917 germes meliora)</t>
  </si>
  <si>
    <t>ЩДУ.3 (260917 germes meliora)</t>
  </si>
  <si>
    <t>ЩДУ.4 (260917 germes meliora)</t>
  </si>
  <si>
    <t>ЩДУ.5 (260917 germes meliora)</t>
  </si>
  <si>
    <t>ЩДУ.6 (260917 germes meliora)</t>
  </si>
  <si>
    <t>ЩПН.1 (260917 germes meliora)</t>
  </si>
  <si>
    <t>ЩПН.2 (260917 germes meliora)</t>
  </si>
  <si>
    <t>ЩСН.1 (260917 germes meliora)</t>
  </si>
  <si>
    <t>ЩСН.2 (260917 germes meliora)</t>
  </si>
  <si>
    <t>Germes Meliora otel — МФК Кок-Тобе, блоки 8, 9, 10 (41-22/2-ЭОМ)</t>
  </si>
  <si>
    <t>YSF HICH</t>
  </si>
  <si>
    <t>НДС</t>
  </si>
  <si>
    <t>Заказчик:</t>
  </si>
  <si>
    <t>Объект:</t>
  </si>
  <si>
    <t>№</t>
  </si>
  <si>
    <t>Кол-во</t>
  </si>
  <si>
    <t>Сумма, тг (без НДС)</t>
  </si>
  <si>
    <t>компл.</t>
  </si>
  <si>
    <t>Итого с НДС</t>
  </si>
  <si>
    <t>Срок изготовления:</t>
  </si>
  <si>
    <t>Условия оплаты:</t>
  </si>
  <si>
    <t>Срок действия, дн.:</t>
  </si>
  <si>
    <t>germes</t>
  </si>
  <si>
    <t>35-45</t>
  </si>
  <si>
    <t>70+30%</t>
  </si>
  <si>
    <t>КОММЕРЧЕСКОЕ ПРЕДЛОЖЕНИЕ № 98990049 от 00.mm.2026</t>
  </si>
  <si>
    <t>Цена за ед., тг ( с НДС)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</si>
</sst>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1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3" fontId="2" fillId="0" borderId="1" xfId="0" applyNumberFormat="1" applyFont="1" applyBorder="1"/>
    <xf numFmtId="3" fontId="1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5"/>
  <sheetViews>
    <sheetView tabSelected="1" topLeftCell="A84" zoomScaleNormal="100" workbookViewId="0">
      <selection activeCell="I101" sqref="I101"/>
    </sheetView>
  </sheetViews>
  <sheetFormatPr defaultColWidth="8.5703125" defaultRowHeight="15" x14ac:dyDescent="0.25"/>
  <cols>
    <col min="1" max="1" width="26" customWidth="1"/>
    <col min="2" max="2" width="60" customWidth="1"/>
    <col min="3" max="4" width="8" style="9" customWidth="1"/>
    <col min="5" max="5" width="16" customWidth="1"/>
    <col min="6" max="6" width="18" customWidth="1"/>
  </cols>
  <sheetData>
    <row r="1" spans="1:6" ht="15.75" x14ac:dyDescent="0.25">
      <c r="A1" s="5" t="s">
        <v>96</v>
      </c>
    </row>
    <row r="2" spans="1:6" ht="15.75" x14ac:dyDescent="0.25">
      <c r="A2" s="5" t="s">
        <v>111</v>
      </c>
    </row>
    <row r="3" spans="1:6" x14ac:dyDescent="0.25">
      <c r="A3" s="2" t="s">
        <v>98</v>
      </c>
      <c r="B3" s="3" t="s">
        <v>108</v>
      </c>
    </row>
    <row r="4" spans="1:6" x14ac:dyDescent="0.25">
      <c r="A4" s="2" t="s">
        <v>99</v>
      </c>
      <c r="B4" s="3" t="s">
        <v>95</v>
      </c>
    </row>
    <row r="5" spans="1:6" s="13" customFormat="1" ht="25.5" x14ac:dyDescent="0.25">
      <c r="A5" s="8" t="s">
        <v>100</v>
      </c>
      <c r="B5" s="8" t="s">
        <v>0</v>
      </c>
      <c r="C5" s="8" t="s">
        <v>101</v>
      </c>
      <c r="D5" s="8" t="s">
        <v>1</v>
      </c>
      <c r="E5" s="8" t="s">
        <v>112</v>
      </c>
      <c r="F5" s="8" t="s">
        <v>102</v>
      </c>
    </row>
    <row r="6" spans="1:6" x14ac:dyDescent="0.25">
      <c r="A6" s="12">
        <v>1</v>
      </c>
      <c r="B6" s="4" t="s">
        <v>2</v>
      </c>
      <c r="C6" s="10">
        <v>1</v>
      </c>
      <c r="D6" s="10" t="s">
        <v>103</v>
      </c>
      <c r="E6" s="6">
        <v>4833401</v>
      </c>
      <c r="F6" s="6">
        <f t="shared" ref="F6:F37" si="0">IF(E6="","",C6*E6)</f>
        <v>4833401</v>
      </c>
    </row>
    <row r="7" spans="1:6" x14ac:dyDescent="0.25">
      <c r="A7" s="12">
        <v>2</v>
      </c>
      <c r="B7" s="4" t="s">
        <v>3</v>
      </c>
      <c r="C7" s="10">
        <v>1</v>
      </c>
      <c r="D7" s="10" t="s">
        <v>103</v>
      </c>
      <c r="E7" s="6">
        <v>892886.79999999993</v>
      </c>
      <c r="F7" s="6">
        <f t="shared" si="0"/>
        <v>892886.79999999993</v>
      </c>
    </row>
    <row r="8" spans="1:6" x14ac:dyDescent="0.25">
      <c r="A8" s="12">
        <v>3</v>
      </c>
      <c r="B8" s="4" t="s">
        <v>4</v>
      </c>
      <c r="C8" s="10">
        <v>1</v>
      </c>
      <c r="D8" s="10" t="s">
        <v>103</v>
      </c>
      <c r="E8" s="6">
        <v>1496304.88</v>
      </c>
      <c r="F8" s="6">
        <f t="shared" si="0"/>
        <v>1496304.88</v>
      </c>
    </row>
    <row r="9" spans="1:6" x14ac:dyDescent="0.25">
      <c r="A9" s="12">
        <v>4</v>
      </c>
      <c r="B9" s="4" t="s">
        <v>5</v>
      </c>
      <c r="C9" s="10">
        <v>1</v>
      </c>
      <c r="D9" s="10" t="s">
        <v>103</v>
      </c>
      <c r="E9" s="6">
        <v>486676.83999999997</v>
      </c>
      <c r="F9" s="6">
        <f t="shared" si="0"/>
        <v>486676.83999999997</v>
      </c>
    </row>
    <row r="10" spans="1:6" x14ac:dyDescent="0.25">
      <c r="A10" s="12">
        <v>5</v>
      </c>
      <c r="B10" s="4" t="s">
        <v>6</v>
      </c>
      <c r="C10" s="10">
        <v>1</v>
      </c>
      <c r="D10" s="10" t="s">
        <v>103</v>
      </c>
      <c r="E10" s="6">
        <v>901463.84</v>
      </c>
      <c r="F10" s="6">
        <f t="shared" si="0"/>
        <v>901463.84</v>
      </c>
    </row>
    <row r="11" spans="1:6" x14ac:dyDescent="0.25">
      <c r="A11" s="12">
        <v>6</v>
      </c>
      <c r="B11" s="4" t="s">
        <v>7</v>
      </c>
      <c r="C11" s="10">
        <v>1</v>
      </c>
      <c r="D11" s="10" t="s">
        <v>103</v>
      </c>
      <c r="E11" s="6">
        <v>485172.31999999995</v>
      </c>
      <c r="F11" s="6">
        <f t="shared" si="0"/>
        <v>485172.31999999995</v>
      </c>
    </row>
    <row r="12" spans="1:6" x14ac:dyDescent="0.25">
      <c r="A12" s="12">
        <v>7</v>
      </c>
      <c r="B12" s="4" t="s">
        <v>8</v>
      </c>
      <c r="C12" s="10">
        <v>1</v>
      </c>
      <c r="D12" s="10" t="s">
        <v>103</v>
      </c>
      <c r="E12" s="6">
        <v>802457.84</v>
      </c>
      <c r="F12" s="6">
        <f t="shared" si="0"/>
        <v>802457.84</v>
      </c>
    </row>
    <row r="13" spans="1:6" x14ac:dyDescent="0.25">
      <c r="A13" s="12">
        <v>8</v>
      </c>
      <c r="B13" s="4" t="s">
        <v>9</v>
      </c>
      <c r="C13" s="10">
        <v>1</v>
      </c>
      <c r="D13" s="10" t="s">
        <v>103</v>
      </c>
      <c r="E13" s="6">
        <v>1166724.52</v>
      </c>
      <c r="F13" s="6">
        <f t="shared" si="0"/>
        <v>1166724.52</v>
      </c>
    </row>
    <row r="14" spans="1:6" x14ac:dyDescent="0.25">
      <c r="A14" s="12">
        <v>9</v>
      </c>
      <c r="B14" s="4" t="s">
        <v>10</v>
      </c>
      <c r="C14" s="10">
        <v>1</v>
      </c>
      <c r="D14" s="10" t="s">
        <v>103</v>
      </c>
      <c r="E14" s="6">
        <v>479822.39999999997</v>
      </c>
      <c r="F14" s="6">
        <f t="shared" si="0"/>
        <v>479822.39999999997</v>
      </c>
    </row>
    <row r="15" spans="1:6" x14ac:dyDescent="0.25">
      <c r="A15" s="12">
        <v>10</v>
      </c>
      <c r="B15" s="4" t="s">
        <v>11</v>
      </c>
      <c r="C15" s="10">
        <v>1</v>
      </c>
      <c r="D15" s="10" t="s">
        <v>103</v>
      </c>
      <c r="E15" s="6">
        <v>1609823.64</v>
      </c>
      <c r="F15" s="6">
        <f t="shared" si="0"/>
        <v>1609823.64</v>
      </c>
    </row>
    <row r="16" spans="1:6" x14ac:dyDescent="0.25">
      <c r="A16" s="12">
        <v>11</v>
      </c>
      <c r="B16" s="4" t="s">
        <v>12</v>
      </c>
      <c r="C16" s="10">
        <v>1</v>
      </c>
      <c r="D16" s="10" t="s">
        <v>103</v>
      </c>
      <c r="E16" s="6">
        <v>484055.24</v>
      </c>
      <c r="F16" s="6">
        <f t="shared" si="0"/>
        <v>484055.24</v>
      </c>
    </row>
    <row r="17" spans="1:6" x14ac:dyDescent="0.25">
      <c r="A17" s="12">
        <v>12</v>
      </c>
      <c r="B17" s="4" t="s">
        <v>13</v>
      </c>
      <c r="C17" s="10">
        <v>1</v>
      </c>
      <c r="D17" s="10" t="s">
        <v>103</v>
      </c>
      <c r="E17" s="6">
        <v>2417493.36</v>
      </c>
      <c r="F17" s="6">
        <f t="shared" si="0"/>
        <v>2417493.36</v>
      </c>
    </row>
    <row r="18" spans="1:6" x14ac:dyDescent="0.25">
      <c r="A18" s="12">
        <v>13</v>
      </c>
      <c r="B18" s="4" t="s">
        <v>14</v>
      </c>
      <c r="C18" s="10">
        <v>1</v>
      </c>
      <c r="D18" s="10" t="s">
        <v>103</v>
      </c>
      <c r="E18" s="6">
        <v>869461.75999999989</v>
      </c>
      <c r="F18" s="6">
        <f t="shared" si="0"/>
        <v>869461.75999999989</v>
      </c>
    </row>
    <row r="19" spans="1:6" x14ac:dyDescent="0.25">
      <c r="A19" s="12">
        <v>14</v>
      </c>
      <c r="B19" s="4" t="s">
        <v>15</v>
      </c>
      <c r="C19" s="10">
        <v>1</v>
      </c>
      <c r="D19" s="10" t="s">
        <v>103</v>
      </c>
      <c r="E19" s="6">
        <v>1477431.68</v>
      </c>
      <c r="F19" s="6">
        <f t="shared" si="0"/>
        <v>1477431.68</v>
      </c>
    </row>
    <row r="20" spans="1:6" x14ac:dyDescent="0.25">
      <c r="A20" s="12">
        <v>15</v>
      </c>
      <c r="B20" s="4" t="s">
        <v>16</v>
      </c>
      <c r="C20" s="10">
        <v>1</v>
      </c>
      <c r="D20" s="10" t="s">
        <v>103</v>
      </c>
      <c r="E20" s="6">
        <v>492025.59999999998</v>
      </c>
      <c r="F20" s="6">
        <f t="shared" si="0"/>
        <v>492025.59999999998</v>
      </c>
    </row>
    <row r="21" spans="1:6" x14ac:dyDescent="0.25">
      <c r="A21" s="12">
        <v>16</v>
      </c>
      <c r="B21" s="4" t="s">
        <v>17</v>
      </c>
      <c r="C21" s="10">
        <v>1</v>
      </c>
      <c r="D21" s="10" t="s">
        <v>103</v>
      </c>
      <c r="E21" s="6">
        <v>688631.67999999993</v>
      </c>
      <c r="F21" s="6">
        <f t="shared" si="0"/>
        <v>688631.67999999993</v>
      </c>
    </row>
    <row r="22" spans="1:6" x14ac:dyDescent="0.25">
      <c r="A22" s="12">
        <v>17</v>
      </c>
      <c r="B22" s="4" t="s">
        <v>18</v>
      </c>
      <c r="C22" s="10">
        <v>1</v>
      </c>
      <c r="D22" s="10" t="s">
        <v>103</v>
      </c>
      <c r="E22" s="6">
        <v>802457.84</v>
      </c>
      <c r="F22" s="6">
        <f t="shared" si="0"/>
        <v>802457.84</v>
      </c>
    </row>
    <row r="23" spans="1:6" x14ac:dyDescent="0.25">
      <c r="A23" s="12">
        <v>18</v>
      </c>
      <c r="B23" s="4" t="s">
        <v>19</v>
      </c>
      <c r="C23" s="10">
        <v>1</v>
      </c>
      <c r="D23" s="10" t="s">
        <v>103</v>
      </c>
      <c r="E23" s="6">
        <v>1353955.48</v>
      </c>
      <c r="F23" s="6">
        <f t="shared" si="0"/>
        <v>1353955.48</v>
      </c>
    </row>
    <row r="24" spans="1:6" x14ac:dyDescent="0.25">
      <c r="A24" s="12">
        <v>19</v>
      </c>
      <c r="B24" s="4" t="s">
        <v>20</v>
      </c>
      <c r="C24" s="10">
        <v>1</v>
      </c>
      <c r="D24" s="10" t="s">
        <v>103</v>
      </c>
      <c r="E24" s="6">
        <v>505949.07999999996</v>
      </c>
      <c r="F24" s="6">
        <f t="shared" si="0"/>
        <v>505949.07999999996</v>
      </c>
    </row>
    <row r="25" spans="1:6" x14ac:dyDescent="0.25">
      <c r="A25" s="12">
        <v>20</v>
      </c>
      <c r="B25" s="4" t="s">
        <v>21</v>
      </c>
      <c r="C25" s="10">
        <v>1</v>
      </c>
      <c r="D25" s="10" t="s">
        <v>103</v>
      </c>
      <c r="E25" s="6">
        <v>739481.44</v>
      </c>
      <c r="F25" s="6">
        <f t="shared" si="0"/>
        <v>739481.44</v>
      </c>
    </row>
    <row r="26" spans="1:6" x14ac:dyDescent="0.25">
      <c r="A26" s="12">
        <v>21</v>
      </c>
      <c r="B26" s="4" t="s">
        <v>22</v>
      </c>
      <c r="C26" s="10">
        <v>1</v>
      </c>
      <c r="D26" s="10" t="s">
        <v>103</v>
      </c>
      <c r="E26" s="6">
        <v>376099.83999999997</v>
      </c>
      <c r="F26" s="6">
        <f t="shared" si="0"/>
        <v>376099.83999999997</v>
      </c>
    </row>
    <row r="27" spans="1:6" x14ac:dyDescent="0.25">
      <c r="A27" s="12">
        <v>22</v>
      </c>
      <c r="B27" s="4" t="s">
        <v>23</v>
      </c>
      <c r="C27" s="10">
        <v>1</v>
      </c>
      <c r="D27" s="10" t="s">
        <v>103</v>
      </c>
      <c r="E27" s="6">
        <v>69278.679999999993</v>
      </c>
      <c r="F27" s="6">
        <f t="shared" si="0"/>
        <v>69278.679999999993</v>
      </c>
    </row>
    <row r="28" spans="1:6" x14ac:dyDescent="0.25">
      <c r="A28" s="12">
        <v>23</v>
      </c>
      <c r="B28" s="4" t="s">
        <v>24</v>
      </c>
      <c r="C28" s="10">
        <v>1</v>
      </c>
      <c r="D28" s="10" t="s">
        <v>103</v>
      </c>
      <c r="E28" s="6">
        <v>86433.919999999998</v>
      </c>
      <c r="F28" s="6">
        <f t="shared" si="0"/>
        <v>86433.919999999998</v>
      </c>
    </row>
    <row r="29" spans="1:6" x14ac:dyDescent="0.25">
      <c r="A29" s="12">
        <v>24</v>
      </c>
      <c r="B29" s="4" t="s">
        <v>25</v>
      </c>
      <c r="C29" s="10">
        <v>1</v>
      </c>
      <c r="D29" s="10" t="s">
        <v>103</v>
      </c>
      <c r="E29" s="6">
        <v>86433.919999999998</v>
      </c>
      <c r="F29" s="6">
        <f t="shared" si="0"/>
        <v>86433.919999999998</v>
      </c>
    </row>
    <row r="30" spans="1:6" x14ac:dyDescent="0.25">
      <c r="A30" s="12">
        <v>25</v>
      </c>
      <c r="B30" s="4" t="s">
        <v>26</v>
      </c>
      <c r="C30" s="10">
        <v>1</v>
      </c>
      <c r="D30" s="10" t="s">
        <v>103</v>
      </c>
      <c r="E30" s="6">
        <v>69278.679999999993</v>
      </c>
      <c r="F30" s="6">
        <f t="shared" si="0"/>
        <v>69278.679999999993</v>
      </c>
    </row>
    <row r="31" spans="1:6" x14ac:dyDescent="0.25">
      <c r="A31" s="12">
        <v>26</v>
      </c>
      <c r="B31" s="4" t="s">
        <v>27</v>
      </c>
      <c r="C31" s="10">
        <v>1</v>
      </c>
      <c r="D31" s="10" t="s">
        <v>103</v>
      </c>
      <c r="E31" s="6">
        <v>69278.679999999993</v>
      </c>
      <c r="F31" s="6">
        <f t="shared" si="0"/>
        <v>69278.679999999993</v>
      </c>
    </row>
    <row r="32" spans="1:6" x14ac:dyDescent="0.25">
      <c r="A32" s="12">
        <v>27</v>
      </c>
      <c r="B32" s="4" t="s">
        <v>28</v>
      </c>
      <c r="C32" s="10">
        <v>1</v>
      </c>
      <c r="D32" s="10" t="s">
        <v>103</v>
      </c>
      <c r="E32" s="6">
        <v>93120.159999999989</v>
      </c>
      <c r="F32" s="6">
        <f t="shared" si="0"/>
        <v>93120.159999999989</v>
      </c>
    </row>
    <row r="33" spans="1:6" x14ac:dyDescent="0.25">
      <c r="A33" s="12">
        <v>28</v>
      </c>
      <c r="B33" s="4" t="s">
        <v>29</v>
      </c>
      <c r="C33" s="10">
        <v>1</v>
      </c>
      <c r="D33" s="10" t="s">
        <v>103</v>
      </c>
      <c r="E33" s="6">
        <v>63122.559999999998</v>
      </c>
      <c r="F33" s="6">
        <f t="shared" si="0"/>
        <v>63122.559999999998</v>
      </c>
    </row>
    <row r="34" spans="1:6" x14ac:dyDescent="0.25">
      <c r="A34" s="12">
        <v>29</v>
      </c>
      <c r="B34" s="4" t="s">
        <v>30</v>
      </c>
      <c r="C34" s="10">
        <v>1</v>
      </c>
      <c r="D34" s="10" t="s">
        <v>103</v>
      </c>
      <c r="E34" s="6">
        <v>82743.959999999992</v>
      </c>
      <c r="F34" s="6">
        <f t="shared" si="0"/>
        <v>82743.959999999992</v>
      </c>
    </row>
    <row r="35" spans="1:6" x14ac:dyDescent="0.25">
      <c r="A35" s="12">
        <v>30</v>
      </c>
      <c r="B35" s="4" t="s">
        <v>31</v>
      </c>
      <c r="C35" s="10">
        <v>1</v>
      </c>
      <c r="D35" s="10" t="s">
        <v>103</v>
      </c>
      <c r="E35" s="6">
        <v>117144.92</v>
      </c>
      <c r="F35" s="6">
        <f t="shared" si="0"/>
        <v>117144.92</v>
      </c>
    </row>
    <row r="36" spans="1:6" x14ac:dyDescent="0.25">
      <c r="A36" s="12">
        <v>31</v>
      </c>
      <c r="B36" s="4" t="s">
        <v>32</v>
      </c>
      <c r="C36" s="10">
        <v>1</v>
      </c>
      <c r="D36" s="10" t="s">
        <v>103</v>
      </c>
      <c r="E36" s="6">
        <v>100834.15999999999</v>
      </c>
      <c r="F36" s="6">
        <f t="shared" si="0"/>
        <v>100834.15999999999</v>
      </c>
    </row>
    <row r="37" spans="1:6" x14ac:dyDescent="0.25">
      <c r="A37" s="12">
        <v>32</v>
      </c>
      <c r="B37" s="4" t="s">
        <v>33</v>
      </c>
      <c r="C37" s="10">
        <v>1</v>
      </c>
      <c r="D37" s="10" t="s">
        <v>103</v>
      </c>
      <c r="E37" s="6">
        <v>90207.4</v>
      </c>
      <c r="F37" s="6">
        <f t="shared" si="0"/>
        <v>90207.4</v>
      </c>
    </row>
    <row r="38" spans="1:6" x14ac:dyDescent="0.25">
      <c r="A38" s="12">
        <v>33</v>
      </c>
      <c r="B38" s="4" t="s">
        <v>34</v>
      </c>
      <c r="C38" s="10">
        <v>1</v>
      </c>
      <c r="D38" s="10" t="s">
        <v>103</v>
      </c>
      <c r="E38" s="6">
        <v>135351.12</v>
      </c>
      <c r="F38" s="6">
        <f t="shared" ref="F38:F69" si="1">IF(E38="","",C38*E38)</f>
        <v>135351.12</v>
      </c>
    </row>
    <row r="39" spans="1:6" x14ac:dyDescent="0.25">
      <c r="A39" s="12">
        <v>34</v>
      </c>
      <c r="B39" s="4" t="s">
        <v>35</v>
      </c>
      <c r="C39" s="10">
        <v>1</v>
      </c>
      <c r="D39" s="10" t="s">
        <v>103</v>
      </c>
      <c r="E39" s="6">
        <v>149478.75999999998</v>
      </c>
      <c r="F39" s="6">
        <f t="shared" si="1"/>
        <v>149478.75999999998</v>
      </c>
    </row>
    <row r="40" spans="1:6" x14ac:dyDescent="0.25">
      <c r="A40" s="12">
        <v>35</v>
      </c>
      <c r="B40" s="4" t="s">
        <v>36</v>
      </c>
      <c r="C40" s="10">
        <v>1</v>
      </c>
      <c r="D40" s="10" t="s">
        <v>103</v>
      </c>
      <c r="E40" s="6">
        <v>220017.19999999998</v>
      </c>
      <c r="F40" s="6">
        <f t="shared" si="1"/>
        <v>220017.19999999998</v>
      </c>
    </row>
    <row r="41" spans="1:6" x14ac:dyDescent="0.25">
      <c r="A41" s="12">
        <v>36</v>
      </c>
      <c r="B41" s="4" t="s">
        <v>37</v>
      </c>
      <c r="C41" s="10">
        <v>1</v>
      </c>
      <c r="D41" s="10" t="s">
        <v>103</v>
      </c>
      <c r="E41" s="6">
        <v>193648.08</v>
      </c>
      <c r="F41" s="6">
        <f t="shared" si="1"/>
        <v>193648.08</v>
      </c>
    </row>
    <row r="42" spans="1:6" x14ac:dyDescent="0.25">
      <c r="A42" s="12">
        <v>37</v>
      </c>
      <c r="B42" s="4" t="s">
        <v>38</v>
      </c>
      <c r="C42" s="10">
        <v>1</v>
      </c>
      <c r="D42" s="10" t="s">
        <v>103</v>
      </c>
      <c r="E42" s="6">
        <v>138452.96</v>
      </c>
      <c r="F42" s="6">
        <f t="shared" si="1"/>
        <v>138452.96</v>
      </c>
    </row>
    <row r="43" spans="1:6" x14ac:dyDescent="0.25">
      <c r="A43" s="12">
        <v>38</v>
      </c>
      <c r="B43" s="4" t="s">
        <v>39</v>
      </c>
      <c r="C43" s="10">
        <v>1</v>
      </c>
      <c r="D43" s="10" t="s">
        <v>103</v>
      </c>
      <c r="E43" s="6">
        <v>109376.4</v>
      </c>
      <c r="F43" s="6">
        <f t="shared" si="1"/>
        <v>109376.4</v>
      </c>
    </row>
    <row r="44" spans="1:6" x14ac:dyDescent="0.25">
      <c r="A44" s="12">
        <v>39</v>
      </c>
      <c r="B44" s="4" t="s">
        <v>40</v>
      </c>
      <c r="C44" s="10">
        <v>1</v>
      </c>
      <c r="D44" s="10" t="s">
        <v>103</v>
      </c>
      <c r="E44" s="6">
        <v>115251.79999999999</v>
      </c>
      <c r="F44" s="6">
        <f t="shared" si="1"/>
        <v>115251.79999999999</v>
      </c>
    </row>
    <row r="45" spans="1:6" x14ac:dyDescent="0.25">
      <c r="A45" s="12">
        <v>40</v>
      </c>
      <c r="B45" s="4" t="s">
        <v>41</v>
      </c>
      <c r="C45" s="10">
        <v>1</v>
      </c>
      <c r="D45" s="10" t="s">
        <v>103</v>
      </c>
      <c r="E45" s="6">
        <v>209258.19999999998</v>
      </c>
      <c r="F45" s="6">
        <f t="shared" si="1"/>
        <v>209258.19999999998</v>
      </c>
    </row>
    <row r="46" spans="1:6" x14ac:dyDescent="0.25">
      <c r="A46" s="12">
        <v>41</v>
      </c>
      <c r="B46" s="4" t="s">
        <v>42</v>
      </c>
      <c r="C46" s="10">
        <v>1</v>
      </c>
      <c r="D46" s="10" t="s">
        <v>103</v>
      </c>
      <c r="E46" s="6">
        <v>130308.59999999999</v>
      </c>
      <c r="F46" s="6">
        <f t="shared" si="1"/>
        <v>130308.59999999999</v>
      </c>
    </row>
    <row r="47" spans="1:6" x14ac:dyDescent="0.25">
      <c r="A47" s="12">
        <v>42</v>
      </c>
      <c r="B47" s="4" t="s">
        <v>43</v>
      </c>
      <c r="C47" s="10">
        <v>1</v>
      </c>
      <c r="D47" s="10" t="s">
        <v>103</v>
      </c>
      <c r="E47" s="6">
        <v>185676.56</v>
      </c>
      <c r="F47" s="6">
        <f t="shared" si="1"/>
        <v>185676.56</v>
      </c>
    </row>
    <row r="48" spans="1:6" x14ac:dyDescent="0.25">
      <c r="A48" s="12">
        <v>43</v>
      </c>
      <c r="B48" s="4" t="s">
        <v>44</v>
      </c>
      <c r="C48" s="10">
        <v>1</v>
      </c>
      <c r="D48" s="10" t="s">
        <v>103</v>
      </c>
      <c r="E48" s="6">
        <v>170464.31999999998</v>
      </c>
      <c r="F48" s="6">
        <f t="shared" si="1"/>
        <v>170464.31999999998</v>
      </c>
    </row>
    <row r="49" spans="1:6" x14ac:dyDescent="0.25">
      <c r="A49" s="12">
        <v>44</v>
      </c>
      <c r="B49" s="4" t="s">
        <v>45</v>
      </c>
      <c r="C49" s="10">
        <v>3</v>
      </c>
      <c r="D49" s="10" t="s">
        <v>103</v>
      </c>
      <c r="E49" s="6">
        <v>198547.91999999998</v>
      </c>
      <c r="F49" s="6">
        <f t="shared" si="1"/>
        <v>595643.76</v>
      </c>
    </row>
    <row r="50" spans="1:6" x14ac:dyDescent="0.25">
      <c r="A50" s="12">
        <v>45</v>
      </c>
      <c r="B50" s="4" t="s">
        <v>46</v>
      </c>
      <c r="C50" s="10">
        <v>1</v>
      </c>
      <c r="D50" s="10" t="s">
        <v>103</v>
      </c>
      <c r="E50" s="6">
        <v>104703.92</v>
      </c>
      <c r="F50" s="6">
        <f t="shared" si="1"/>
        <v>104703.92</v>
      </c>
    </row>
    <row r="51" spans="1:6" x14ac:dyDescent="0.25">
      <c r="A51" s="12">
        <v>46</v>
      </c>
      <c r="B51" s="4" t="s">
        <v>47</v>
      </c>
      <c r="C51" s="10">
        <v>1</v>
      </c>
      <c r="D51" s="10" t="s">
        <v>103</v>
      </c>
      <c r="E51" s="6">
        <v>386407.6</v>
      </c>
      <c r="F51" s="6">
        <f t="shared" si="1"/>
        <v>386407.6</v>
      </c>
    </row>
    <row r="52" spans="1:6" x14ac:dyDescent="0.25">
      <c r="A52" s="12">
        <v>47</v>
      </c>
      <c r="B52" s="4" t="s">
        <v>48</v>
      </c>
      <c r="C52" s="10">
        <v>4</v>
      </c>
      <c r="D52" s="10" t="s">
        <v>103</v>
      </c>
      <c r="E52" s="6">
        <v>390800.51999999996</v>
      </c>
      <c r="F52" s="6">
        <f t="shared" si="1"/>
        <v>1563202.0799999998</v>
      </c>
    </row>
    <row r="53" spans="1:6" x14ac:dyDescent="0.25">
      <c r="A53" s="12">
        <v>48</v>
      </c>
      <c r="B53" s="4" t="s">
        <v>49</v>
      </c>
      <c r="C53" s="10">
        <v>1</v>
      </c>
      <c r="D53" s="10" t="s">
        <v>103</v>
      </c>
      <c r="E53" s="6">
        <v>97740.439999999988</v>
      </c>
      <c r="F53" s="6">
        <f t="shared" si="1"/>
        <v>97740.439999999988</v>
      </c>
    </row>
    <row r="54" spans="1:6" x14ac:dyDescent="0.25">
      <c r="A54" s="12">
        <v>49</v>
      </c>
      <c r="B54" s="4" t="s">
        <v>50</v>
      </c>
      <c r="C54" s="10">
        <v>1</v>
      </c>
      <c r="D54" s="10" t="s">
        <v>103</v>
      </c>
      <c r="E54" s="6">
        <v>104703.92</v>
      </c>
      <c r="F54" s="6">
        <f t="shared" si="1"/>
        <v>104703.92</v>
      </c>
    </row>
    <row r="55" spans="1:6" x14ac:dyDescent="0.25">
      <c r="A55" s="12">
        <v>50</v>
      </c>
      <c r="B55" s="4" t="s">
        <v>51</v>
      </c>
      <c r="C55" s="10">
        <v>1</v>
      </c>
      <c r="D55" s="10" t="s">
        <v>103</v>
      </c>
      <c r="E55" s="6">
        <v>436295.72</v>
      </c>
      <c r="F55" s="6">
        <f t="shared" si="1"/>
        <v>436295.72</v>
      </c>
    </row>
    <row r="56" spans="1:6" x14ac:dyDescent="0.25">
      <c r="A56" s="12">
        <v>51</v>
      </c>
      <c r="B56" s="4" t="s">
        <v>52</v>
      </c>
      <c r="C56" s="10">
        <v>1</v>
      </c>
      <c r="D56" s="10" t="s">
        <v>103</v>
      </c>
      <c r="E56" s="6">
        <v>438856.99999999994</v>
      </c>
      <c r="F56" s="6">
        <f t="shared" si="1"/>
        <v>438856.99999999994</v>
      </c>
    </row>
    <row r="57" spans="1:6" x14ac:dyDescent="0.25">
      <c r="A57" s="12">
        <v>52</v>
      </c>
      <c r="B57" s="4" t="s">
        <v>53</v>
      </c>
      <c r="C57" s="10">
        <v>4</v>
      </c>
      <c r="D57" s="10" t="s">
        <v>103</v>
      </c>
      <c r="E57" s="6">
        <v>429028.31999999995</v>
      </c>
      <c r="F57" s="6">
        <f t="shared" si="1"/>
        <v>1716113.2799999998</v>
      </c>
    </row>
    <row r="58" spans="1:6" x14ac:dyDescent="0.25">
      <c r="A58" s="12">
        <v>53</v>
      </c>
      <c r="B58" s="4" t="s">
        <v>54</v>
      </c>
      <c r="C58" s="10">
        <v>3</v>
      </c>
      <c r="D58" s="10" t="s">
        <v>103</v>
      </c>
      <c r="E58" s="6">
        <v>337512.44</v>
      </c>
      <c r="F58" s="6">
        <f t="shared" si="1"/>
        <v>1012537.3200000001</v>
      </c>
    </row>
    <row r="59" spans="1:6" x14ac:dyDescent="0.25">
      <c r="A59" s="12">
        <v>54</v>
      </c>
      <c r="B59" s="4" t="s">
        <v>55</v>
      </c>
      <c r="C59" s="10">
        <v>1</v>
      </c>
      <c r="D59" s="10" t="s">
        <v>103</v>
      </c>
      <c r="E59" s="6">
        <v>706365.76</v>
      </c>
      <c r="F59" s="6">
        <f t="shared" si="1"/>
        <v>706365.76</v>
      </c>
    </row>
    <row r="60" spans="1:6" x14ac:dyDescent="0.25">
      <c r="A60" s="12">
        <v>55</v>
      </c>
      <c r="B60" s="4" t="s">
        <v>56</v>
      </c>
      <c r="C60" s="10">
        <v>1</v>
      </c>
      <c r="D60" s="10" t="s">
        <v>103</v>
      </c>
      <c r="E60" s="6">
        <v>660057.39999999991</v>
      </c>
      <c r="F60" s="6">
        <f t="shared" si="1"/>
        <v>660057.39999999991</v>
      </c>
    </row>
    <row r="61" spans="1:6" x14ac:dyDescent="0.25">
      <c r="A61" s="12">
        <v>56</v>
      </c>
      <c r="B61" s="4" t="s">
        <v>57</v>
      </c>
      <c r="C61" s="10">
        <v>1</v>
      </c>
      <c r="D61" s="10" t="s">
        <v>103</v>
      </c>
      <c r="E61" s="6">
        <v>888018.27999999991</v>
      </c>
      <c r="F61" s="6">
        <f t="shared" si="1"/>
        <v>888018.27999999991</v>
      </c>
    </row>
    <row r="62" spans="1:6" x14ac:dyDescent="0.25">
      <c r="A62" s="12">
        <v>57</v>
      </c>
      <c r="B62" s="4" t="s">
        <v>58</v>
      </c>
      <c r="C62" s="10">
        <v>1</v>
      </c>
      <c r="D62" s="10" t="s">
        <v>103</v>
      </c>
      <c r="E62" s="6">
        <v>167443.68</v>
      </c>
      <c r="F62" s="6">
        <f t="shared" si="1"/>
        <v>167443.68</v>
      </c>
    </row>
    <row r="63" spans="1:6" x14ac:dyDescent="0.25">
      <c r="A63" s="12">
        <v>58</v>
      </c>
      <c r="B63" s="4" t="s">
        <v>59</v>
      </c>
      <c r="C63" s="10">
        <v>1</v>
      </c>
      <c r="D63" s="10" t="s">
        <v>103</v>
      </c>
      <c r="E63" s="6">
        <v>355985.44</v>
      </c>
      <c r="F63" s="6">
        <f t="shared" si="1"/>
        <v>355985.44</v>
      </c>
    </row>
    <row r="64" spans="1:6" x14ac:dyDescent="0.25">
      <c r="A64" s="12">
        <v>59</v>
      </c>
      <c r="B64" s="4" t="s">
        <v>60</v>
      </c>
      <c r="C64" s="10">
        <v>1</v>
      </c>
      <c r="D64" s="10" t="s">
        <v>103</v>
      </c>
      <c r="E64" s="6">
        <v>601515.67999999993</v>
      </c>
      <c r="F64" s="6">
        <f t="shared" si="1"/>
        <v>601515.67999999993</v>
      </c>
    </row>
    <row r="65" spans="1:6" x14ac:dyDescent="0.25">
      <c r="A65" s="12">
        <v>60</v>
      </c>
      <c r="B65" s="4" t="s">
        <v>61</v>
      </c>
      <c r="C65" s="10">
        <v>1</v>
      </c>
      <c r="D65" s="10" t="s">
        <v>103</v>
      </c>
      <c r="E65" s="6">
        <v>156312.31999999998</v>
      </c>
      <c r="F65" s="6">
        <f t="shared" si="1"/>
        <v>156312.31999999998</v>
      </c>
    </row>
    <row r="66" spans="1:6" x14ac:dyDescent="0.25">
      <c r="A66" s="12">
        <v>61</v>
      </c>
      <c r="B66" s="4" t="s">
        <v>62</v>
      </c>
      <c r="C66" s="10">
        <v>1</v>
      </c>
      <c r="D66" s="10" t="s">
        <v>103</v>
      </c>
      <c r="E66" s="6">
        <v>118925.51999999999</v>
      </c>
      <c r="F66" s="6">
        <f t="shared" si="1"/>
        <v>118925.51999999999</v>
      </c>
    </row>
    <row r="67" spans="1:6" x14ac:dyDescent="0.25">
      <c r="A67" s="12">
        <v>62</v>
      </c>
      <c r="B67" s="4" t="s">
        <v>63</v>
      </c>
      <c r="C67" s="10">
        <v>1</v>
      </c>
      <c r="D67" s="10" t="s">
        <v>103</v>
      </c>
      <c r="E67" s="6">
        <v>94918.159999999989</v>
      </c>
      <c r="F67" s="6">
        <f t="shared" si="1"/>
        <v>94918.159999999989</v>
      </c>
    </row>
    <row r="68" spans="1:6" x14ac:dyDescent="0.25">
      <c r="A68" s="12">
        <v>63</v>
      </c>
      <c r="B68" s="4" t="s">
        <v>64</v>
      </c>
      <c r="C68" s="10">
        <v>1</v>
      </c>
      <c r="D68" s="10" t="s">
        <v>103</v>
      </c>
      <c r="E68" s="6">
        <v>126658.07999999999</v>
      </c>
      <c r="F68" s="6">
        <f t="shared" si="1"/>
        <v>126658.07999999999</v>
      </c>
    </row>
    <row r="69" spans="1:6" x14ac:dyDescent="0.25">
      <c r="A69" s="12">
        <v>64</v>
      </c>
      <c r="B69" s="4" t="s">
        <v>65</v>
      </c>
      <c r="C69" s="10">
        <v>1</v>
      </c>
      <c r="D69" s="10" t="s">
        <v>103</v>
      </c>
      <c r="E69" s="6">
        <v>100121.92</v>
      </c>
      <c r="F69" s="6">
        <f t="shared" si="1"/>
        <v>100121.92</v>
      </c>
    </row>
    <row r="70" spans="1:6" x14ac:dyDescent="0.25">
      <c r="A70" s="12">
        <v>65</v>
      </c>
      <c r="B70" s="4" t="s">
        <v>66</v>
      </c>
      <c r="C70" s="10">
        <v>1</v>
      </c>
      <c r="D70" s="10" t="s">
        <v>103</v>
      </c>
      <c r="E70" s="6">
        <v>586615.48</v>
      </c>
      <c r="F70" s="6">
        <f t="shared" ref="F70:F98" si="2">IF(E70="","",C70*E70)</f>
        <v>586615.48</v>
      </c>
    </row>
    <row r="71" spans="1:6" x14ac:dyDescent="0.25">
      <c r="A71" s="12">
        <v>66</v>
      </c>
      <c r="B71" s="4" t="s">
        <v>67</v>
      </c>
      <c r="C71" s="10">
        <v>1</v>
      </c>
      <c r="D71" s="10" t="s">
        <v>103</v>
      </c>
      <c r="E71" s="6">
        <v>586615.48</v>
      </c>
      <c r="F71" s="6">
        <f t="shared" si="2"/>
        <v>586615.48</v>
      </c>
    </row>
    <row r="72" spans="1:6" x14ac:dyDescent="0.25">
      <c r="A72" s="12">
        <v>67</v>
      </c>
      <c r="B72" s="4" t="s">
        <v>68</v>
      </c>
      <c r="C72" s="10">
        <v>1</v>
      </c>
      <c r="D72" s="10" t="s">
        <v>103</v>
      </c>
      <c r="E72" s="6">
        <v>173475.68</v>
      </c>
      <c r="F72" s="6">
        <f t="shared" si="2"/>
        <v>173475.68</v>
      </c>
    </row>
    <row r="73" spans="1:6" x14ac:dyDescent="0.25">
      <c r="A73" s="12">
        <v>68</v>
      </c>
      <c r="B73" s="4" t="s">
        <v>69</v>
      </c>
      <c r="C73" s="10">
        <v>1</v>
      </c>
      <c r="D73" s="10" t="s">
        <v>103</v>
      </c>
      <c r="E73" s="6">
        <v>328306.68</v>
      </c>
      <c r="F73" s="6">
        <f t="shared" si="2"/>
        <v>328306.68</v>
      </c>
    </row>
    <row r="74" spans="1:6" x14ac:dyDescent="0.25">
      <c r="A74" s="12">
        <v>69</v>
      </c>
      <c r="B74" s="4" t="s">
        <v>70</v>
      </c>
      <c r="C74" s="10">
        <v>1</v>
      </c>
      <c r="D74" s="10" t="s">
        <v>103</v>
      </c>
      <c r="E74" s="6">
        <v>323546.03999999998</v>
      </c>
      <c r="F74" s="6">
        <f t="shared" si="2"/>
        <v>323546.03999999998</v>
      </c>
    </row>
    <row r="75" spans="1:6" x14ac:dyDescent="0.25">
      <c r="A75" s="12">
        <v>70</v>
      </c>
      <c r="B75" s="4" t="s">
        <v>71</v>
      </c>
      <c r="C75" s="10">
        <v>1</v>
      </c>
      <c r="D75" s="10" t="s">
        <v>103</v>
      </c>
      <c r="E75" s="6">
        <v>192517.08</v>
      </c>
      <c r="F75" s="6">
        <f t="shared" si="2"/>
        <v>192517.08</v>
      </c>
    </row>
    <row r="76" spans="1:6" x14ac:dyDescent="0.25">
      <c r="A76" s="12">
        <v>71</v>
      </c>
      <c r="B76" s="4" t="s">
        <v>72</v>
      </c>
      <c r="C76" s="10">
        <v>1</v>
      </c>
      <c r="D76" s="10" t="s">
        <v>103</v>
      </c>
      <c r="E76" s="6">
        <v>144574.28</v>
      </c>
      <c r="F76" s="6">
        <f t="shared" si="2"/>
        <v>144574.28</v>
      </c>
    </row>
    <row r="77" spans="1:6" x14ac:dyDescent="0.25">
      <c r="A77" s="12">
        <v>72</v>
      </c>
      <c r="B77" s="4" t="s">
        <v>73</v>
      </c>
      <c r="C77" s="10">
        <v>1</v>
      </c>
      <c r="D77" s="10" t="s">
        <v>103</v>
      </c>
      <c r="E77" s="6">
        <v>245890.99999999997</v>
      </c>
      <c r="F77" s="6">
        <f t="shared" si="2"/>
        <v>245890.99999999997</v>
      </c>
    </row>
    <row r="78" spans="1:6" x14ac:dyDescent="0.25">
      <c r="A78" s="12">
        <v>73</v>
      </c>
      <c r="B78" s="4" t="s">
        <v>74</v>
      </c>
      <c r="C78" s="10">
        <v>1</v>
      </c>
      <c r="D78" s="10" t="s">
        <v>103</v>
      </c>
      <c r="E78" s="6">
        <v>141652.24</v>
      </c>
      <c r="F78" s="6">
        <f t="shared" si="2"/>
        <v>141652.24</v>
      </c>
    </row>
    <row r="79" spans="1:6" x14ac:dyDescent="0.25">
      <c r="A79" s="12">
        <v>74</v>
      </c>
      <c r="B79" s="4" t="s">
        <v>75</v>
      </c>
      <c r="C79" s="10">
        <v>1</v>
      </c>
      <c r="D79" s="10" t="s">
        <v>103</v>
      </c>
      <c r="E79" s="6">
        <v>300032.83999999997</v>
      </c>
      <c r="F79" s="6">
        <f t="shared" si="2"/>
        <v>300032.83999999997</v>
      </c>
    </row>
    <row r="80" spans="1:6" x14ac:dyDescent="0.25">
      <c r="A80" s="12">
        <v>75</v>
      </c>
      <c r="B80" s="4" t="s">
        <v>76</v>
      </c>
      <c r="C80" s="10">
        <v>1</v>
      </c>
      <c r="D80" s="10" t="s">
        <v>103</v>
      </c>
      <c r="E80" s="6">
        <v>200187</v>
      </c>
      <c r="F80" s="6">
        <f t="shared" si="2"/>
        <v>200187</v>
      </c>
    </row>
    <row r="81" spans="1:6" x14ac:dyDescent="0.25">
      <c r="A81" s="12">
        <v>76</v>
      </c>
      <c r="B81" s="4" t="s">
        <v>77</v>
      </c>
      <c r="C81" s="10">
        <v>1</v>
      </c>
      <c r="D81" s="10" t="s">
        <v>103</v>
      </c>
      <c r="E81" s="6">
        <v>142348.24</v>
      </c>
      <c r="F81" s="6">
        <f t="shared" si="2"/>
        <v>142348.24</v>
      </c>
    </row>
    <row r="82" spans="1:6" x14ac:dyDescent="0.25">
      <c r="A82" s="12">
        <v>77</v>
      </c>
      <c r="B82" s="4" t="s">
        <v>78</v>
      </c>
      <c r="C82" s="10">
        <v>1</v>
      </c>
      <c r="D82" s="10" t="s">
        <v>103</v>
      </c>
      <c r="E82" s="6">
        <v>227850.68</v>
      </c>
      <c r="F82" s="6">
        <f t="shared" si="2"/>
        <v>227850.68</v>
      </c>
    </row>
    <row r="83" spans="1:6" x14ac:dyDescent="0.25">
      <c r="A83" s="12">
        <v>78</v>
      </c>
      <c r="B83" s="4" t="s">
        <v>79</v>
      </c>
      <c r="C83" s="10">
        <v>1</v>
      </c>
      <c r="D83" s="10" t="s">
        <v>103</v>
      </c>
      <c r="E83" s="6">
        <v>276973.19999999995</v>
      </c>
      <c r="F83" s="6">
        <f t="shared" si="2"/>
        <v>276973.19999999995</v>
      </c>
    </row>
    <row r="84" spans="1:6" x14ac:dyDescent="0.25">
      <c r="A84" s="12">
        <v>79</v>
      </c>
      <c r="B84" s="4" t="s">
        <v>80</v>
      </c>
      <c r="C84" s="10">
        <v>1</v>
      </c>
      <c r="D84" s="10" t="s">
        <v>103</v>
      </c>
      <c r="E84" s="6">
        <v>164069.24</v>
      </c>
      <c r="F84" s="6">
        <f t="shared" si="2"/>
        <v>164069.24</v>
      </c>
    </row>
    <row r="85" spans="1:6" x14ac:dyDescent="0.25">
      <c r="A85" s="12">
        <v>80</v>
      </c>
      <c r="B85" s="4" t="s">
        <v>81</v>
      </c>
      <c r="C85" s="10">
        <v>3</v>
      </c>
      <c r="D85" s="10" t="s">
        <v>103</v>
      </c>
      <c r="E85" s="6">
        <v>75445.239999999991</v>
      </c>
      <c r="F85" s="6">
        <f t="shared" si="2"/>
        <v>226335.71999999997</v>
      </c>
    </row>
    <row r="86" spans="1:6" x14ac:dyDescent="0.25">
      <c r="A86" s="12">
        <v>81</v>
      </c>
      <c r="B86" s="4" t="s">
        <v>82</v>
      </c>
      <c r="C86" s="10">
        <v>2</v>
      </c>
      <c r="D86" s="10" t="s">
        <v>103</v>
      </c>
      <c r="E86" s="6">
        <v>75445.239999999991</v>
      </c>
      <c r="F86" s="6">
        <f t="shared" si="2"/>
        <v>150890.47999999998</v>
      </c>
    </row>
    <row r="87" spans="1:6" x14ac:dyDescent="0.25">
      <c r="A87" s="12">
        <v>82</v>
      </c>
      <c r="B87" s="4" t="s">
        <v>83</v>
      </c>
      <c r="C87" s="10">
        <v>1</v>
      </c>
      <c r="D87" s="10" t="s">
        <v>103</v>
      </c>
      <c r="E87" s="6">
        <v>117874.56</v>
      </c>
      <c r="F87" s="6">
        <f t="shared" si="2"/>
        <v>117874.56</v>
      </c>
    </row>
    <row r="88" spans="1:6" x14ac:dyDescent="0.25">
      <c r="A88" s="12">
        <v>83</v>
      </c>
      <c r="B88" s="4" t="s">
        <v>84</v>
      </c>
      <c r="C88" s="10">
        <v>2</v>
      </c>
      <c r="D88" s="10" t="s">
        <v>103</v>
      </c>
      <c r="E88" s="6">
        <v>75445.239999999991</v>
      </c>
      <c r="F88" s="6">
        <f t="shared" si="2"/>
        <v>150890.47999999998</v>
      </c>
    </row>
    <row r="89" spans="1:6" x14ac:dyDescent="0.25">
      <c r="A89" s="12">
        <v>84</v>
      </c>
      <c r="B89" s="4" t="s">
        <v>85</v>
      </c>
      <c r="C89" s="10">
        <v>1</v>
      </c>
      <c r="D89" s="10" t="s">
        <v>103</v>
      </c>
      <c r="E89" s="6">
        <v>178093.63999999998</v>
      </c>
      <c r="F89" s="6">
        <f t="shared" si="2"/>
        <v>178093.63999999998</v>
      </c>
    </row>
    <row r="90" spans="1:6" x14ac:dyDescent="0.25">
      <c r="A90" s="12">
        <v>85</v>
      </c>
      <c r="B90" s="4" t="s">
        <v>86</v>
      </c>
      <c r="C90" s="10">
        <v>1</v>
      </c>
      <c r="D90" s="10" t="s">
        <v>103</v>
      </c>
      <c r="E90" s="6">
        <v>243306.52</v>
      </c>
      <c r="F90" s="6">
        <f t="shared" si="2"/>
        <v>243306.52</v>
      </c>
    </row>
    <row r="91" spans="1:6" x14ac:dyDescent="0.25">
      <c r="A91" s="12">
        <v>86</v>
      </c>
      <c r="B91" s="4" t="s">
        <v>87</v>
      </c>
      <c r="C91" s="10">
        <v>1</v>
      </c>
      <c r="D91" s="10" t="s">
        <v>103</v>
      </c>
      <c r="E91" s="6">
        <v>190632.08</v>
      </c>
      <c r="F91" s="6">
        <f t="shared" si="2"/>
        <v>190632.08</v>
      </c>
    </row>
    <row r="92" spans="1:6" x14ac:dyDescent="0.25">
      <c r="A92" s="12">
        <v>87</v>
      </c>
      <c r="B92" s="4" t="s">
        <v>88</v>
      </c>
      <c r="C92" s="10">
        <v>1</v>
      </c>
      <c r="D92" s="10" t="s">
        <v>103</v>
      </c>
      <c r="E92" s="6">
        <v>353012.36</v>
      </c>
      <c r="F92" s="6">
        <f t="shared" si="2"/>
        <v>353012.36</v>
      </c>
    </row>
    <row r="93" spans="1:6" x14ac:dyDescent="0.25">
      <c r="A93" s="12">
        <v>88</v>
      </c>
      <c r="B93" s="4" t="s">
        <v>89</v>
      </c>
      <c r="C93" s="10">
        <v>1</v>
      </c>
      <c r="D93" s="10" t="s">
        <v>103</v>
      </c>
      <c r="E93" s="6">
        <v>649475.88</v>
      </c>
      <c r="F93" s="6">
        <f t="shared" si="2"/>
        <v>649475.88</v>
      </c>
    </row>
    <row r="94" spans="1:6" x14ac:dyDescent="0.25">
      <c r="A94" s="12">
        <v>89</v>
      </c>
      <c r="B94" s="4" t="s">
        <v>90</v>
      </c>
      <c r="C94" s="10">
        <v>1</v>
      </c>
      <c r="D94" s="10" t="s">
        <v>103</v>
      </c>
      <c r="E94" s="6">
        <v>422753.87999999995</v>
      </c>
      <c r="F94" s="6">
        <f t="shared" si="2"/>
        <v>422753.87999999995</v>
      </c>
    </row>
    <row r="95" spans="1:6" x14ac:dyDescent="0.25">
      <c r="A95" s="12">
        <v>90</v>
      </c>
      <c r="B95" s="4" t="s">
        <v>91</v>
      </c>
      <c r="C95" s="10">
        <v>1</v>
      </c>
      <c r="D95" s="10" t="s">
        <v>103</v>
      </c>
      <c r="E95" s="6">
        <v>175943</v>
      </c>
      <c r="F95" s="6">
        <f t="shared" si="2"/>
        <v>175943</v>
      </c>
    </row>
    <row r="96" spans="1:6" x14ac:dyDescent="0.25">
      <c r="A96" s="12">
        <v>91</v>
      </c>
      <c r="B96" s="4" t="s">
        <v>92</v>
      </c>
      <c r="C96" s="10">
        <v>1</v>
      </c>
      <c r="D96" s="10" t="s">
        <v>103</v>
      </c>
      <c r="E96" s="6">
        <v>129627.68</v>
      </c>
      <c r="F96" s="6">
        <f t="shared" si="2"/>
        <v>129627.68</v>
      </c>
    </row>
    <row r="97" spans="1:6" x14ac:dyDescent="0.25">
      <c r="A97" s="12">
        <v>92</v>
      </c>
      <c r="B97" s="4" t="s">
        <v>93</v>
      </c>
      <c r="C97" s="10">
        <v>1</v>
      </c>
      <c r="D97" s="10" t="s">
        <v>103</v>
      </c>
      <c r="E97" s="6">
        <v>221025.24</v>
      </c>
      <c r="F97" s="6">
        <f t="shared" si="2"/>
        <v>221025.24</v>
      </c>
    </row>
    <row r="98" spans="1:6" x14ac:dyDescent="0.25">
      <c r="A98" s="12">
        <v>93</v>
      </c>
      <c r="B98" s="4" t="s">
        <v>94</v>
      </c>
      <c r="C98" s="10">
        <v>1</v>
      </c>
      <c r="D98" s="10" t="s">
        <v>103</v>
      </c>
      <c r="E98" s="6">
        <v>65795.199999999997</v>
      </c>
      <c r="F98" s="6">
        <f t="shared" si="2"/>
        <v>65795.199999999997</v>
      </c>
    </row>
    <row r="99" spans="1:6" x14ac:dyDescent="0.25">
      <c r="E99" s="1" t="s">
        <v>104</v>
      </c>
      <c r="F99" s="7">
        <f>SUM(F6:F98)</f>
        <v>43789777.280000024</v>
      </c>
    </row>
    <row r="100" spans="1:6" x14ac:dyDescent="0.25">
      <c r="E100" s="1" t="s">
        <v>97</v>
      </c>
      <c r="F100" s="7">
        <f>0.16*F99</f>
        <v>7006364.3648000043</v>
      </c>
    </row>
    <row r="101" spans="1:6" x14ac:dyDescent="0.25">
      <c r="E101" s="1" t="s">
        <v>104</v>
      </c>
      <c r="F101" s="7">
        <v>43789777.280000024</v>
      </c>
    </row>
    <row r="103" spans="1:6" x14ac:dyDescent="0.25">
      <c r="A103" s="2" t="s">
        <v>105</v>
      </c>
      <c r="C103" s="11" t="s">
        <v>109</v>
      </c>
    </row>
    <row r="104" spans="1:6" x14ac:dyDescent="0.25">
      <c r="A104" s="2" t="s">
        <v>106</v>
      </c>
      <c r="C104" s="11" t="s">
        <v>110</v>
      </c>
    </row>
    <row r="105" spans="1:6" x14ac:dyDescent="0.25">
      <c r="A105" s="2" t="s">
        <v>107</v>
      </c>
      <c r="C105" s="11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2026-09-17T16:14:18Z</dcterms:created>
  <dcterms:modified xsi:type="dcterms:W3CDTF">2026-09-18T13:54:46Z</dcterms:modified>
  <dc:language>en-US</dc:language>
</cp:coreProperties>
</file>