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617 osman kose I grup cnc ile\"/>
    </mc:Choice>
  </mc:AlternateContent>
  <xr:revisionPtr revIDLastSave="0" documentId="13_ncr:1_{EC36FC05-7381-4417-9E36-76FF32EE8F82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yfa2" sheetId="3" r:id="rId1"/>
  </sheets>
  <definedNames>
    <definedName name="_xlnm._FilterDatabase" localSheetId="0">Sayfa2!$A$1:$G$101</definedName>
    <definedName name="saya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10" i="3"/>
  <c r="G11" i="3"/>
  <c r="G12" i="3"/>
  <c r="G13" i="3"/>
  <c r="G14" i="3"/>
  <c r="G15" i="3"/>
  <c r="G16" i="3"/>
  <c r="G17" i="3"/>
  <c r="G18" i="3"/>
  <c r="G19" i="3"/>
  <c r="G20" i="3"/>
  <c r="G21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2" i="3"/>
  <c r="G7" i="3"/>
  <c r="G8" i="3"/>
  <c r="G9" i="3"/>
  <c r="G22" i="3"/>
  <c r="G23" i="3"/>
  <c r="G58" i="3"/>
  <c r="G102" i="3" l="1"/>
</calcChain>
</file>

<file path=xl/sharedStrings.xml><?xml version="1.0" encoding="utf-8"?>
<sst xmlns="http://schemas.openxmlformats.org/spreadsheetml/2006/main" count="307" uniqueCount="105">
  <si>
    <t>Артикул</t>
  </si>
  <si>
    <t>Цена,тг</t>
  </si>
  <si>
    <t>Ед.изм</t>
  </si>
  <si>
    <t>завод из готовитель</t>
  </si>
  <si>
    <t>СУММ.</t>
  </si>
  <si>
    <t>комплект</t>
  </si>
  <si>
    <t>TEKSAN</t>
  </si>
  <si>
    <t>Номенклатура</t>
  </si>
  <si>
    <t>Кол- во</t>
  </si>
  <si>
    <t>ВРУ-Инд. (ЩСП-9 Секция-1) (ЩСП-9 Секция-2)</t>
  </si>
  <si>
    <t>ПР-инд (УКРМ-0,4-10 У3)  10 кВар 5х5 секция 11</t>
  </si>
  <si>
    <t>ЩК (11 секция)</t>
  </si>
  <si>
    <t>ЩО1ж; ЩО2ж (11 секция)</t>
  </si>
  <si>
    <t>ЩАО1ж; ЩАО2ж (11 секция)</t>
  </si>
  <si>
    <t>ЩУ-Т1 (11 секция)</t>
  </si>
  <si>
    <t>ЩС (11 секция)</t>
  </si>
  <si>
    <t>ЯУО 9601-3474 (11 секция)</t>
  </si>
  <si>
    <t>ЩОФ (11 секция)</t>
  </si>
  <si>
    <t>ЩК (12 секция)</t>
  </si>
  <si>
    <t>ЩО3ж (12 секция)</t>
  </si>
  <si>
    <t>ЩАО3ж (12 секция)</t>
  </si>
  <si>
    <t>Шкаф ЯРП-Инд (ЯРВ-100А) 460х250х145  IP31(12 секция)</t>
  </si>
  <si>
    <t>ЩУ-Т1 (12 секция)</t>
  </si>
  <si>
    <t>Щит освещения (ПР) (13 секция)</t>
  </si>
  <si>
    <t>ЩЭ2 (13 секция)</t>
  </si>
  <si>
    <t>ЩК (13 секция)</t>
  </si>
  <si>
    <t>ЩО1ж; ЩО2ж (13 секция)</t>
  </si>
  <si>
    <t>ЩУ-Т1 (13 секция)</t>
  </si>
  <si>
    <t>Шкаф ЯРП-Инд (ЯРВ-100А) 460х250х145  IP31 (13 секция)</t>
  </si>
  <si>
    <t>ЩЭ2 (14 секция)</t>
  </si>
  <si>
    <t>ЩК (14 секция)</t>
  </si>
  <si>
    <t>ЩАО3ж (14 секция)</t>
  </si>
  <si>
    <t>Шкаф ЯРП-Инд (ЯРВ-100А) 460х250х145  IP31 (14 секция)</t>
  </si>
  <si>
    <t>ЩУ-Т1 (14 секция)</t>
  </si>
  <si>
    <t>АВР15-3-1 100А (15 секция)</t>
  </si>
  <si>
    <t>ВРУ-Инд. (ЩСП-15 Секция-1) (ЩСП-15 Секция-2)</t>
  </si>
  <si>
    <t>ПР-инд (УКРМ-0,4-10 У3)  10 кВар 5х5 (15 секция)</t>
  </si>
  <si>
    <t>ЩЭ1 (15 секция)</t>
  </si>
  <si>
    <t>ЩК (15 секция)</t>
  </si>
  <si>
    <t>ЩО1ж (15 секция)</t>
  </si>
  <si>
    <t>ЩО1ж, ЩО2Ж (15 секция)</t>
  </si>
  <si>
    <t>ЩАО1ж, ЩАО2Ж (15 секция)</t>
  </si>
  <si>
    <t>Шкаф ЯРП-Инд (ЯРВ-100А) 460х250х145  IP31 (15 секция)</t>
  </si>
  <si>
    <t>ЩУ-Т1 (15 секция)</t>
  </si>
  <si>
    <t>ЩС (15 секция)</t>
  </si>
  <si>
    <t>Щит освещения (ПР-1) (15 секция)</t>
  </si>
  <si>
    <t>Щит освещения (ПР-3), (ПР-4), (ПР-5), (ПР-6) (15 секция)</t>
  </si>
  <si>
    <t>ЯУО 9601-3474 (15 секция)</t>
  </si>
  <si>
    <t>ЩОФ (15 секция)</t>
  </si>
  <si>
    <t>ЩЭ1 (16 секция)</t>
  </si>
  <si>
    <t>ЩЭ2 (16 секция)</t>
  </si>
  <si>
    <t>ЩК (16 секция)</t>
  </si>
  <si>
    <t>Шкаф ЯРП-Инд (ЯРВ-100А) 460х250х145  IP31 (16 секция)</t>
  </si>
  <si>
    <t>ЩУ-Т1 (16 секция)</t>
  </si>
  <si>
    <t>ВЩж-9 (ВРУ1-13-20УХЛ) (9 секция)</t>
  </si>
  <si>
    <t>РЩж-9 (ВРУ1-13-20УХЛ) (9 секция) Комплектно к ВРУ-Инд (ВЩж-9)  ВРУ1-13-20УХЛ</t>
  </si>
  <si>
    <t>АВР-3-1 100А (9 секция) Комплектно к ВРУ-Инд (ЩСП Секция-1) (ЩСП Секция-2)</t>
  </si>
  <si>
    <t>ПР-инд (УКРМ-0,4-10 У3)  10 кВар 5х5 (9 секция)</t>
  </si>
  <si>
    <t>Щит освещения (ПР) (9 секция)</t>
  </si>
  <si>
    <t>ЩЭ1 (9 секция)</t>
  </si>
  <si>
    <t>ЩЭ2 (9 секция)</t>
  </si>
  <si>
    <t>ЩЭ3 (9 секция)</t>
  </si>
  <si>
    <t>ЩК (9 секция)</t>
  </si>
  <si>
    <t>ЩО1ж; ЩО2ж (9 секция)</t>
  </si>
  <si>
    <t>ЩУ-Т1 (9 секция)</t>
  </si>
  <si>
    <t>ЩЭ1 (10 секция)</t>
  </si>
  <si>
    <t>ЩО3ж (10 секция)</t>
  </si>
  <si>
    <t>ЩАО3ж (10 секция)</t>
  </si>
  <si>
    <t>Шкаф ЯРП-Инд (ЯРВ-100А) 460х250х145  IP31 (10 секция)</t>
  </si>
  <si>
    <t>ЩУ-Т1 (10 секция)</t>
  </si>
  <si>
    <t>ВЩж-11 (ВРУ1-13-20УХЛ) (11 секция)</t>
  </si>
  <si>
    <t>РЩж-11 (ВРУ1-13-20УХЛ) (11 секция)</t>
  </si>
  <si>
    <t>АВР-3-1 100А (11 секция)</t>
  </si>
  <si>
    <t>ВРУ-Инд. (ЩСП-11 Секция-1) (ЩСП-11 Секция-2)  (11 секция)</t>
  </si>
  <si>
    <t>Щит освещения (ПР 11)  (11 секция)</t>
  </si>
  <si>
    <t>ЩЭ1 3сч.  (11 секция)</t>
  </si>
  <si>
    <t>ЩЭ1 4сч.  (11 секция)</t>
  </si>
  <si>
    <t>Шкаф ЯРП-Инд (ЯРВ-100А) 460х250х145  IP31  (11 секция)</t>
  </si>
  <si>
    <t>ВЩО-11 (ВРУ-8504-3ВП-5-25-0-30)  (11 секция)</t>
  </si>
  <si>
    <t>РЩО-11 (ВРУ-8504-3ВП-5-25-0-30)  (11 секция)</t>
  </si>
  <si>
    <t>Щит освещения (ПР-1)  (11 секция)</t>
  </si>
  <si>
    <t>ЩЭ1 4сч.  (12 секция)</t>
  </si>
  <si>
    <t>ЩЭ2 5сч. (12 секция)</t>
  </si>
  <si>
    <t>ВЩж-13 (ВРУ1-13-20УХЛ) (13 секция)</t>
  </si>
  <si>
    <t xml:space="preserve">РЩж-13 (ВРУ1-13-20УХЛ) (13 секция) </t>
  </si>
  <si>
    <t>АВР-3-1 100А (13 секция) Комплектно к ВРУ-Инд (ЩСП Секция-1) (ЩСП Секция-2)</t>
  </si>
  <si>
    <t>ПР-инд (УКРМ-0,4-10 У3)  10 кВар 5х5 (13 секция)</t>
  </si>
  <si>
    <t>ЩЭ1 4 сч. (13 секция)</t>
  </si>
  <si>
    <t>ЩЭ1 4 сч. (14 секция)</t>
  </si>
  <si>
    <t>ВЩж-15 (ВРУ1-13-20УХЛ) (15 секция)</t>
  </si>
  <si>
    <t>РЩж-15 (ВРУ1-13-20УХЛ) (15 секция)</t>
  </si>
  <si>
    <t>ВЩО-15 (ВРУ-8504-3ВП-5-25-0-30) (15 секция)</t>
  </si>
  <si>
    <t>РЩО-15 (ВРУ-8504-3ВП-5-25-0-30) (15 секция)</t>
  </si>
  <si>
    <t>ЩАО3ж (16 секция)</t>
  </si>
  <si>
    <t>ЩАО1ж; ЩАО2ж (9 секция)</t>
  </si>
  <si>
    <t>Шкаф ЯРП-Инд (ЯРВ-100А) 460х250х145  IP31</t>
  </si>
  <si>
    <t>ЩЭ2 (10 секция)</t>
  </si>
  <si>
    <t>ЩК (10 секция)</t>
  </si>
  <si>
    <t>Щит освещения (ПР-2, ПР-4) (11 секция)</t>
  </si>
  <si>
    <t>Щит освещения (ПР-3)  (11 секция)</t>
  </si>
  <si>
    <t>ВРУ-Инд. (ЩСП-13 Секция-1) (ЩСП-13 Секция-2) (13 секция)</t>
  </si>
  <si>
    <t>ЩАО1ж; ЩАО2ж (13 секция)</t>
  </si>
  <si>
    <t>ЩО3ж (14 секция)</t>
  </si>
  <si>
    <t>Щит освещения (ПР 15) (15 секция)</t>
  </si>
  <si>
    <t>ЩО3ж (16 секция)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</si>
</sst>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6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6" fillId="3" borderId="1" xfId="1" applyNumberFormat="1" applyFont="1" applyFill="1" applyBorder="1" applyAlignment="1" applyProtection="1">
      <alignment horizontal="center" vertical="center" wrapText="1"/>
    </xf>
    <xf numFmtId="165" fontId="6" fillId="3" borderId="1" xfId="1" applyNumberFormat="1" applyFont="1" applyFill="1" applyBorder="1" applyAlignment="1" applyProtection="1">
      <alignment horizontal="center" vertical="center"/>
    </xf>
    <xf numFmtId="0" fontId="6" fillId="3" borderId="1" xfId="1" applyNumberFormat="1" applyFont="1" applyFill="1" applyBorder="1" applyAlignment="1" applyProtection="1">
      <alignment horizontal="center" vertical="center"/>
    </xf>
    <xf numFmtId="165" fontId="6" fillId="3" borderId="1" xfId="1" applyNumberFormat="1" applyFont="1" applyFill="1" applyBorder="1" applyAlignment="1" applyProtection="1">
      <alignment horizontal="center" vertical="center" wrapText="1"/>
    </xf>
    <xf numFmtId="0" fontId="6" fillId="3" borderId="1" xfId="1" applyNumberFormat="1" applyFont="1" applyFill="1" applyBorder="1" applyAlignment="1" applyProtection="1">
      <alignment horizontal="center" vertical="center" wrapText="1"/>
    </xf>
    <xf numFmtId="3" fontId="6" fillId="2" borderId="1" xfId="1" applyNumberFormat="1" applyFont="1" applyFill="1" applyBorder="1" applyAlignment="1" applyProtection="1">
      <alignment horizontal="center" vertical="center" wrapText="1"/>
    </xf>
    <xf numFmtId="3" fontId="0" fillId="0" borderId="0" xfId="0" applyNumberFormat="1"/>
    <xf numFmtId="3" fontId="7" fillId="4" borderId="0" xfId="0" applyNumberFormat="1" applyFont="1" applyFill="1"/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C316-B605-4117-A256-9C1AFE898F65}">
  <dimension ref="A1:G102"/>
  <sheetViews>
    <sheetView tabSelected="1" workbookViewId="0">
      <selection activeCell="G109" sqref="G109"/>
    </sheetView>
  </sheetViews>
  <sheetFormatPr defaultRowHeight="20.25" customHeight="1" x14ac:dyDescent="0.25"/>
  <cols>
    <col min="2" max="2" width="59.140625" customWidth="1"/>
    <col min="5" max="5" width="15.7109375" customWidth="1"/>
    <col min="7" max="7" width="15.42578125" style="10" bestFit="1" customWidth="1"/>
  </cols>
  <sheetData>
    <row r="1" spans="1:7" ht="33.75" customHeight="1" x14ac:dyDescent="0.25">
      <c r="A1" s="1" t="s">
        <v>0</v>
      </c>
      <c r="B1" s="1" t="s">
        <v>7</v>
      </c>
      <c r="C1" s="2" t="s">
        <v>8</v>
      </c>
      <c r="D1" s="2" t="s">
        <v>2</v>
      </c>
      <c r="E1" s="2" t="s">
        <v>3</v>
      </c>
      <c r="F1" s="1" t="s">
        <v>1</v>
      </c>
      <c r="G1" s="9" t="s">
        <v>4</v>
      </c>
    </row>
    <row r="2" spans="1:7" ht="20.25" customHeight="1" x14ac:dyDescent="0.25">
      <c r="A2" s="8"/>
      <c r="B2" s="3" t="s">
        <v>16</v>
      </c>
      <c r="C2" s="6">
        <v>1</v>
      </c>
      <c r="D2" s="7" t="s">
        <v>5</v>
      </c>
      <c r="E2" s="3" t="s">
        <v>6</v>
      </c>
      <c r="F2" s="5">
        <v>152249.99999999997</v>
      </c>
      <c r="G2" s="4">
        <f>F2*C2</f>
        <v>152249.99999999997</v>
      </c>
    </row>
    <row r="3" spans="1:7" ht="20.25" customHeight="1" x14ac:dyDescent="0.25">
      <c r="A3" s="8"/>
      <c r="B3" s="3" t="s">
        <v>17</v>
      </c>
      <c r="C3" s="6">
        <v>1</v>
      </c>
      <c r="D3" s="7" t="s">
        <v>5</v>
      </c>
      <c r="E3" s="3" t="s">
        <v>6</v>
      </c>
      <c r="F3" s="5">
        <v>117250</v>
      </c>
      <c r="G3" s="4">
        <f>F3*C3</f>
        <v>117250</v>
      </c>
    </row>
    <row r="4" spans="1:7" ht="20.25" customHeight="1" x14ac:dyDescent="0.25">
      <c r="A4" s="8"/>
      <c r="B4" s="3" t="s">
        <v>47</v>
      </c>
      <c r="C4" s="6">
        <v>1</v>
      </c>
      <c r="D4" s="7" t="s">
        <v>5</v>
      </c>
      <c r="E4" s="3" t="s">
        <v>6</v>
      </c>
      <c r="F4" s="5">
        <v>152249.99999999997</v>
      </c>
      <c r="G4" s="4">
        <f>F4*C4</f>
        <v>152249.99999999997</v>
      </c>
    </row>
    <row r="5" spans="1:7" ht="20.25" customHeight="1" x14ac:dyDescent="0.25">
      <c r="A5" s="8"/>
      <c r="B5" s="3" t="s">
        <v>48</v>
      </c>
      <c r="C5" s="6">
        <v>1</v>
      </c>
      <c r="D5" s="7" t="s">
        <v>5</v>
      </c>
      <c r="E5" s="3" t="s">
        <v>6</v>
      </c>
      <c r="F5" s="5">
        <v>117250</v>
      </c>
      <c r="G5" s="4">
        <f>F5*C5</f>
        <v>117250</v>
      </c>
    </row>
    <row r="6" spans="1:7" ht="20.25" customHeight="1" x14ac:dyDescent="0.25">
      <c r="A6" s="8"/>
      <c r="B6" s="3" t="s">
        <v>54</v>
      </c>
      <c r="C6" s="6">
        <v>1</v>
      </c>
      <c r="D6" s="7" t="s">
        <v>5</v>
      </c>
      <c r="E6" s="3" t="s">
        <v>6</v>
      </c>
      <c r="F6" s="5">
        <v>564375</v>
      </c>
      <c r="G6" s="4">
        <f>F6*C6</f>
        <v>564375</v>
      </c>
    </row>
    <row r="7" spans="1:7" ht="20.25" customHeight="1" x14ac:dyDescent="0.25">
      <c r="A7" s="8"/>
      <c r="B7" s="3" t="s">
        <v>55</v>
      </c>
      <c r="C7" s="6">
        <v>1</v>
      </c>
      <c r="D7" s="7" t="s">
        <v>5</v>
      </c>
      <c r="E7" s="3" t="s">
        <v>6</v>
      </c>
      <c r="F7" s="5">
        <v>462875</v>
      </c>
      <c r="G7" s="4">
        <f>F7*C7</f>
        <v>462875</v>
      </c>
    </row>
    <row r="8" spans="1:7" ht="20.25" customHeight="1" x14ac:dyDescent="0.25">
      <c r="A8" s="8"/>
      <c r="B8" s="3" t="s">
        <v>56</v>
      </c>
      <c r="C8" s="6">
        <v>1</v>
      </c>
      <c r="D8" s="7" t="s">
        <v>5</v>
      </c>
      <c r="E8" s="3" t="s">
        <v>6</v>
      </c>
      <c r="F8" s="5">
        <v>849625</v>
      </c>
      <c r="G8" s="4">
        <f>F8*C8</f>
        <v>849625</v>
      </c>
    </row>
    <row r="9" spans="1:7" ht="20.25" customHeight="1" x14ac:dyDescent="0.25">
      <c r="A9" s="8"/>
      <c r="B9" s="3" t="s">
        <v>9</v>
      </c>
      <c r="C9" s="6">
        <v>1</v>
      </c>
      <c r="D9" s="7" t="s">
        <v>5</v>
      </c>
      <c r="E9" s="3" t="s">
        <v>6</v>
      </c>
      <c r="F9" s="5">
        <v>380625</v>
      </c>
      <c r="G9" s="4">
        <f>F9*C9</f>
        <v>380625</v>
      </c>
    </row>
    <row r="10" spans="1:7" ht="20.25" customHeight="1" x14ac:dyDescent="0.25">
      <c r="A10" s="8"/>
      <c r="B10" s="3" t="s">
        <v>57</v>
      </c>
      <c r="C10" s="6">
        <v>1</v>
      </c>
      <c r="D10" s="7" t="s">
        <v>5</v>
      </c>
      <c r="E10" s="3" t="s">
        <v>6</v>
      </c>
      <c r="F10" s="5">
        <v>366625</v>
      </c>
      <c r="G10" s="4">
        <f>F10*C10</f>
        <v>366625</v>
      </c>
    </row>
    <row r="11" spans="1:7" ht="20.25" customHeight="1" x14ac:dyDescent="0.25">
      <c r="A11" s="8"/>
      <c r="B11" s="3" t="s">
        <v>58</v>
      </c>
      <c r="C11" s="6">
        <v>1</v>
      </c>
      <c r="D11" s="7" t="s">
        <v>5</v>
      </c>
      <c r="E11" s="3" t="s">
        <v>6</v>
      </c>
      <c r="F11" s="5">
        <v>89250</v>
      </c>
      <c r="G11" s="4">
        <f>F11*C11</f>
        <v>89250</v>
      </c>
    </row>
    <row r="12" spans="1:7" ht="20.25" customHeight="1" x14ac:dyDescent="0.25">
      <c r="A12" s="8"/>
      <c r="B12" s="3" t="s">
        <v>59</v>
      </c>
      <c r="C12" s="6">
        <v>1</v>
      </c>
      <c r="D12" s="7" t="s">
        <v>5</v>
      </c>
      <c r="E12" s="3" t="s">
        <v>6</v>
      </c>
      <c r="F12" s="5">
        <v>167125</v>
      </c>
      <c r="G12" s="4">
        <f>F12*C12</f>
        <v>167125</v>
      </c>
    </row>
    <row r="13" spans="1:7" ht="20.25" customHeight="1" x14ac:dyDescent="0.25">
      <c r="A13" s="8"/>
      <c r="B13" s="3" t="s">
        <v>60</v>
      </c>
      <c r="C13" s="6">
        <v>9</v>
      </c>
      <c r="D13" s="7" t="s">
        <v>5</v>
      </c>
      <c r="E13" s="3" t="s">
        <v>6</v>
      </c>
      <c r="F13" s="5">
        <v>171500</v>
      </c>
      <c r="G13" s="4">
        <f>F13*C13</f>
        <v>1543500</v>
      </c>
    </row>
    <row r="14" spans="1:7" ht="20.25" customHeight="1" x14ac:dyDescent="0.25">
      <c r="A14" s="8"/>
      <c r="B14" s="3" t="s">
        <v>61</v>
      </c>
      <c r="C14" s="6">
        <v>8</v>
      </c>
      <c r="D14" s="7" t="s">
        <v>5</v>
      </c>
      <c r="E14" s="3" t="s">
        <v>6</v>
      </c>
      <c r="F14" s="5">
        <v>178500</v>
      </c>
      <c r="G14" s="4">
        <f>F14*C14</f>
        <v>1428000</v>
      </c>
    </row>
    <row r="15" spans="1:7" ht="20.25" customHeight="1" x14ac:dyDescent="0.25">
      <c r="A15" s="8"/>
      <c r="B15" s="3" t="s">
        <v>62</v>
      </c>
      <c r="C15" s="6">
        <v>97</v>
      </c>
      <c r="D15" s="7" t="s">
        <v>5</v>
      </c>
      <c r="E15" s="3" t="s">
        <v>6</v>
      </c>
      <c r="F15" s="5">
        <v>58625</v>
      </c>
      <c r="G15" s="4">
        <f>F15*C15</f>
        <v>5686625</v>
      </c>
    </row>
    <row r="16" spans="1:7" ht="20.25" customHeight="1" x14ac:dyDescent="0.25">
      <c r="A16" s="8"/>
      <c r="B16" s="3" t="s">
        <v>63</v>
      </c>
      <c r="C16" s="6">
        <v>2</v>
      </c>
      <c r="D16" s="7" t="s">
        <v>5</v>
      </c>
      <c r="E16" s="3" t="s">
        <v>6</v>
      </c>
      <c r="F16" s="5">
        <v>44625</v>
      </c>
      <c r="G16" s="4">
        <f>F16*C16</f>
        <v>89250</v>
      </c>
    </row>
    <row r="17" spans="1:7" ht="20.25" customHeight="1" x14ac:dyDescent="0.25">
      <c r="A17" s="8"/>
      <c r="B17" s="3" t="s">
        <v>94</v>
      </c>
      <c r="C17" s="6">
        <v>2</v>
      </c>
      <c r="D17" s="7" t="s">
        <v>5</v>
      </c>
      <c r="E17" s="3" t="s">
        <v>6</v>
      </c>
      <c r="F17" s="5">
        <v>42875</v>
      </c>
      <c r="G17" s="4">
        <f>F17*C17</f>
        <v>85750</v>
      </c>
    </row>
    <row r="18" spans="1:7" ht="20.25" customHeight="1" x14ac:dyDescent="0.25">
      <c r="A18" s="8"/>
      <c r="B18" s="3" t="s">
        <v>95</v>
      </c>
      <c r="C18" s="6">
        <v>1</v>
      </c>
      <c r="D18" s="7" t="s">
        <v>5</v>
      </c>
      <c r="E18" s="3" t="s">
        <v>6</v>
      </c>
      <c r="F18" s="5">
        <v>42000</v>
      </c>
      <c r="G18" s="4">
        <f>F18*C18</f>
        <v>42000</v>
      </c>
    </row>
    <row r="19" spans="1:7" ht="20.25" customHeight="1" x14ac:dyDescent="0.25">
      <c r="A19" s="8"/>
      <c r="B19" s="3" t="s">
        <v>64</v>
      </c>
      <c r="C19" s="6">
        <v>1</v>
      </c>
      <c r="D19" s="7" t="s">
        <v>5</v>
      </c>
      <c r="E19" s="3" t="s">
        <v>6</v>
      </c>
      <c r="F19" s="5">
        <v>85750</v>
      </c>
      <c r="G19" s="4">
        <f>F19*C19</f>
        <v>85750</v>
      </c>
    </row>
    <row r="20" spans="1:7" ht="20.25" customHeight="1" x14ac:dyDescent="0.25">
      <c r="A20" s="8"/>
      <c r="B20" s="3" t="s">
        <v>65</v>
      </c>
      <c r="C20" s="6">
        <v>1</v>
      </c>
      <c r="D20" s="7" t="s">
        <v>5</v>
      </c>
      <c r="E20" s="3" t="s">
        <v>6</v>
      </c>
      <c r="F20" s="5">
        <v>167125</v>
      </c>
      <c r="G20" s="4">
        <f>F20*C20</f>
        <v>167125</v>
      </c>
    </row>
    <row r="21" spans="1:7" ht="20.25" customHeight="1" x14ac:dyDescent="0.25">
      <c r="A21" s="8"/>
      <c r="B21" s="3" t="s">
        <v>96</v>
      </c>
      <c r="C21" s="6">
        <v>8</v>
      </c>
      <c r="D21" s="7" t="s">
        <v>5</v>
      </c>
      <c r="E21" s="3" t="s">
        <v>6</v>
      </c>
      <c r="F21" s="5">
        <v>171500</v>
      </c>
      <c r="G21" s="4">
        <f>F21*C21</f>
        <v>1372000</v>
      </c>
    </row>
    <row r="22" spans="1:7" ht="20.25" customHeight="1" x14ac:dyDescent="0.25">
      <c r="A22" s="8"/>
      <c r="B22" s="3" t="s">
        <v>97</v>
      </c>
      <c r="C22" s="6">
        <v>44</v>
      </c>
      <c r="D22" s="7" t="s">
        <v>5</v>
      </c>
      <c r="E22" s="3" t="s">
        <v>6</v>
      </c>
      <c r="F22" s="5">
        <v>58625</v>
      </c>
      <c r="G22" s="4">
        <f>F22*C22</f>
        <v>2579500</v>
      </c>
    </row>
    <row r="23" spans="1:7" ht="20.25" customHeight="1" x14ac:dyDescent="0.25">
      <c r="A23" s="8"/>
      <c r="B23" s="3" t="s">
        <v>66</v>
      </c>
      <c r="C23" s="6">
        <v>1</v>
      </c>
      <c r="D23" s="7" t="s">
        <v>5</v>
      </c>
      <c r="E23" s="3" t="s">
        <v>6</v>
      </c>
      <c r="F23" s="5">
        <v>44625</v>
      </c>
      <c r="G23" s="4">
        <f>F23*C23</f>
        <v>44625</v>
      </c>
    </row>
    <row r="24" spans="1:7" ht="20.25" customHeight="1" x14ac:dyDescent="0.25">
      <c r="A24" s="8"/>
      <c r="B24" s="3" t="s">
        <v>67</v>
      </c>
      <c r="C24" s="6">
        <v>1</v>
      </c>
      <c r="D24" s="7" t="s">
        <v>5</v>
      </c>
      <c r="E24" s="3" t="s">
        <v>6</v>
      </c>
      <c r="F24" s="5">
        <v>42000</v>
      </c>
      <c r="G24" s="4">
        <f>F24*C24</f>
        <v>42000</v>
      </c>
    </row>
    <row r="25" spans="1:7" ht="20.25" customHeight="1" x14ac:dyDescent="0.25">
      <c r="A25" s="8"/>
      <c r="B25" s="3" t="s">
        <v>68</v>
      </c>
      <c r="C25" s="6">
        <v>1</v>
      </c>
      <c r="D25" s="7" t="s">
        <v>5</v>
      </c>
      <c r="E25" s="3" t="s">
        <v>6</v>
      </c>
      <c r="F25" s="5">
        <v>42000</v>
      </c>
      <c r="G25" s="4">
        <f>F25*C25</f>
        <v>42000</v>
      </c>
    </row>
    <row r="26" spans="1:7" ht="20.25" customHeight="1" x14ac:dyDescent="0.25">
      <c r="A26" s="8"/>
      <c r="B26" s="3" t="s">
        <v>69</v>
      </c>
      <c r="C26" s="6">
        <v>1</v>
      </c>
      <c r="D26" s="7" t="s">
        <v>5</v>
      </c>
      <c r="E26" s="3" t="s">
        <v>6</v>
      </c>
      <c r="F26" s="5">
        <v>85750</v>
      </c>
      <c r="G26" s="4">
        <f>F26*C26</f>
        <v>85750</v>
      </c>
    </row>
    <row r="27" spans="1:7" ht="20.25" customHeight="1" x14ac:dyDescent="0.25">
      <c r="A27" s="8"/>
      <c r="B27" s="3" t="s">
        <v>70</v>
      </c>
      <c r="C27" s="6">
        <v>1</v>
      </c>
      <c r="D27" s="7" t="s">
        <v>5</v>
      </c>
      <c r="E27" s="3" t="s">
        <v>6</v>
      </c>
      <c r="F27" s="5">
        <v>564375</v>
      </c>
      <c r="G27" s="4">
        <f>F27*C27</f>
        <v>564375</v>
      </c>
    </row>
    <row r="28" spans="1:7" ht="20.25" customHeight="1" x14ac:dyDescent="0.25">
      <c r="A28" s="8"/>
      <c r="B28" s="3" t="s">
        <v>71</v>
      </c>
      <c r="C28" s="6">
        <v>1</v>
      </c>
      <c r="D28" s="7" t="s">
        <v>5</v>
      </c>
      <c r="E28" s="3" t="s">
        <v>6</v>
      </c>
      <c r="F28" s="5">
        <v>456750</v>
      </c>
      <c r="G28" s="4">
        <f>F28*C28</f>
        <v>456750</v>
      </c>
    </row>
    <row r="29" spans="1:7" ht="20.25" customHeight="1" x14ac:dyDescent="0.25">
      <c r="A29" s="8"/>
      <c r="B29" s="3" t="s">
        <v>72</v>
      </c>
      <c r="C29" s="6">
        <v>1</v>
      </c>
      <c r="D29" s="7" t="s">
        <v>5</v>
      </c>
      <c r="E29" s="3" t="s">
        <v>6</v>
      </c>
      <c r="F29" s="5">
        <v>810250</v>
      </c>
      <c r="G29" s="4">
        <f>F29*C29</f>
        <v>810250</v>
      </c>
    </row>
    <row r="30" spans="1:7" ht="20.25" customHeight="1" x14ac:dyDescent="0.25">
      <c r="A30" s="8"/>
      <c r="B30" s="3" t="s">
        <v>73</v>
      </c>
      <c r="C30" s="6">
        <v>1</v>
      </c>
      <c r="D30" s="7" t="s">
        <v>5</v>
      </c>
      <c r="E30" s="3" t="s">
        <v>6</v>
      </c>
      <c r="F30" s="5">
        <v>386750</v>
      </c>
      <c r="G30" s="4">
        <f>F30*C30</f>
        <v>386750</v>
      </c>
    </row>
    <row r="31" spans="1:7" ht="20.25" customHeight="1" x14ac:dyDescent="0.25">
      <c r="A31" s="8"/>
      <c r="B31" s="3" t="s">
        <v>10</v>
      </c>
      <c r="C31" s="6">
        <v>1</v>
      </c>
      <c r="D31" s="7" t="s">
        <v>5</v>
      </c>
      <c r="E31" s="3" t="s">
        <v>6</v>
      </c>
      <c r="F31" s="5">
        <v>366625</v>
      </c>
      <c r="G31" s="4">
        <f>F31*C31</f>
        <v>366625</v>
      </c>
    </row>
    <row r="32" spans="1:7" ht="20.25" customHeight="1" x14ac:dyDescent="0.25">
      <c r="A32" s="8"/>
      <c r="B32" s="3" t="s">
        <v>74</v>
      </c>
      <c r="C32" s="6">
        <v>1</v>
      </c>
      <c r="D32" s="7" t="s">
        <v>5</v>
      </c>
      <c r="E32" s="3" t="s">
        <v>6</v>
      </c>
      <c r="F32" s="5">
        <v>129500</v>
      </c>
      <c r="G32" s="4">
        <f>F32*C32</f>
        <v>129500</v>
      </c>
    </row>
    <row r="33" spans="1:7" ht="20.25" customHeight="1" x14ac:dyDescent="0.25">
      <c r="A33" s="8"/>
      <c r="B33" s="3" t="s">
        <v>75</v>
      </c>
      <c r="C33" s="6">
        <v>1</v>
      </c>
      <c r="D33" s="7" t="s">
        <v>5</v>
      </c>
      <c r="E33" s="3" t="s">
        <v>6</v>
      </c>
      <c r="F33" s="5">
        <v>160124.99999999997</v>
      </c>
      <c r="G33" s="4">
        <f>F33*C33</f>
        <v>160124.99999999997</v>
      </c>
    </row>
    <row r="34" spans="1:7" ht="20.25" customHeight="1" x14ac:dyDescent="0.25">
      <c r="A34" s="8"/>
      <c r="B34" s="3" t="s">
        <v>76</v>
      </c>
      <c r="C34" s="6">
        <v>9</v>
      </c>
      <c r="D34" s="7" t="s">
        <v>5</v>
      </c>
      <c r="E34" s="3" t="s">
        <v>6</v>
      </c>
      <c r="F34" s="5">
        <v>167125</v>
      </c>
      <c r="G34" s="4">
        <f>F34*C34</f>
        <v>1504125</v>
      </c>
    </row>
    <row r="35" spans="1:7" ht="20.25" customHeight="1" x14ac:dyDescent="0.25">
      <c r="A35" s="8"/>
      <c r="B35" s="3" t="s">
        <v>11</v>
      </c>
      <c r="C35" s="6">
        <v>56</v>
      </c>
      <c r="D35" s="7" t="s">
        <v>5</v>
      </c>
      <c r="E35" s="3" t="s">
        <v>6</v>
      </c>
      <c r="F35" s="5">
        <v>58625</v>
      </c>
      <c r="G35" s="4">
        <f>F35*C35</f>
        <v>3283000</v>
      </c>
    </row>
    <row r="36" spans="1:7" ht="20.25" customHeight="1" x14ac:dyDescent="0.25">
      <c r="A36" s="8"/>
      <c r="B36" s="3" t="s">
        <v>12</v>
      </c>
      <c r="C36" s="6">
        <v>2</v>
      </c>
      <c r="D36" s="7" t="s">
        <v>5</v>
      </c>
      <c r="E36" s="3" t="s">
        <v>6</v>
      </c>
      <c r="F36" s="5">
        <v>43750</v>
      </c>
      <c r="G36" s="4">
        <f>F36*C36</f>
        <v>87500</v>
      </c>
    </row>
    <row r="37" spans="1:7" ht="20.25" customHeight="1" x14ac:dyDescent="0.25">
      <c r="A37" s="8"/>
      <c r="B37" s="3" t="s">
        <v>13</v>
      </c>
      <c r="C37" s="6">
        <v>2</v>
      </c>
      <c r="D37" s="7" t="s">
        <v>5</v>
      </c>
      <c r="E37" s="3" t="s">
        <v>6</v>
      </c>
      <c r="F37" s="5">
        <v>42000</v>
      </c>
      <c r="G37" s="4">
        <f>F37*C37</f>
        <v>84000</v>
      </c>
    </row>
    <row r="38" spans="1:7" ht="20.25" customHeight="1" x14ac:dyDescent="0.25">
      <c r="A38" s="8"/>
      <c r="B38" s="3" t="s">
        <v>77</v>
      </c>
      <c r="C38" s="6">
        <v>1</v>
      </c>
      <c r="D38" s="7" t="s">
        <v>5</v>
      </c>
      <c r="E38" s="3" t="s">
        <v>6</v>
      </c>
      <c r="F38" s="5">
        <v>42000</v>
      </c>
      <c r="G38" s="4">
        <f>F38*C38</f>
        <v>42000</v>
      </c>
    </row>
    <row r="39" spans="1:7" ht="20.25" customHeight="1" x14ac:dyDescent="0.25">
      <c r="A39" s="8"/>
      <c r="B39" s="3" t="s">
        <v>14</v>
      </c>
      <c r="C39" s="6">
        <v>1</v>
      </c>
      <c r="D39" s="7" t="s">
        <v>5</v>
      </c>
      <c r="E39" s="3" t="s">
        <v>6</v>
      </c>
      <c r="F39" s="5">
        <v>85750</v>
      </c>
      <c r="G39" s="4">
        <f>F39*C39</f>
        <v>85750</v>
      </c>
    </row>
    <row r="40" spans="1:7" ht="20.25" customHeight="1" x14ac:dyDescent="0.25">
      <c r="A40" s="8"/>
      <c r="B40" s="3" t="s">
        <v>15</v>
      </c>
      <c r="C40" s="6">
        <v>1</v>
      </c>
      <c r="D40" s="7" t="s">
        <v>5</v>
      </c>
      <c r="E40" s="3" t="s">
        <v>6</v>
      </c>
      <c r="F40" s="5">
        <v>78749.999999999985</v>
      </c>
      <c r="G40" s="4">
        <f>F40*C40</f>
        <v>78749.999999999985</v>
      </c>
    </row>
    <row r="41" spans="1:7" ht="20.25" customHeight="1" x14ac:dyDescent="0.25">
      <c r="A41" s="8"/>
      <c r="B41" s="3" t="s">
        <v>78</v>
      </c>
      <c r="C41" s="6">
        <v>1</v>
      </c>
      <c r="D41" s="7" t="s">
        <v>5</v>
      </c>
      <c r="E41" s="3" t="s">
        <v>6</v>
      </c>
      <c r="F41" s="5">
        <v>511000</v>
      </c>
      <c r="G41" s="4">
        <f>F41*C41</f>
        <v>511000</v>
      </c>
    </row>
    <row r="42" spans="1:7" ht="20.25" customHeight="1" x14ac:dyDescent="0.25">
      <c r="A42" s="8"/>
      <c r="B42" s="3" t="s">
        <v>79</v>
      </c>
      <c r="C42" s="6">
        <v>1</v>
      </c>
      <c r="D42" s="7" t="s">
        <v>5</v>
      </c>
      <c r="E42" s="3" t="s">
        <v>6</v>
      </c>
      <c r="F42" s="5">
        <v>409500</v>
      </c>
      <c r="G42" s="4">
        <f>F42*C42</f>
        <v>409500</v>
      </c>
    </row>
    <row r="43" spans="1:7" ht="20.25" customHeight="1" x14ac:dyDescent="0.25">
      <c r="A43" s="8"/>
      <c r="B43" s="3" t="s">
        <v>80</v>
      </c>
      <c r="C43" s="6">
        <v>1</v>
      </c>
      <c r="D43" s="7" t="s">
        <v>5</v>
      </c>
      <c r="E43" s="3" t="s">
        <v>6</v>
      </c>
      <c r="F43" s="5">
        <v>51625</v>
      </c>
      <c r="G43" s="4">
        <f>F43*C43</f>
        <v>51625</v>
      </c>
    </row>
    <row r="44" spans="1:7" ht="20.25" customHeight="1" x14ac:dyDescent="0.25">
      <c r="A44" s="8"/>
      <c r="B44" s="3" t="s">
        <v>99</v>
      </c>
      <c r="C44" s="6">
        <v>1</v>
      </c>
      <c r="D44" s="7" t="s">
        <v>5</v>
      </c>
      <c r="E44" s="3" t="s">
        <v>6</v>
      </c>
      <c r="F44" s="5">
        <v>51625</v>
      </c>
      <c r="G44" s="4">
        <f>F44*C44</f>
        <v>51625</v>
      </c>
    </row>
    <row r="45" spans="1:7" ht="20.25" customHeight="1" x14ac:dyDescent="0.25">
      <c r="A45" s="8"/>
      <c r="B45" s="3" t="s">
        <v>98</v>
      </c>
      <c r="C45" s="6">
        <v>2</v>
      </c>
      <c r="D45" s="7" t="s">
        <v>5</v>
      </c>
      <c r="E45" s="3" t="s">
        <v>6</v>
      </c>
      <c r="F45" s="5">
        <v>51625</v>
      </c>
      <c r="G45" s="4">
        <f>F45*C45</f>
        <v>103250</v>
      </c>
    </row>
    <row r="46" spans="1:7" ht="20.25" customHeight="1" x14ac:dyDescent="0.25">
      <c r="A46" s="8"/>
      <c r="B46" s="3" t="s">
        <v>16</v>
      </c>
      <c r="C46" s="6">
        <v>1</v>
      </c>
      <c r="D46" s="7" t="s">
        <v>5</v>
      </c>
      <c r="E46" s="3" t="s">
        <v>6</v>
      </c>
      <c r="F46" s="5">
        <v>152249.99999999997</v>
      </c>
      <c r="G46" s="4">
        <f>F46*C46</f>
        <v>152249.99999999997</v>
      </c>
    </row>
    <row r="47" spans="1:7" ht="20.25" customHeight="1" x14ac:dyDescent="0.25">
      <c r="A47" s="8"/>
      <c r="B47" s="3" t="s">
        <v>17</v>
      </c>
      <c r="C47" s="6">
        <v>1</v>
      </c>
      <c r="D47" s="7" t="s">
        <v>5</v>
      </c>
      <c r="E47" s="3" t="s">
        <v>6</v>
      </c>
      <c r="F47" s="5">
        <v>117250</v>
      </c>
      <c r="G47" s="4">
        <f>F47*C47</f>
        <v>117250</v>
      </c>
    </row>
    <row r="48" spans="1:7" ht="20.25" customHeight="1" x14ac:dyDescent="0.25">
      <c r="A48" s="8"/>
      <c r="B48" s="3" t="s">
        <v>81</v>
      </c>
      <c r="C48" s="6">
        <v>1</v>
      </c>
      <c r="D48" s="7" t="s">
        <v>5</v>
      </c>
      <c r="E48" s="3" t="s">
        <v>6</v>
      </c>
      <c r="F48" s="5">
        <v>167125</v>
      </c>
      <c r="G48" s="4">
        <f>F48*C48</f>
        <v>167125</v>
      </c>
    </row>
    <row r="49" spans="1:7" ht="20.25" customHeight="1" x14ac:dyDescent="0.25">
      <c r="A49" s="8"/>
      <c r="B49" s="3" t="s">
        <v>82</v>
      </c>
      <c r="C49" s="6">
        <v>8</v>
      </c>
      <c r="D49" s="7" t="s">
        <v>5</v>
      </c>
      <c r="E49" s="3" t="s">
        <v>6</v>
      </c>
      <c r="F49" s="5">
        <v>171500</v>
      </c>
      <c r="G49" s="4">
        <f>F49*C49</f>
        <v>1372000</v>
      </c>
    </row>
    <row r="50" spans="1:7" ht="20.25" customHeight="1" x14ac:dyDescent="0.25">
      <c r="A50" s="8"/>
      <c r="B50" s="3" t="s">
        <v>18</v>
      </c>
      <c r="C50" s="6">
        <v>44</v>
      </c>
      <c r="D50" s="7" t="s">
        <v>5</v>
      </c>
      <c r="E50" s="3" t="s">
        <v>6</v>
      </c>
      <c r="F50" s="5">
        <v>58625</v>
      </c>
      <c r="G50" s="4">
        <f>F50*C50</f>
        <v>2579500</v>
      </c>
    </row>
    <row r="51" spans="1:7" ht="20.25" customHeight="1" x14ac:dyDescent="0.25">
      <c r="A51" s="8"/>
      <c r="B51" s="3" t="s">
        <v>19</v>
      </c>
      <c r="C51" s="6">
        <v>1</v>
      </c>
      <c r="D51" s="7" t="s">
        <v>5</v>
      </c>
      <c r="E51" s="3" t="s">
        <v>6</v>
      </c>
      <c r="F51" s="5">
        <v>44625</v>
      </c>
      <c r="G51" s="4">
        <f>F51*C51</f>
        <v>44625</v>
      </c>
    </row>
    <row r="52" spans="1:7" ht="20.25" customHeight="1" x14ac:dyDescent="0.25">
      <c r="A52" s="8"/>
      <c r="B52" s="3" t="s">
        <v>20</v>
      </c>
      <c r="C52" s="6">
        <v>1</v>
      </c>
      <c r="D52" s="7" t="s">
        <v>5</v>
      </c>
      <c r="E52" s="3" t="s">
        <v>6</v>
      </c>
      <c r="F52" s="5">
        <v>42000</v>
      </c>
      <c r="G52" s="4">
        <f>F52*C52</f>
        <v>42000</v>
      </c>
    </row>
    <row r="53" spans="1:7" ht="20.25" customHeight="1" x14ac:dyDescent="0.25">
      <c r="A53" s="8"/>
      <c r="B53" s="3" t="s">
        <v>21</v>
      </c>
      <c r="C53" s="6">
        <v>1</v>
      </c>
      <c r="D53" s="7" t="s">
        <v>5</v>
      </c>
      <c r="E53" s="3" t="s">
        <v>6</v>
      </c>
      <c r="F53" s="5">
        <v>42000</v>
      </c>
      <c r="G53" s="4">
        <f>F53*C53</f>
        <v>42000</v>
      </c>
    </row>
    <row r="54" spans="1:7" ht="20.25" customHeight="1" x14ac:dyDescent="0.25">
      <c r="A54" s="8"/>
      <c r="B54" s="3" t="s">
        <v>22</v>
      </c>
      <c r="C54" s="6">
        <v>1</v>
      </c>
      <c r="D54" s="7" t="s">
        <v>5</v>
      </c>
      <c r="E54" s="3" t="s">
        <v>6</v>
      </c>
      <c r="F54" s="5">
        <v>85750</v>
      </c>
      <c r="G54" s="4">
        <f>F54*C54</f>
        <v>85750</v>
      </c>
    </row>
    <row r="55" spans="1:7" ht="20.25" customHeight="1" x14ac:dyDescent="0.25">
      <c r="A55" s="8"/>
      <c r="B55" s="3" t="s">
        <v>83</v>
      </c>
      <c r="C55" s="6">
        <v>1</v>
      </c>
      <c r="D55" s="7" t="s">
        <v>5</v>
      </c>
      <c r="E55" s="3" t="s">
        <v>6</v>
      </c>
      <c r="F55" s="5">
        <v>580124.99999999988</v>
      </c>
      <c r="G55" s="4">
        <f>F55*C55</f>
        <v>580124.99999999988</v>
      </c>
    </row>
    <row r="56" spans="1:7" ht="20.25" customHeight="1" x14ac:dyDescent="0.25">
      <c r="A56" s="8"/>
      <c r="B56" s="3" t="s">
        <v>84</v>
      </c>
      <c r="C56" s="6">
        <v>1</v>
      </c>
      <c r="D56" s="7" t="s">
        <v>5</v>
      </c>
      <c r="E56" s="3" t="s">
        <v>6</v>
      </c>
      <c r="F56" s="5">
        <v>443625</v>
      </c>
      <c r="G56" s="4">
        <f>F56*C56</f>
        <v>443625</v>
      </c>
    </row>
    <row r="57" spans="1:7" ht="20.25" customHeight="1" x14ac:dyDescent="0.25">
      <c r="A57" s="8"/>
      <c r="B57" s="3" t="s">
        <v>85</v>
      </c>
      <c r="C57" s="6">
        <v>1</v>
      </c>
      <c r="D57" s="7" t="s">
        <v>5</v>
      </c>
      <c r="E57" s="3" t="s">
        <v>6</v>
      </c>
      <c r="F57" s="5">
        <v>849625</v>
      </c>
      <c r="G57" s="4">
        <f>F57*C57</f>
        <v>849625</v>
      </c>
    </row>
    <row r="58" spans="1:7" ht="20.25" customHeight="1" x14ac:dyDescent="0.25">
      <c r="A58" s="8"/>
      <c r="B58" s="3" t="s">
        <v>100</v>
      </c>
      <c r="C58" s="6">
        <v>1</v>
      </c>
      <c r="D58" s="7" t="s">
        <v>5</v>
      </c>
      <c r="E58" s="3" t="s">
        <v>6</v>
      </c>
      <c r="F58" s="5">
        <v>363125</v>
      </c>
      <c r="G58" s="4">
        <f>F58*C58</f>
        <v>363125</v>
      </c>
    </row>
    <row r="59" spans="1:7" ht="20.25" customHeight="1" x14ac:dyDescent="0.25">
      <c r="A59" s="8"/>
      <c r="B59" s="3" t="s">
        <v>86</v>
      </c>
      <c r="C59" s="6">
        <v>1</v>
      </c>
      <c r="D59" s="7" t="s">
        <v>5</v>
      </c>
      <c r="E59" s="3" t="s">
        <v>6</v>
      </c>
      <c r="F59" s="5">
        <v>366625</v>
      </c>
      <c r="G59" s="4">
        <f>F59*C59</f>
        <v>366625</v>
      </c>
    </row>
    <row r="60" spans="1:7" ht="20.25" customHeight="1" x14ac:dyDescent="0.25">
      <c r="A60" s="8"/>
      <c r="B60" s="3" t="s">
        <v>23</v>
      </c>
      <c r="C60" s="6">
        <v>1</v>
      </c>
      <c r="D60" s="7" t="s">
        <v>5</v>
      </c>
      <c r="E60" s="3" t="s">
        <v>6</v>
      </c>
      <c r="F60" s="5">
        <v>91000</v>
      </c>
      <c r="G60" s="4">
        <f>F60*C60</f>
        <v>91000</v>
      </c>
    </row>
    <row r="61" spans="1:7" ht="20.25" customHeight="1" x14ac:dyDescent="0.25">
      <c r="A61" s="8"/>
      <c r="B61" s="3" t="s">
        <v>87</v>
      </c>
      <c r="C61" s="6">
        <v>10</v>
      </c>
      <c r="D61" s="7" t="s">
        <v>5</v>
      </c>
      <c r="E61" s="3" t="s">
        <v>6</v>
      </c>
      <c r="F61" s="5">
        <v>167125</v>
      </c>
      <c r="G61" s="4">
        <f>F61*C61</f>
        <v>1671250</v>
      </c>
    </row>
    <row r="62" spans="1:7" ht="20.25" customHeight="1" x14ac:dyDescent="0.25">
      <c r="A62" s="8"/>
      <c r="B62" s="3" t="s">
        <v>24</v>
      </c>
      <c r="C62" s="6">
        <v>8</v>
      </c>
      <c r="D62" s="7" t="s">
        <v>5</v>
      </c>
      <c r="E62" s="3" t="s">
        <v>6</v>
      </c>
      <c r="F62" s="5">
        <v>171500</v>
      </c>
      <c r="G62" s="4">
        <f>F62*C62</f>
        <v>1372000</v>
      </c>
    </row>
    <row r="63" spans="1:7" ht="20.25" customHeight="1" x14ac:dyDescent="0.25">
      <c r="A63" s="8"/>
      <c r="B63" s="3" t="s">
        <v>25</v>
      </c>
      <c r="C63" s="6">
        <v>80</v>
      </c>
      <c r="D63" s="7" t="s">
        <v>5</v>
      </c>
      <c r="E63" s="3" t="s">
        <v>6</v>
      </c>
      <c r="F63" s="5">
        <v>58625</v>
      </c>
      <c r="G63" s="4">
        <f>F63*C63</f>
        <v>4690000</v>
      </c>
    </row>
    <row r="64" spans="1:7" ht="20.25" customHeight="1" x14ac:dyDescent="0.25">
      <c r="A64" s="8"/>
      <c r="B64" s="3" t="s">
        <v>26</v>
      </c>
      <c r="C64" s="6">
        <v>2</v>
      </c>
      <c r="D64" s="7" t="s">
        <v>5</v>
      </c>
      <c r="E64" s="3" t="s">
        <v>6</v>
      </c>
      <c r="F64" s="5">
        <v>44625</v>
      </c>
      <c r="G64" s="4">
        <f>F64*C64</f>
        <v>89250</v>
      </c>
    </row>
    <row r="65" spans="1:7" ht="20.25" customHeight="1" x14ac:dyDescent="0.25">
      <c r="A65" s="8"/>
      <c r="B65" s="3" t="s">
        <v>101</v>
      </c>
      <c r="C65" s="6">
        <v>2</v>
      </c>
      <c r="D65" s="7" t="s">
        <v>5</v>
      </c>
      <c r="E65" s="3" t="s">
        <v>6</v>
      </c>
      <c r="F65" s="5">
        <v>42875</v>
      </c>
      <c r="G65" s="4">
        <f>F65*C65</f>
        <v>85750</v>
      </c>
    </row>
    <row r="66" spans="1:7" ht="20.25" customHeight="1" x14ac:dyDescent="0.25">
      <c r="A66" s="8"/>
      <c r="B66" s="3" t="s">
        <v>28</v>
      </c>
      <c r="C66" s="6">
        <v>1</v>
      </c>
      <c r="D66" s="7" t="s">
        <v>5</v>
      </c>
      <c r="E66" s="3" t="s">
        <v>6</v>
      </c>
      <c r="F66" s="5">
        <v>42000</v>
      </c>
      <c r="G66" s="4">
        <f>F66*C66</f>
        <v>42000</v>
      </c>
    </row>
    <row r="67" spans="1:7" ht="20.25" customHeight="1" x14ac:dyDescent="0.25">
      <c r="A67" s="8"/>
      <c r="B67" s="3" t="s">
        <v>27</v>
      </c>
      <c r="C67" s="6">
        <v>1</v>
      </c>
      <c r="D67" s="7" t="s">
        <v>5</v>
      </c>
      <c r="E67" s="3" t="s">
        <v>6</v>
      </c>
      <c r="F67" s="5">
        <v>85750</v>
      </c>
      <c r="G67" s="4">
        <f>F67*C67</f>
        <v>85750</v>
      </c>
    </row>
    <row r="68" spans="1:7" ht="20.25" customHeight="1" x14ac:dyDescent="0.25">
      <c r="A68" s="8"/>
      <c r="B68" s="3" t="s">
        <v>88</v>
      </c>
      <c r="C68" s="6">
        <v>1</v>
      </c>
      <c r="D68" s="7" t="s">
        <v>5</v>
      </c>
      <c r="E68" s="3" t="s">
        <v>6</v>
      </c>
      <c r="F68" s="5">
        <v>167125</v>
      </c>
      <c r="G68" s="4">
        <f>F68*C68</f>
        <v>167125</v>
      </c>
    </row>
    <row r="69" spans="1:7" ht="20.25" customHeight="1" x14ac:dyDescent="0.25">
      <c r="A69" s="8"/>
      <c r="B69" s="3" t="s">
        <v>29</v>
      </c>
      <c r="C69" s="6">
        <v>8</v>
      </c>
      <c r="D69" s="7" t="s">
        <v>5</v>
      </c>
      <c r="E69" s="3" t="s">
        <v>6</v>
      </c>
      <c r="F69" s="5">
        <v>171500</v>
      </c>
      <c r="G69" s="4">
        <f>F69*C69</f>
        <v>1372000</v>
      </c>
    </row>
    <row r="70" spans="1:7" ht="20.25" customHeight="1" x14ac:dyDescent="0.25">
      <c r="A70" s="8"/>
      <c r="B70" s="3" t="s">
        <v>30</v>
      </c>
      <c r="C70" s="6">
        <v>44</v>
      </c>
      <c r="D70" s="7" t="s">
        <v>5</v>
      </c>
      <c r="E70" s="3" t="s">
        <v>6</v>
      </c>
      <c r="F70" s="5">
        <v>58625</v>
      </c>
      <c r="G70" s="4">
        <f>F70*C70</f>
        <v>2579500</v>
      </c>
    </row>
    <row r="71" spans="1:7" ht="20.25" customHeight="1" x14ac:dyDescent="0.25">
      <c r="A71" s="8"/>
      <c r="B71" s="3" t="s">
        <v>102</v>
      </c>
      <c r="C71" s="6">
        <v>1</v>
      </c>
      <c r="D71" s="7" t="s">
        <v>5</v>
      </c>
      <c r="E71" s="3" t="s">
        <v>6</v>
      </c>
      <c r="F71" s="5">
        <v>44625</v>
      </c>
      <c r="G71" s="4">
        <f>F71*C71</f>
        <v>44625</v>
      </c>
    </row>
    <row r="72" spans="1:7" ht="20.25" customHeight="1" x14ac:dyDescent="0.25">
      <c r="A72" s="8"/>
      <c r="B72" s="3" t="s">
        <v>31</v>
      </c>
      <c r="C72" s="6">
        <v>1</v>
      </c>
      <c r="D72" s="7" t="s">
        <v>5</v>
      </c>
      <c r="E72" s="3" t="s">
        <v>6</v>
      </c>
      <c r="F72" s="5">
        <v>42000</v>
      </c>
      <c r="G72" s="4">
        <f>F72*C72</f>
        <v>42000</v>
      </c>
    </row>
    <row r="73" spans="1:7" ht="20.25" customHeight="1" x14ac:dyDescent="0.25">
      <c r="A73" s="8"/>
      <c r="B73" s="3" t="s">
        <v>32</v>
      </c>
      <c r="C73" s="6">
        <v>1</v>
      </c>
      <c r="D73" s="7" t="s">
        <v>5</v>
      </c>
      <c r="E73" s="3" t="s">
        <v>6</v>
      </c>
      <c r="F73" s="5">
        <v>42000</v>
      </c>
      <c r="G73" s="4">
        <f>F73*C73</f>
        <v>42000</v>
      </c>
    </row>
    <row r="74" spans="1:7" ht="20.25" customHeight="1" x14ac:dyDescent="0.25">
      <c r="A74" s="8"/>
      <c r="B74" s="3" t="s">
        <v>33</v>
      </c>
      <c r="C74" s="6">
        <v>1</v>
      </c>
      <c r="D74" s="7" t="s">
        <v>5</v>
      </c>
      <c r="E74" s="3" t="s">
        <v>6</v>
      </c>
      <c r="F74" s="5">
        <v>85750</v>
      </c>
      <c r="G74" s="4">
        <f>F74*C74</f>
        <v>85750</v>
      </c>
    </row>
    <row r="75" spans="1:7" ht="20.25" customHeight="1" x14ac:dyDescent="0.25">
      <c r="A75" s="8"/>
      <c r="B75" s="3" t="s">
        <v>89</v>
      </c>
      <c r="C75" s="6">
        <v>1</v>
      </c>
      <c r="D75" s="7" t="s">
        <v>5</v>
      </c>
      <c r="E75" s="3" t="s">
        <v>6</v>
      </c>
      <c r="F75" s="5">
        <v>563500</v>
      </c>
      <c r="G75" s="4">
        <f>F75*C75</f>
        <v>563500</v>
      </c>
    </row>
    <row r="76" spans="1:7" ht="20.25" customHeight="1" x14ac:dyDescent="0.25">
      <c r="A76" s="8"/>
      <c r="B76" s="3" t="s">
        <v>90</v>
      </c>
      <c r="C76" s="6">
        <v>1</v>
      </c>
      <c r="D76" s="7" t="s">
        <v>5</v>
      </c>
      <c r="E76" s="3" t="s">
        <v>6</v>
      </c>
      <c r="F76" s="5">
        <v>469875</v>
      </c>
      <c r="G76" s="4">
        <f>F76*C76</f>
        <v>469875</v>
      </c>
    </row>
    <row r="77" spans="1:7" ht="20.25" customHeight="1" x14ac:dyDescent="0.25">
      <c r="A77" s="8"/>
      <c r="B77" s="3" t="s">
        <v>34</v>
      </c>
      <c r="C77" s="6">
        <v>1</v>
      </c>
      <c r="D77" s="7" t="s">
        <v>5</v>
      </c>
      <c r="E77" s="3" t="s">
        <v>6</v>
      </c>
      <c r="F77" s="5">
        <v>875000</v>
      </c>
      <c r="G77" s="4">
        <f>F77*C77</f>
        <v>875000</v>
      </c>
    </row>
    <row r="78" spans="1:7" ht="20.25" customHeight="1" x14ac:dyDescent="0.25">
      <c r="A78" s="8"/>
      <c r="B78" s="3" t="s">
        <v>35</v>
      </c>
      <c r="C78" s="6">
        <v>1</v>
      </c>
      <c r="D78" s="7" t="s">
        <v>5</v>
      </c>
      <c r="E78" s="3" t="s">
        <v>6</v>
      </c>
      <c r="F78" s="5">
        <v>369250</v>
      </c>
      <c r="G78" s="4">
        <f>F78*C78</f>
        <v>369250</v>
      </c>
    </row>
    <row r="79" spans="1:7" ht="20.25" customHeight="1" x14ac:dyDescent="0.25">
      <c r="A79" s="8"/>
      <c r="B79" s="3" t="s">
        <v>36</v>
      </c>
      <c r="C79" s="6">
        <v>1</v>
      </c>
      <c r="D79" s="7" t="s">
        <v>5</v>
      </c>
      <c r="E79" s="3" t="s">
        <v>6</v>
      </c>
      <c r="F79" s="5">
        <v>366625</v>
      </c>
      <c r="G79" s="4">
        <f>F79*C79</f>
        <v>366625</v>
      </c>
    </row>
    <row r="80" spans="1:7" ht="20.25" customHeight="1" x14ac:dyDescent="0.25">
      <c r="A80" s="8"/>
      <c r="B80" s="3" t="s">
        <v>103</v>
      </c>
      <c r="C80" s="6">
        <v>1</v>
      </c>
      <c r="D80" s="7" t="s">
        <v>5</v>
      </c>
      <c r="E80" s="3" t="s">
        <v>6</v>
      </c>
      <c r="F80" s="5">
        <v>94500</v>
      </c>
      <c r="G80" s="4">
        <f>F80*C80</f>
        <v>94500</v>
      </c>
    </row>
    <row r="81" spans="1:7" ht="20.25" customHeight="1" x14ac:dyDescent="0.25">
      <c r="A81" s="8"/>
      <c r="B81" s="3" t="s">
        <v>37</v>
      </c>
      <c r="C81" s="6">
        <v>16</v>
      </c>
      <c r="D81" s="7" t="s">
        <v>5</v>
      </c>
      <c r="E81" s="3" t="s">
        <v>6</v>
      </c>
      <c r="F81" s="5">
        <v>167125</v>
      </c>
      <c r="G81" s="4">
        <f>F81*C81</f>
        <v>2674000</v>
      </c>
    </row>
    <row r="82" spans="1:7" ht="20.25" customHeight="1" x14ac:dyDescent="0.25">
      <c r="A82" s="8"/>
      <c r="B82" s="3" t="s">
        <v>38</v>
      </c>
      <c r="C82" s="6">
        <v>64</v>
      </c>
      <c r="D82" s="7" t="s">
        <v>5</v>
      </c>
      <c r="E82" s="3" t="s">
        <v>6</v>
      </c>
      <c r="F82" s="5">
        <v>58625</v>
      </c>
      <c r="G82" s="4">
        <f>F82*C82</f>
        <v>3752000</v>
      </c>
    </row>
    <row r="83" spans="1:7" ht="20.25" customHeight="1" x14ac:dyDescent="0.25">
      <c r="A83" s="8"/>
      <c r="B83" s="3" t="s">
        <v>39</v>
      </c>
      <c r="C83" s="6">
        <v>1</v>
      </c>
      <c r="D83" s="7" t="s">
        <v>5</v>
      </c>
      <c r="E83" s="3" t="s">
        <v>6</v>
      </c>
      <c r="F83" s="5">
        <v>48125</v>
      </c>
      <c r="G83" s="4">
        <f>F83*C83</f>
        <v>48125</v>
      </c>
    </row>
    <row r="84" spans="1:7" ht="20.25" customHeight="1" x14ac:dyDescent="0.25">
      <c r="A84" s="8"/>
      <c r="B84" s="3" t="s">
        <v>40</v>
      </c>
      <c r="C84" s="6">
        <v>2</v>
      </c>
      <c r="D84" s="7" t="s">
        <v>5</v>
      </c>
      <c r="E84" s="3" t="s">
        <v>6</v>
      </c>
      <c r="F84" s="5">
        <v>43750</v>
      </c>
      <c r="G84" s="4">
        <f>F84*C84</f>
        <v>87500</v>
      </c>
    </row>
    <row r="85" spans="1:7" ht="20.25" customHeight="1" x14ac:dyDescent="0.25">
      <c r="A85" s="8"/>
      <c r="B85" s="3" t="s">
        <v>41</v>
      </c>
      <c r="C85" s="6">
        <v>2</v>
      </c>
      <c r="D85" s="7" t="s">
        <v>5</v>
      </c>
      <c r="E85" s="3" t="s">
        <v>6</v>
      </c>
      <c r="F85" s="5">
        <v>42000</v>
      </c>
      <c r="G85" s="4">
        <f>F85*C85</f>
        <v>84000</v>
      </c>
    </row>
    <row r="86" spans="1:7" ht="20.25" customHeight="1" x14ac:dyDescent="0.25">
      <c r="A86" s="8"/>
      <c r="B86" s="3" t="s">
        <v>42</v>
      </c>
      <c r="C86" s="6">
        <v>1</v>
      </c>
      <c r="D86" s="7" t="s">
        <v>5</v>
      </c>
      <c r="E86" s="3" t="s">
        <v>6</v>
      </c>
      <c r="F86" s="5">
        <v>42000</v>
      </c>
      <c r="G86" s="4">
        <f>F86*C86</f>
        <v>42000</v>
      </c>
    </row>
    <row r="87" spans="1:7" ht="20.25" customHeight="1" x14ac:dyDescent="0.25">
      <c r="A87" s="8"/>
      <c r="B87" s="3" t="s">
        <v>43</v>
      </c>
      <c r="C87" s="6">
        <v>1</v>
      </c>
      <c r="D87" s="7" t="s">
        <v>5</v>
      </c>
      <c r="E87" s="3" t="s">
        <v>6</v>
      </c>
      <c r="F87" s="5">
        <v>85750</v>
      </c>
      <c r="G87" s="4">
        <f>F87*C87</f>
        <v>85750</v>
      </c>
    </row>
    <row r="88" spans="1:7" ht="20.25" customHeight="1" x14ac:dyDescent="0.25">
      <c r="A88" s="8"/>
      <c r="B88" s="3" t="s">
        <v>44</v>
      </c>
      <c r="C88" s="6">
        <v>1</v>
      </c>
      <c r="D88" s="7" t="s">
        <v>5</v>
      </c>
      <c r="E88" s="3" t="s">
        <v>6</v>
      </c>
      <c r="F88" s="5">
        <v>78749.999999999985</v>
      </c>
      <c r="G88" s="4">
        <f>F88*C88</f>
        <v>78749.999999999985</v>
      </c>
    </row>
    <row r="89" spans="1:7" ht="20.25" customHeight="1" x14ac:dyDescent="0.25">
      <c r="A89" s="8"/>
      <c r="B89" s="3" t="s">
        <v>91</v>
      </c>
      <c r="C89" s="6">
        <v>1</v>
      </c>
      <c r="D89" s="7" t="s">
        <v>5</v>
      </c>
      <c r="E89" s="3" t="s">
        <v>6</v>
      </c>
      <c r="F89" s="5">
        <v>408625</v>
      </c>
      <c r="G89" s="4">
        <f>F89*C89</f>
        <v>408625</v>
      </c>
    </row>
    <row r="90" spans="1:7" ht="20.25" customHeight="1" x14ac:dyDescent="0.25">
      <c r="A90" s="8"/>
      <c r="B90" s="3" t="s">
        <v>92</v>
      </c>
      <c r="C90" s="6">
        <v>1</v>
      </c>
      <c r="D90" s="7" t="s">
        <v>5</v>
      </c>
      <c r="E90" s="3" t="s">
        <v>6</v>
      </c>
      <c r="F90" s="5">
        <v>412125</v>
      </c>
      <c r="G90" s="4">
        <f>F90*C90</f>
        <v>412125</v>
      </c>
    </row>
    <row r="91" spans="1:7" ht="20.25" customHeight="1" x14ac:dyDescent="0.25">
      <c r="A91" s="8"/>
      <c r="B91" s="3" t="s">
        <v>45</v>
      </c>
      <c r="C91" s="6">
        <v>1</v>
      </c>
      <c r="D91" s="7" t="s">
        <v>5</v>
      </c>
      <c r="E91" s="3" t="s">
        <v>6</v>
      </c>
      <c r="F91" s="5">
        <v>110250</v>
      </c>
      <c r="G91" s="4">
        <f>F91*C91</f>
        <v>110250</v>
      </c>
    </row>
    <row r="92" spans="1:7" ht="20.25" customHeight="1" x14ac:dyDescent="0.25">
      <c r="A92" s="8"/>
      <c r="B92" s="3" t="s">
        <v>46</v>
      </c>
      <c r="C92" s="6">
        <v>4</v>
      </c>
      <c r="D92" s="7" t="s">
        <v>5</v>
      </c>
      <c r="E92" s="3" t="s">
        <v>6</v>
      </c>
      <c r="F92" s="5">
        <v>51625</v>
      </c>
      <c r="G92" s="4">
        <f>F92*C92</f>
        <v>206500</v>
      </c>
    </row>
    <row r="93" spans="1:7" ht="20.25" customHeight="1" x14ac:dyDescent="0.25">
      <c r="A93" s="8"/>
      <c r="B93" s="3" t="s">
        <v>47</v>
      </c>
      <c r="C93" s="6">
        <v>1</v>
      </c>
      <c r="D93" s="7" t="s">
        <v>5</v>
      </c>
      <c r="E93" s="3" t="s">
        <v>6</v>
      </c>
      <c r="F93" s="5">
        <v>152249.99999999997</v>
      </c>
      <c r="G93" s="4">
        <f>F93*C93</f>
        <v>152249.99999999997</v>
      </c>
    </row>
    <row r="94" spans="1:7" ht="20.25" customHeight="1" x14ac:dyDescent="0.25">
      <c r="A94" s="8"/>
      <c r="B94" s="3" t="s">
        <v>48</v>
      </c>
      <c r="C94" s="6">
        <v>1</v>
      </c>
      <c r="D94" s="7" t="s">
        <v>5</v>
      </c>
      <c r="E94" s="3" t="s">
        <v>6</v>
      </c>
      <c r="F94" s="5">
        <v>117250</v>
      </c>
      <c r="G94" s="4">
        <f>F94*C94</f>
        <v>117250</v>
      </c>
    </row>
    <row r="95" spans="1:7" ht="20.25" customHeight="1" x14ac:dyDescent="0.25">
      <c r="A95" s="8"/>
      <c r="B95" s="3" t="s">
        <v>49</v>
      </c>
      <c r="C95" s="6">
        <v>1</v>
      </c>
      <c r="D95" s="7" t="s">
        <v>5</v>
      </c>
      <c r="E95" s="3" t="s">
        <v>6</v>
      </c>
      <c r="F95" s="5">
        <v>167125</v>
      </c>
      <c r="G95" s="4">
        <f>F95*C95</f>
        <v>167125</v>
      </c>
    </row>
    <row r="96" spans="1:7" ht="20.25" customHeight="1" x14ac:dyDescent="0.25">
      <c r="A96" s="8"/>
      <c r="B96" s="3" t="s">
        <v>50</v>
      </c>
      <c r="C96" s="6">
        <v>8</v>
      </c>
      <c r="D96" s="7" t="s">
        <v>5</v>
      </c>
      <c r="E96" s="3" t="s">
        <v>6</v>
      </c>
      <c r="F96" s="5">
        <v>171500</v>
      </c>
      <c r="G96" s="4">
        <f>F96*C96</f>
        <v>1372000</v>
      </c>
    </row>
    <row r="97" spans="1:7" ht="20.25" customHeight="1" x14ac:dyDescent="0.25">
      <c r="A97" s="8"/>
      <c r="B97" s="3" t="s">
        <v>51</v>
      </c>
      <c r="C97" s="6">
        <v>44</v>
      </c>
      <c r="D97" s="7" t="s">
        <v>5</v>
      </c>
      <c r="E97" s="3" t="s">
        <v>6</v>
      </c>
      <c r="F97" s="5">
        <v>58625</v>
      </c>
      <c r="G97" s="4">
        <f>F97*C97</f>
        <v>2579500</v>
      </c>
    </row>
    <row r="98" spans="1:7" ht="20.25" customHeight="1" x14ac:dyDescent="0.25">
      <c r="A98" s="8"/>
      <c r="B98" s="3" t="s">
        <v>104</v>
      </c>
      <c r="C98" s="6">
        <v>1</v>
      </c>
      <c r="D98" s="7" t="s">
        <v>5</v>
      </c>
      <c r="E98" s="3" t="s">
        <v>6</v>
      </c>
      <c r="F98" s="5">
        <v>44625</v>
      </c>
      <c r="G98" s="4">
        <f>F98*C98</f>
        <v>44625</v>
      </c>
    </row>
    <row r="99" spans="1:7" ht="20.25" customHeight="1" x14ac:dyDescent="0.25">
      <c r="A99" s="8"/>
      <c r="B99" s="3" t="s">
        <v>93</v>
      </c>
      <c r="C99" s="6">
        <v>1</v>
      </c>
      <c r="D99" s="7" t="s">
        <v>5</v>
      </c>
      <c r="E99" s="3" t="s">
        <v>6</v>
      </c>
      <c r="F99" s="5">
        <v>42000</v>
      </c>
      <c r="G99" s="4">
        <f>F99*C99</f>
        <v>42000</v>
      </c>
    </row>
    <row r="100" spans="1:7" ht="20.25" customHeight="1" x14ac:dyDescent="0.25">
      <c r="A100" s="8"/>
      <c r="B100" s="3" t="s">
        <v>52</v>
      </c>
      <c r="C100" s="6">
        <v>1</v>
      </c>
      <c r="D100" s="7" t="s">
        <v>5</v>
      </c>
      <c r="E100" s="3" t="s">
        <v>6</v>
      </c>
      <c r="F100" s="5">
        <v>42000</v>
      </c>
      <c r="G100" s="4">
        <f>F100*C100</f>
        <v>42000</v>
      </c>
    </row>
    <row r="101" spans="1:7" ht="20.25" customHeight="1" x14ac:dyDescent="0.25">
      <c r="A101" s="8"/>
      <c r="B101" s="3" t="s">
        <v>53</v>
      </c>
      <c r="C101" s="6">
        <v>1</v>
      </c>
      <c r="D101" s="7" t="s">
        <v>5</v>
      </c>
      <c r="E101" s="3" t="s">
        <v>6</v>
      </c>
      <c r="F101" s="5">
        <v>85750</v>
      </c>
      <c r="G101" s="4">
        <f>F101*C101</f>
        <v>85750</v>
      </c>
    </row>
    <row r="102" spans="1:7" ht="20.25" customHeight="1" x14ac:dyDescent="0.35">
      <c r="G102" s="11">
        <f>SUM(G2:G101)</f>
        <v>60876375</v>
      </c>
    </row>
  </sheetData>
  <autoFilter ref="A1:G101" xr:uid="{79D4C316-B605-4117-A256-9C1AFE898F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Sayfa2</vt:lpstr>
      <vt:lpstr>Sayfa2!_VeritabaniniFiltrele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2026-06-23T11:08:57Z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