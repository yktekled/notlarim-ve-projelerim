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7 osman kose I grup cnc ile\"/>
    </mc:Choice>
  </mc:AlternateContent>
  <xr:revisionPtr revIDLastSave="0" documentId="13_ncr:1_{64670922-BF57-4C00-9AFB-58311C3DA25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Sayfa1!$A$1:$J$880</definedName>
    <definedName name="_xlnm._FilterDatabase" localSheetId="1" hidden="1">Sayfa2!$A$1:$I$101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0" i="2" l="1"/>
  <c r="M482" i="2"/>
  <c r="M566" i="2"/>
  <c r="M686" i="2"/>
  <c r="L871" i="2"/>
  <c r="L872" i="2" s="1"/>
  <c r="L869" i="2"/>
  <c r="M869" i="2" s="1"/>
  <c r="L862" i="2"/>
  <c r="L863" i="2" s="1"/>
  <c r="L855" i="2"/>
  <c r="M855" i="2" s="1"/>
  <c r="L846" i="2"/>
  <c r="M846" i="2" s="1"/>
  <c r="L839" i="2"/>
  <c r="L840" i="2" s="1"/>
  <c r="L841" i="2" s="1"/>
  <c r="L832" i="2"/>
  <c r="M832" i="2" s="1"/>
  <c r="L825" i="2"/>
  <c r="L809" i="2"/>
  <c r="M809" i="2" s="1"/>
  <c r="L803" i="2"/>
  <c r="L804" i="2" s="1"/>
  <c r="L797" i="2"/>
  <c r="L798" i="2" s="1"/>
  <c r="L783" i="2"/>
  <c r="M783" i="2" s="1"/>
  <c r="L767" i="2"/>
  <c r="M767" i="2" s="1"/>
  <c r="L758" i="2"/>
  <c r="L759" i="2" s="1"/>
  <c r="L748" i="2"/>
  <c r="M748" i="2" s="1"/>
  <c r="L746" i="2"/>
  <c r="L747" i="2" s="1"/>
  <c r="L739" i="2"/>
  <c r="M739" i="2" s="1"/>
  <c r="L732" i="2"/>
  <c r="M732" i="2" s="1"/>
  <c r="L724" i="2"/>
  <c r="M724" i="2" s="1"/>
  <c r="L715" i="2"/>
  <c r="M715" i="2" s="1"/>
  <c r="L708" i="2"/>
  <c r="M708" i="2" s="1"/>
  <c r="L698" i="2"/>
  <c r="M698" i="2" s="1"/>
  <c r="L696" i="2"/>
  <c r="M696" i="2" s="1"/>
  <c r="L686" i="2"/>
  <c r="L663" i="2"/>
  <c r="M663" i="2" s="1"/>
  <c r="L650" i="2"/>
  <c r="M650" i="2" s="1"/>
  <c r="L634" i="2"/>
  <c r="M634" i="2" s="1"/>
  <c r="L624" i="2"/>
  <c r="M624" i="2" s="1"/>
  <c r="L622" i="2"/>
  <c r="M622" i="2" s="1"/>
  <c r="L615" i="2"/>
  <c r="M615" i="2" s="1"/>
  <c r="L608" i="2"/>
  <c r="L599" i="2"/>
  <c r="L600" i="2" s="1"/>
  <c r="L592" i="2"/>
  <c r="M592" i="2" s="1"/>
  <c r="L585" i="2"/>
  <c r="M585" i="2" s="1"/>
  <c r="L575" i="2"/>
  <c r="M575" i="2" s="1"/>
  <c r="L573" i="2"/>
  <c r="M573" i="2" s="1"/>
  <c r="L566" i="2"/>
  <c r="L559" i="2"/>
  <c r="M559" i="2" s="1"/>
  <c r="L550" i="2"/>
  <c r="L551" i="2" s="1"/>
  <c r="L543" i="2"/>
  <c r="M543" i="2" s="1"/>
  <c r="L536" i="2"/>
  <c r="L537" i="2" s="1"/>
  <c r="L527" i="2"/>
  <c r="M527" i="2" s="1"/>
  <c r="L525" i="2"/>
  <c r="M525" i="2" s="1"/>
  <c r="L515" i="2"/>
  <c r="L494" i="2"/>
  <c r="L482" i="2"/>
  <c r="L483" i="2" s="1"/>
  <c r="L468" i="2"/>
  <c r="M468" i="2" s="1"/>
  <c r="L458" i="2"/>
  <c r="M458" i="2" s="1"/>
  <c r="L456" i="2"/>
  <c r="M456" i="2" s="1"/>
  <c r="L449" i="2"/>
  <c r="M449" i="2" s="1"/>
  <c r="L442" i="2"/>
  <c r="L443" i="2" s="1"/>
  <c r="L433" i="2"/>
  <c r="L434" i="2" s="1"/>
  <c r="L426" i="2"/>
  <c r="M426" i="2" s="1"/>
  <c r="L419" i="2"/>
  <c r="L420" i="2" s="1"/>
  <c r="L421" i="2" s="1"/>
  <c r="L412" i="2"/>
  <c r="M412" i="2" s="1"/>
  <c r="L396" i="2"/>
  <c r="M396" i="2" s="1"/>
  <c r="L390" i="2"/>
  <c r="L391" i="2" s="1"/>
  <c r="L384" i="2"/>
  <c r="M384" i="2" s="1"/>
  <c r="L378" i="2"/>
  <c r="M378" i="2" s="1"/>
  <c r="L364" i="2"/>
  <c r="M364" i="2" s="1"/>
  <c r="L344" i="2"/>
  <c r="M344" i="2" s="1"/>
  <c r="L335" i="2"/>
  <c r="M335" i="2" s="1"/>
  <c r="L325" i="2"/>
  <c r="M325" i="2" s="1"/>
  <c r="L323" i="2"/>
  <c r="M323" i="2" s="1"/>
  <c r="L316" i="2"/>
  <c r="M316" i="2" s="1"/>
  <c r="L309" i="2"/>
  <c r="L310" i="2" s="1"/>
  <c r="L300" i="2"/>
  <c r="M300" i="2" s="1"/>
  <c r="L293" i="2"/>
  <c r="M293" i="2" s="1"/>
  <c r="L286" i="2"/>
  <c r="M286" i="2" s="1"/>
  <c r="L276" i="2"/>
  <c r="M276" i="2" s="1"/>
  <c r="L274" i="2"/>
  <c r="M274" i="2" s="1"/>
  <c r="L264" i="2"/>
  <c r="M264" i="2" s="1"/>
  <c r="L243" i="2"/>
  <c r="M243" i="2" s="1"/>
  <c r="L230" i="2"/>
  <c r="M230" i="2" s="1"/>
  <c r="L219" i="2"/>
  <c r="M219" i="2" s="1"/>
  <c r="L209" i="2"/>
  <c r="M209" i="2" s="1"/>
  <c r="L207" i="2"/>
  <c r="M207" i="2" s="1"/>
  <c r="L200" i="2"/>
  <c r="M200" i="2" s="1"/>
  <c r="L193" i="2"/>
  <c r="M193" i="2" s="1"/>
  <c r="L184" i="2"/>
  <c r="M184" i="2" s="1"/>
  <c r="L177" i="2"/>
  <c r="M177" i="2" s="1"/>
  <c r="L170" i="2"/>
  <c r="M170" i="2" s="1"/>
  <c r="L160" i="2"/>
  <c r="M160" i="2" s="1"/>
  <c r="L158" i="2"/>
  <c r="M158" i="2" s="1"/>
  <c r="L151" i="2"/>
  <c r="M151" i="2" s="1"/>
  <c r="L144" i="2"/>
  <c r="L145" i="2" s="1"/>
  <c r="L135" i="2"/>
  <c r="M135" i="2" s="1"/>
  <c r="L128" i="2"/>
  <c r="M128" i="2" s="1"/>
  <c r="L121" i="2"/>
  <c r="L114" i="2"/>
  <c r="M114" i="2" s="1"/>
  <c r="L105" i="2"/>
  <c r="M105" i="2" s="1"/>
  <c r="L103" i="2"/>
  <c r="M103" i="2" s="1"/>
  <c r="L93" i="2"/>
  <c r="M93" i="2" s="1"/>
  <c r="L72" i="2"/>
  <c r="M72" i="2" s="1"/>
  <c r="L61" i="2"/>
  <c r="M61" i="2" s="1"/>
  <c r="L48" i="2"/>
  <c r="L49" i="2" s="1"/>
  <c r="L41" i="2"/>
  <c r="M41" i="2" s="1"/>
  <c r="L25" i="2"/>
  <c r="M25" i="2" s="1"/>
  <c r="L18" i="2"/>
  <c r="M18" i="2" s="1"/>
  <c r="L2" i="2"/>
  <c r="M2" i="2" s="1"/>
  <c r="M871" i="2" l="1"/>
  <c r="M309" i="2"/>
  <c r="L336" i="2"/>
  <c r="L337" i="2" s="1"/>
  <c r="L338" i="2" s="1"/>
  <c r="L159" i="2"/>
  <c r="M803" i="2"/>
  <c r="M550" i="2"/>
  <c r="M839" i="2"/>
  <c r="M144" i="2"/>
  <c r="L768" i="2"/>
  <c r="L769" i="2" s="1"/>
  <c r="M433" i="2"/>
  <c r="M758" i="2"/>
  <c r="M419" i="2"/>
  <c r="L664" i="2"/>
  <c r="L665" i="2" s="1"/>
  <c r="M746" i="2"/>
  <c r="L484" i="2"/>
  <c r="L826" i="2"/>
  <c r="M825" i="2"/>
  <c r="L609" i="2"/>
  <c r="M608" i="2"/>
  <c r="L495" i="2"/>
  <c r="L496" i="2" s="1"/>
  <c r="M494" i="2"/>
  <c r="L709" i="2"/>
  <c r="L516" i="2"/>
  <c r="L517" i="2" s="1"/>
  <c r="M515" i="2"/>
  <c r="M599" i="2"/>
  <c r="L842" i="2"/>
  <c r="L122" i="2"/>
  <c r="L123" i="2" s="1"/>
  <c r="M121" i="2"/>
  <c r="M536" i="2"/>
  <c r="L560" i="2"/>
  <c r="L561" i="2" s="1"/>
  <c r="M862" i="2"/>
  <c r="M442" i="2"/>
  <c r="M797" i="2"/>
  <c r="M48" i="2"/>
  <c r="L864" i="2"/>
  <c r="L146" i="2"/>
  <c r="L326" i="2"/>
  <c r="L635" i="2"/>
  <c r="L526" i="2"/>
  <c r="L740" i="2"/>
  <c r="L741" i="2" s="1"/>
  <c r="L856" i="2"/>
  <c r="L733" i="2"/>
  <c r="L616" i="2"/>
  <c r="L115" i="2"/>
  <c r="L194" i="2"/>
  <c r="L195" i="2" s="1"/>
  <c r="L528" i="2"/>
  <c r="L623" i="2"/>
  <c r="M623" i="2" s="1"/>
  <c r="L725" i="2"/>
  <c r="L427" i="2"/>
  <c r="L220" i="2"/>
  <c r="L749" i="2"/>
  <c r="L231" i="2"/>
  <c r="L413" i="2"/>
  <c r="L414" i="2" s="1"/>
  <c r="L106" i="2"/>
  <c r="L833" i="2"/>
  <c r="L625" i="2"/>
  <c r="L301" i="2"/>
  <c r="L716" i="2"/>
  <c r="L586" i="2"/>
  <c r="L392" i="2"/>
  <c r="L201" i="2"/>
  <c r="L104" i="2"/>
  <c r="L444" i="2"/>
  <c r="L760" i="2"/>
  <c r="L435" i="2"/>
  <c r="L339" i="2"/>
  <c r="L50" i="2"/>
  <c r="L365" i="2"/>
  <c r="L574" i="2"/>
  <c r="L161" i="2"/>
  <c r="L379" i="2"/>
  <c r="L576" i="2"/>
  <c r="L73" i="2"/>
  <c r="L171" i="2"/>
  <c r="L277" i="2"/>
  <c r="L385" i="2"/>
  <c r="L699" i="2"/>
  <c r="L805" i="2"/>
  <c r="L666" i="2"/>
  <c r="L265" i="2"/>
  <c r="L459" i="2"/>
  <c r="L178" i="2"/>
  <c r="L287" i="2"/>
  <c r="L311" i="2"/>
  <c r="L687" i="2"/>
  <c r="L784" i="2"/>
  <c r="L62" i="2"/>
  <c r="L275" i="2"/>
  <c r="L469" i="2"/>
  <c r="L697" i="2"/>
  <c r="L94" i="2"/>
  <c r="L593" i="2"/>
  <c r="L810" i="2"/>
  <c r="L185" i="2"/>
  <c r="L294" i="2"/>
  <c r="L397" i="2"/>
  <c r="L601" i="2"/>
  <c r="L799" i="2"/>
  <c r="L422" i="2"/>
  <c r="L651" i="2"/>
  <c r="L552" i="2"/>
  <c r="L324" i="2"/>
  <c r="L129" i="2"/>
  <c r="L19" i="2"/>
  <c r="L136" i="2"/>
  <c r="L726" i="2"/>
  <c r="L538" i="2"/>
  <c r="L42" i="2"/>
  <c r="L544" i="2"/>
  <c r="L450" i="2"/>
  <c r="L870" i="2"/>
  <c r="L457" i="2"/>
  <c r="L3" i="2"/>
  <c r="L210" i="2"/>
  <c r="L26" i="2"/>
  <c r="L152" i="2"/>
  <c r="L244" i="2"/>
  <c r="L345" i="2"/>
  <c r="L567" i="2"/>
  <c r="L873" i="2"/>
  <c r="L847" i="2"/>
  <c r="L317" i="2"/>
  <c r="L208" i="2"/>
  <c r="J3" i="3"/>
  <c r="C3" i="3" s="1"/>
  <c r="D3" i="3" s="1"/>
  <c r="E3" i="3" s="1"/>
  <c r="J4" i="3"/>
  <c r="C4" i="3" s="1"/>
  <c r="D4" i="3" s="1"/>
  <c r="E4" i="3" s="1"/>
  <c r="J5" i="3"/>
  <c r="C5" i="3" s="1"/>
  <c r="D5" i="3" s="1"/>
  <c r="E5" i="3" s="1"/>
  <c r="J6" i="3"/>
  <c r="C6" i="3" s="1"/>
  <c r="D6" i="3" s="1"/>
  <c r="E6" i="3" s="1"/>
  <c r="J7" i="3"/>
  <c r="J8" i="3"/>
  <c r="J9" i="3"/>
  <c r="J10" i="3"/>
  <c r="C10" i="3" s="1"/>
  <c r="D10" i="3" s="1"/>
  <c r="E10" i="3" s="1"/>
  <c r="J11" i="3"/>
  <c r="C11" i="3" s="1"/>
  <c r="D11" i="3" s="1"/>
  <c r="E11" i="3" s="1"/>
  <c r="J12" i="3"/>
  <c r="C12" i="3" s="1"/>
  <c r="D12" i="3" s="1"/>
  <c r="E12" i="3" s="1"/>
  <c r="J13" i="3"/>
  <c r="C13" i="3" s="1"/>
  <c r="D13" i="3" s="1"/>
  <c r="E13" i="3" s="1"/>
  <c r="J14" i="3"/>
  <c r="C14" i="3" s="1"/>
  <c r="D14" i="3" s="1"/>
  <c r="E14" i="3" s="1"/>
  <c r="J15" i="3"/>
  <c r="C15" i="3" s="1"/>
  <c r="D15" i="3" s="1"/>
  <c r="E15" i="3" s="1"/>
  <c r="J16" i="3"/>
  <c r="C16" i="3" s="1"/>
  <c r="D16" i="3" s="1"/>
  <c r="E16" i="3" s="1"/>
  <c r="J17" i="3"/>
  <c r="C17" i="3" s="1"/>
  <c r="D17" i="3" s="1"/>
  <c r="E17" i="3" s="1"/>
  <c r="J18" i="3"/>
  <c r="C18" i="3" s="1"/>
  <c r="D18" i="3" s="1"/>
  <c r="E18" i="3" s="1"/>
  <c r="J19" i="3"/>
  <c r="C19" i="3" s="1"/>
  <c r="D19" i="3" s="1"/>
  <c r="E19" i="3" s="1"/>
  <c r="J20" i="3"/>
  <c r="C20" i="3" s="1"/>
  <c r="D20" i="3" s="1"/>
  <c r="E20" i="3" s="1"/>
  <c r="J21" i="3"/>
  <c r="C21" i="3" s="1"/>
  <c r="D21" i="3" s="1"/>
  <c r="E21" i="3" s="1"/>
  <c r="J22" i="3"/>
  <c r="J23" i="3"/>
  <c r="J24" i="3"/>
  <c r="C24" i="3" s="1"/>
  <c r="D24" i="3" s="1"/>
  <c r="E24" i="3" s="1"/>
  <c r="J25" i="3"/>
  <c r="C25" i="3" s="1"/>
  <c r="D25" i="3" s="1"/>
  <c r="E25" i="3" s="1"/>
  <c r="J26" i="3"/>
  <c r="C26" i="3" s="1"/>
  <c r="D26" i="3" s="1"/>
  <c r="E26" i="3" s="1"/>
  <c r="J27" i="3"/>
  <c r="C27" i="3" s="1"/>
  <c r="D27" i="3" s="1"/>
  <c r="E27" i="3" s="1"/>
  <c r="J28" i="3"/>
  <c r="C28" i="3" s="1"/>
  <c r="D28" i="3" s="1"/>
  <c r="E28" i="3" s="1"/>
  <c r="J29" i="3"/>
  <c r="C29" i="3" s="1"/>
  <c r="D29" i="3" s="1"/>
  <c r="E29" i="3" s="1"/>
  <c r="J30" i="3"/>
  <c r="C30" i="3" s="1"/>
  <c r="D30" i="3" s="1"/>
  <c r="E30" i="3" s="1"/>
  <c r="J31" i="3"/>
  <c r="C31" i="3" s="1"/>
  <c r="D31" i="3" s="1"/>
  <c r="E31" i="3" s="1"/>
  <c r="J32" i="3"/>
  <c r="C32" i="3" s="1"/>
  <c r="D32" i="3" s="1"/>
  <c r="E32" i="3" s="1"/>
  <c r="J33" i="3"/>
  <c r="C33" i="3" s="1"/>
  <c r="D33" i="3" s="1"/>
  <c r="E33" i="3" s="1"/>
  <c r="J34" i="3"/>
  <c r="C34" i="3" s="1"/>
  <c r="D34" i="3" s="1"/>
  <c r="E34" i="3" s="1"/>
  <c r="J35" i="3"/>
  <c r="C35" i="3" s="1"/>
  <c r="D35" i="3" s="1"/>
  <c r="E35" i="3" s="1"/>
  <c r="J36" i="3"/>
  <c r="C36" i="3" s="1"/>
  <c r="D36" i="3" s="1"/>
  <c r="E36" i="3" s="1"/>
  <c r="J37" i="3"/>
  <c r="C37" i="3" s="1"/>
  <c r="D37" i="3" s="1"/>
  <c r="E37" i="3" s="1"/>
  <c r="J38" i="3"/>
  <c r="C38" i="3" s="1"/>
  <c r="D38" i="3" s="1"/>
  <c r="E38" i="3" s="1"/>
  <c r="J39" i="3"/>
  <c r="C39" i="3" s="1"/>
  <c r="D39" i="3" s="1"/>
  <c r="E39" i="3" s="1"/>
  <c r="J40" i="3"/>
  <c r="C40" i="3" s="1"/>
  <c r="D40" i="3" s="1"/>
  <c r="E40" i="3" s="1"/>
  <c r="J41" i="3"/>
  <c r="C41" i="3" s="1"/>
  <c r="D41" i="3" s="1"/>
  <c r="E41" i="3" s="1"/>
  <c r="J42" i="3"/>
  <c r="C42" i="3" s="1"/>
  <c r="D42" i="3" s="1"/>
  <c r="E42" i="3" s="1"/>
  <c r="J43" i="3"/>
  <c r="C43" i="3" s="1"/>
  <c r="D43" i="3" s="1"/>
  <c r="E43" i="3" s="1"/>
  <c r="J44" i="3"/>
  <c r="C44" i="3" s="1"/>
  <c r="D44" i="3" s="1"/>
  <c r="E44" i="3" s="1"/>
  <c r="J45" i="3"/>
  <c r="C45" i="3" s="1"/>
  <c r="D45" i="3" s="1"/>
  <c r="E45" i="3" s="1"/>
  <c r="J46" i="3"/>
  <c r="C46" i="3" s="1"/>
  <c r="D46" i="3" s="1"/>
  <c r="E46" i="3" s="1"/>
  <c r="J47" i="3"/>
  <c r="C47" i="3" s="1"/>
  <c r="D47" i="3" s="1"/>
  <c r="E47" i="3" s="1"/>
  <c r="J48" i="3"/>
  <c r="C48" i="3" s="1"/>
  <c r="D48" i="3" s="1"/>
  <c r="E48" i="3" s="1"/>
  <c r="J49" i="3"/>
  <c r="C49" i="3" s="1"/>
  <c r="D49" i="3" s="1"/>
  <c r="E49" i="3" s="1"/>
  <c r="J50" i="3"/>
  <c r="C50" i="3" s="1"/>
  <c r="D50" i="3" s="1"/>
  <c r="E50" i="3" s="1"/>
  <c r="J51" i="3"/>
  <c r="C51" i="3" s="1"/>
  <c r="D51" i="3" s="1"/>
  <c r="E51" i="3" s="1"/>
  <c r="J52" i="3"/>
  <c r="C52" i="3" s="1"/>
  <c r="D52" i="3" s="1"/>
  <c r="E52" i="3" s="1"/>
  <c r="J53" i="3"/>
  <c r="C53" i="3" s="1"/>
  <c r="D53" i="3" s="1"/>
  <c r="E53" i="3" s="1"/>
  <c r="J54" i="3"/>
  <c r="C54" i="3" s="1"/>
  <c r="D54" i="3" s="1"/>
  <c r="E54" i="3" s="1"/>
  <c r="J55" i="3"/>
  <c r="C55" i="3" s="1"/>
  <c r="D55" i="3" s="1"/>
  <c r="E55" i="3" s="1"/>
  <c r="J56" i="3"/>
  <c r="C56" i="3" s="1"/>
  <c r="D56" i="3" s="1"/>
  <c r="E56" i="3" s="1"/>
  <c r="J57" i="3"/>
  <c r="C57" i="3" s="1"/>
  <c r="D57" i="3" s="1"/>
  <c r="E57" i="3" s="1"/>
  <c r="J58" i="3"/>
  <c r="C58" i="3" s="1"/>
  <c r="D58" i="3" s="1"/>
  <c r="E58" i="3" s="1"/>
  <c r="J59" i="3"/>
  <c r="C59" i="3" s="1"/>
  <c r="D59" i="3" s="1"/>
  <c r="E59" i="3" s="1"/>
  <c r="J60" i="3"/>
  <c r="C60" i="3" s="1"/>
  <c r="D60" i="3" s="1"/>
  <c r="E60" i="3" s="1"/>
  <c r="J61" i="3"/>
  <c r="C61" i="3" s="1"/>
  <c r="D61" i="3" s="1"/>
  <c r="E61" i="3" s="1"/>
  <c r="J62" i="3"/>
  <c r="C62" i="3" s="1"/>
  <c r="D62" i="3" s="1"/>
  <c r="E62" i="3" s="1"/>
  <c r="J63" i="3"/>
  <c r="C63" i="3" s="1"/>
  <c r="D63" i="3" s="1"/>
  <c r="E63" i="3" s="1"/>
  <c r="J64" i="3"/>
  <c r="C64" i="3" s="1"/>
  <c r="D64" i="3" s="1"/>
  <c r="E64" i="3" s="1"/>
  <c r="J65" i="3"/>
  <c r="C65" i="3" s="1"/>
  <c r="D65" i="3" s="1"/>
  <c r="E65" i="3" s="1"/>
  <c r="J66" i="3"/>
  <c r="C66" i="3" s="1"/>
  <c r="D66" i="3" s="1"/>
  <c r="E66" i="3" s="1"/>
  <c r="J67" i="3"/>
  <c r="C67" i="3" s="1"/>
  <c r="D67" i="3" s="1"/>
  <c r="E67" i="3" s="1"/>
  <c r="J68" i="3"/>
  <c r="C68" i="3" s="1"/>
  <c r="D68" i="3" s="1"/>
  <c r="E68" i="3" s="1"/>
  <c r="J69" i="3"/>
  <c r="C69" i="3" s="1"/>
  <c r="D69" i="3" s="1"/>
  <c r="E69" i="3" s="1"/>
  <c r="J70" i="3"/>
  <c r="C70" i="3" s="1"/>
  <c r="D70" i="3" s="1"/>
  <c r="E70" i="3" s="1"/>
  <c r="J71" i="3"/>
  <c r="C71" i="3" s="1"/>
  <c r="D71" i="3" s="1"/>
  <c r="E71" i="3" s="1"/>
  <c r="J72" i="3"/>
  <c r="C72" i="3" s="1"/>
  <c r="D72" i="3" s="1"/>
  <c r="E72" i="3" s="1"/>
  <c r="J73" i="3"/>
  <c r="C73" i="3" s="1"/>
  <c r="D73" i="3" s="1"/>
  <c r="E73" i="3" s="1"/>
  <c r="J74" i="3"/>
  <c r="C74" i="3" s="1"/>
  <c r="D74" i="3" s="1"/>
  <c r="E74" i="3" s="1"/>
  <c r="J75" i="3"/>
  <c r="C75" i="3" s="1"/>
  <c r="D75" i="3" s="1"/>
  <c r="E75" i="3" s="1"/>
  <c r="J76" i="3"/>
  <c r="C76" i="3" s="1"/>
  <c r="D76" i="3" s="1"/>
  <c r="E76" i="3" s="1"/>
  <c r="J77" i="3"/>
  <c r="C77" i="3" s="1"/>
  <c r="D77" i="3" s="1"/>
  <c r="E77" i="3" s="1"/>
  <c r="J78" i="3"/>
  <c r="C78" i="3" s="1"/>
  <c r="D78" i="3" s="1"/>
  <c r="E78" i="3" s="1"/>
  <c r="J79" i="3"/>
  <c r="C79" i="3" s="1"/>
  <c r="D79" i="3" s="1"/>
  <c r="E79" i="3" s="1"/>
  <c r="J80" i="3"/>
  <c r="C80" i="3" s="1"/>
  <c r="D80" i="3" s="1"/>
  <c r="E80" i="3" s="1"/>
  <c r="J81" i="3"/>
  <c r="C81" i="3" s="1"/>
  <c r="D81" i="3" s="1"/>
  <c r="E81" i="3" s="1"/>
  <c r="J82" i="3"/>
  <c r="C82" i="3" s="1"/>
  <c r="D82" i="3" s="1"/>
  <c r="E82" i="3" s="1"/>
  <c r="J83" i="3"/>
  <c r="C83" i="3" s="1"/>
  <c r="D83" i="3" s="1"/>
  <c r="E83" i="3" s="1"/>
  <c r="J84" i="3"/>
  <c r="C84" i="3" s="1"/>
  <c r="D84" i="3" s="1"/>
  <c r="E84" i="3" s="1"/>
  <c r="J85" i="3"/>
  <c r="C85" i="3" s="1"/>
  <c r="D85" i="3" s="1"/>
  <c r="E85" i="3" s="1"/>
  <c r="J86" i="3"/>
  <c r="C86" i="3" s="1"/>
  <c r="D86" i="3" s="1"/>
  <c r="E86" i="3" s="1"/>
  <c r="J87" i="3"/>
  <c r="C87" i="3" s="1"/>
  <c r="D87" i="3" s="1"/>
  <c r="E87" i="3" s="1"/>
  <c r="J88" i="3"/>
  <c r="C88" i="3" s="1"/>
  <c r="D88" i="3" s="1"/>
  <c r="E88" i="3" s="1"/>
  <c r="J89" i="3"/>
  <c r="C89" i="3" s="1"/>
  <c r="D89" i="3" s="1"/>
  <c r="E89" i="3" s="1"/>
  <c r="J90" i="3"/>
  <c r="C90" i="3" s="1"/>
  <c r="D90" i="3" s="1"/>
  <c r="E90" i="3" s="1"/>
  <c r="J91" i="3"/>
  <c r="C91" i="3" s="1"/>
  <c r="D91" i="3" s="1"/>
  <c r="E91" i="3" s="1"/>
  <c r="J92" i="3"/>
  <c r="C92" i="3" s="1"/>
  <c r="D92" i="3" s="1"/>
  <c r="E92" i="3" s="1"/>
  <c r="J93" i="3"/>
  <c r="C93" i="3" s="1"/>
  <c r="D93" i="3" s="1"/>
  <c r="E93" i="3" s="1"/>
  <c r="J94" i="3"/>
  <c r="C94" i="3" s="1"/>
  <c r="D94" i="3" s="1"/>
  <c r="E94" i="3" s="1"/>
  <c r="J95" i="3"/>
  <c r="C95" i="3" s="1"/>
  <c r="D95" i="3" s="1"/>
  <c r="E95" i="3" s="1"/>
  <c r="J96" i="3"/>
  <c r="C96" i="3" s="1"/>
  <c r="D96" i="3" s="1"/>
  <c r="E96" i="3" s="1"/>
  <c r="J97" i="3"/>
  <c r="C97" i="3" s="1"/>
  <c r="D97" i="3" s="1"/>
  <c r="E97" i="3" s="1"/>
  <c r="J98" i="3"/>
  <c r="C98" i="3" s="1"/>
  <c r="D98" i="3" s="1"/>
  <c r="E98" i="3" s="1"/>
  <c r="J99" i="3"/>
  <c r="C99" i="3" s="1"/>
  <c r="D99" i="3" s="1"/>
  <c r="E99" i="3" s="1"/>
  <c r="J100" i="3"/>
  <c r="C100" i="3" s="1"/>
  <c r="D100" i="3" s="1"/>
  <c r="E100" i="3" s="1"/>
  <c r="J101" i="3"/>
  <c r="C101" i="3" s="1"/>
  <c r="D101" i="3" s="1"/>
  <c r="E101" i="3" s="1"/>
  <c r="J2" i="3"/>
  <c r="C2" i="3" s="1"/>
  <c r="D2" i="3" s="1"/>
  <c r="E2" i="3" s="1"/>
  <c r="C7" i="3"/>
  <c r="D7" i="3" s="1"/>
  <c r="E7" i="3" s="1"/>
  <c r="C8" i="3"/>
  <c r="D8" i="3" s="1"/>
  <c r="E8" i="3" s="1"/>
  <c r="C9" i="3"/>
  <c r="D9" i="3" s="1"/>
  <c r="E9" i="3" s="1"/>
  <c r="C22" i="3"/>
  <c r="D22" i="3" s="1"/>
  <c r="E22" i="3" s="1"/>
  <c r="C23" i="3"/>
  <c r="D23" i="3" s="1"/>
  <c r="E23" i="3" s="1"/>
  <c r="G870" i="2"/>
  <c r="G747" i="2"/>
  <c r="M747" i="2" s="1"/>
  <c r="G697" i="2"/>
  <c r="G623" i="2"/>
  <c r="G574" i="2"/>
  <c r="G526" i="2"/>
  <c r="G457" i="2"/>
  <c r="G324" i="2"/>
  <c r="G275" i="2"/>
  <c r="G208" i="2"/>
  <c r="G159" i="2"/>
  <c r="M159" i="2" s="1"/>
  <c r="G104" i="2"/>
  <c r="F872" i="2"/>
  <c r="F863" i="2"/>
  <c r="F856" i="2"/>
  <c r="F840" i="2"/>
  <c r="F833" i="2"/>
  <c r="F826" i="2"/>
  <c r="F810" i="2"/>
  <c r="F804" i="2"/>
  <c r="F798" i="2"/>
  <c r="F784" i="2"/>
  <c r="F768" i="2"/>
  <c r="F759" i="2"/>
  <c r="F749" i="2"/>
  <c r="F740" i="2"/>
  <c r="F733" i="2"/>
  <c r="F725" i="2"/>
  <c r="F709" i="2"/>
  <c r="F699" i="2"/>
  <c r="F687" i="2"/>
  <c r="F664" i="2"/>
  <c r="F651" i="2"/>
  <c r="F635" i="2"/>
  <c r="F625" i="2"/>
  <c r="F616" i="2"/>
  <c r="F609" i="2"/>
  <c r="F593" i="2"/>
  <c r="F586" i="2"/>
  <c r="F576" i="2"/>
  <c r="F567" i="2"/>
  <c r="F560" i="2"/>
  <c r="F544" i="2"/>
  <c r="F537" i="2"/>
  <c r="F528" i="2"/>
  <c r="F516" i="2"/>
  <c r="F495" i="2"/>
  <c r="F483" i="2"/>
  <c r="F469" i="2"/>
  <c r="F459" i="2"/>
  <c r="F450" i="2"/>
  <c r="F443" i="2"/>
  <c r="F427" i="2"/>
  <c r="F420" i="2"/>
  <c r="F413" i="2"/>
  <c r="F397" i="2"/>
  <c r="F391" i="2"/>
  <c r="F385" i="2"/>
  <c r="F379" i="2"/>
  <c r="F365" i="2"/>
  <c r="F345" i="2"/>
  <c r="F336" i="2"/>
  <c r="F326" i="2"/>
  <c r="F317" i="2"/>
  <c r="F310" i="2"/>
  <c r="F294" i="2"/>
  <c r="F287" i="2"/>
  <c r="F277" i="2"/>
  <c r="F265" i="2"/>
  <c r="F244" i="2"/>
  <c r="F231" i="2"/>
  <c r="F220" i="2"/>
  <c r="F210" i="2"/>
  <c r="F201" i="2"/>
  <c r="F194" i="2"/>
  <c r="F178" i="2"/>
  <c r="F171" i="2"/>
  <c r="F161" i="2"/>
  <c r="F152" i="2"/>
  <c r="F145" i="2"/>
  <c r="F129" i="2"/>
  <c r="F122" i="2"/>
  <c r="F115" i="2"/>
  <c r="F106" i="2"/>
  <c r="F94" i="2"/>
  <c r="F73" i="2"/>
  <c r="F62" i="2"/>
  <c r="F49" i="2"/>
  <c r="F42" i="2"/>
  <c r="F26" i="2"/>
  <c r="F19" i="2"/>
  <c r="F847" i="2"/>
  <c r="F815" i="2"/>
  <c r="F777" i="2"/>
  <c r="F776" i="2"/>
  <c r="F716" i="2"/>
  <c r="F678" i="2"/>
  <c r="F674" i="2"/>
  <c r="F646" i="2"/>
  <c r="F645" i="2"/>
  <c r="F644" i="2"/>
  <c r="F600" i="2"/>
  <c r="F551" i="2"/>
  <c r="F509" i="2"/>
  <c r="F505" i="2"/>
  <c r="F477" i="2"/>
  <c r="F434" i="2"/>
  <c r="F402" i="2"/>
  <c r="F358" i="2"/>
  <c r="F357" i="2"/>
  <c r="F356" i="2"/>
  <c r="F301" i="2"/>
  <c r="F258" i="2"/>
  <c r="F254" i="2"/>
  <c r="F225" i="2"/>
  <c r="F185" i="2"/>
  <c r="F136" i="2"/>
  <c r="F87" i="2"/>
  <c r="F83" i="2"/>
  <c r="F56" i="2"/>
  <c r="F31" i="2"/>
  <c r="F817" i="2"/>
  <c r="F681" i="2"/>
  <c r="F404" i="2"/>
  <c r="F33" i="2"/>
  <c r="F10" i="2"/>
  <c r="F877" i="2"/>
  <c r="F814" i="2"/>
  <c r="F793" i="2"/>
  <c r="F779" i="2"/>
  <c r="F778" i="2"/>
  <c r="F769" i="2"/>
  <c r="F754" i="2"/>
  <c r="F682" i="2"/>
  <c r="F668" i="2"/>
  <c r="F638" i="2"/>
  <c r="F637" i="2"/>
  <c r="F636" i="2"/>
  <c r="F630" i="2"/>
  <c r="F581" i="2"/>
  <c r="F499" i="2"/>
  <c r="F490" i="2"/>
  <c r="F478" i="2"/>
  <c r="F472" i="2"/>
  <c r="F471" i="2"/>
  <c r="F470" i="2"/>
  <c r="F464" i="2"/>
  <c r="F401" i="2"/>
  <c r="F374" i="2"/>
  <c r="F360" i="2"/>
  <c r="F359" i="2"/>
  <c r="F347" i="2"/>
  <c r="F346" i="2"/>
  <c r="F331" i="2"/>
  <c r="F248" i="2"/>
  <c r="F239" i="2"/>
  <c r="F226" i="2"/>
  <c r="F222" i="2"/>
  <c r="F221" i="2"/>
  <c r="F215" i="2"/>
  <c r="F166" i="2"/>
  <c r="F77" i="2"/>
  <c r="F68" i="2"/>
  <c r="F57" i="2"/>
  <c r="F52" i="2"/>
  <c r="F51" i="2"/>
  <c r="F50" i="2"/>
  <c r="F30" i="2"/>
  <c r="F876" i="2"/>
  <c r="F875" i="2"/>
  <c r="F874" i="2"/>
  <c r="F873" i="2"/>
  <c r="F865" i="2"/>
  <c r="F864" i="2"/>
  <c r="F858" i="2"/>
  <c r="F857" i="2"/>
  <c r="F851" i="2"/>
  <c r="F850" i="2"/>
  <c r="F849" i="2"/>
  <c r="F848" i="2"/>
  <c r="F842" i="2"/>
  <c r="F841" i="2"/>
  <c r="F835" i="2"/>
  <c r="F834" i="2"/>
  <c r="F828" i="2"/>
  <c r="F827" i="2"/>
  <c r="F821" i="2"/>
  <c r="F820" i="2"/>
  <c r="F819" i="2"/>
  <c r="F818" i="2"/>
  <c r="F816" i="2"/>
  <c r="F813" i="2"/>
  <c r="F812" i="2"/>
  <c r="F811" i="2"/>
  <c r="F805" i="2"/>
  <c r="F799" i="2"/>
  <c r="F792" i="2"/>
  <c r="F791" i="2"/>
  <c r="F790" i="2"/>
  <c r="F789" i="2"/>
  <c r="F788" i="2"/>
  <c r="F787" i="2"/>
  <c r="F786" i="2"/>
  <c r="F785" i="2"/>
  <c r="F775" i="2"/>
  <c r="F774" i="2"/>
  <c r="F773" i="2"/>
  <c r="F772" i="2"/>
  <c r="F763" i="2"/>
  <c r="F762" i="2"/>
  <c r="F761" i="2"/>
  <c r="F760" i="2"/>
  <c r="F753" i="2"/>
  <c r="F752" i="2"/>
  <c r="F751" i="2"/>
  <c r="F750" i="2"/>
  <c r="F742" i="2"/>
  <c r="F741" i="2"/>
  <c r="F735" i="2"/>
  <c r="F734" i="2"/>
  <c r="F728" i="2"/>
  <c r="F727" i="2"/>
  <c r="F726" i="2"/>
  <c r="F720" i="2"/>
  <c r="F719" i="2"/>
  <c r="F718" i="2"/>
  <c r="F717" i="2"/>
  <c r="F711" i="2"/>
  <c r="F710" i="2"/>
  <c r="F704" i="2"/>
  <c r="F703" i="2"/>
  <c r="F702" i="2"/>
  <c r="F701" i="2"/>
  <c r="F700" i="2"/>
  <c r="F692" i="2"/>
  <c r="F691" i="2"/>
  <c r="F690" i="2"/>
  <c r="F689" i="2"/>
  <c r="F688" i="2"/>
  <c r="F680" i="2"/>
  <c r="F679" i="2"/>
  <c r="F677" i="2"/>
  <c r="F676" i="2"/>
  <c r="F675" i="2"/>
  <c r="F673" i="2"/>
  <c r="F672" i="2"/>
  <c r="F671" i="2"/>
  <c r="F670" i="2"/>
  <c r="F669" i="2"/>
  <c r="F667" i="2"/>
  <c r="F666" i="2"/>
  <c r="F665" i="2"/>
  <c r="F643" i="2"/>
  <c r="F642" i="2"/>
  <c r="F629" i="2"/>
  <c r="F628" i="2"/>
  <c r="F627" i="2"/>
  <c r="F626" i="2"/>
  <c r="F618" i="2"/>
  <c r="F617" i="2"/>
  <c r="F611" i="2"/>
  <c r="F610" i="2"/>
  <c r="F604" i="2"/>
  <c r="F603" i="2"/>
  <c r="F602" i="2"/>
  <c r="F601" i="2"/>
  <c r="F595" i="2"/>
  <c r="F594" i="2"/>
  <c r="F588" i="2"/>
  <c r="F587" i="2"/>
  <c r="F580" i="2"/>
  <c r="F579" i="2"/>
  <c r="F578" i="2"/>
  <c r="F577" i="2"/>
  <c r="F569" i="2"/>
  <c r="F568" i="2"/>
  <c r="F562" i="2"/>
  <c r="F561" i="2"/>
  <c r="F555" i="2"/>
  <c r="F554" i="2"/>
  <c r="F553" i="2"/>
  <c r="F552" i="2"/>
  <c r="F546" i="2"/>
  <c r="F545" i="2"/>
  <c r="F539" i="2"/>
  <c r="F538" i="2"/>
  <c r="F532" i="2"/>
  <c r="F531" i="2"/>
  <c r="F530" i="2"/>
  <c r="F529" i="2"/>
  <c r="F521" i="2"/>
  <c r="F520" i="2"/>
  <c r="F519" i="2"/>
  <c r="F518" i="2"/>
  <c r="F517" i="2"/>
  <c r="F511" i="2"/>
  <c r="F510" i="2"/>
  <c r="F508" i="2"/>
  <c r="F507" i="2"/>
  <c r="F506" i="2"/>
  <c r="F504" i="2"/>
  <c r="F503" i="2"/>
  <c r="F502" i="2"/>
  <c r="F501" i="2"/>
  <c r="F500" i="2"/>
  <c r="F498" i="2"/>
  <c r="F497" i="2"/>
  <c r="F496" i="2"/>
  <c r="F463" i="2"/>
  <c r="F462" i="2"/>
  <c r="F461" i="2"/>
  <c r="F460" i="2"/>
  <c r="F452" i="2"/>
  <c r="F451" i="2"/>
  <c r="F445" i="2"/>
  <c r="F444" i="2"/>
  <c r="F438" i="2"/>
  <c r="F437" i="2"/>
  <c r="F436" i="2"/>
  <c r="F435" i="2"/>
  <c r="F429" i="2"/>
  <c r="F428" i="2"/>
  <c r="F422" i="2"/>
  <c r="F421" i="2"/>
  <c r="F415" i="2"/>
  <c r="F414" i="2"/>
  <c r="F408" i="2"/>
  <c r="F407" i="2"/>
  <c r="F406" i="2"/>
  <c r="F405" i="2"/>
  <c r="F403" i="2"/>
  <c r="F400" i="2"/>
  <c r="F399" i="2"/>
  <c r="F398" i="2"/>
  <c r="F392" i="2"/>
  <c r="F386" i="2"/>
  <c r="F380" i="2"/>
  <c r="F373" i="2"/>
  <c r="F372" i="2"/>
  <c r="F371" i="2"/>
  <c r="F370" i="2"/>
  <c r="F369" i="2"/>
  <c r="F368" i="2"/>
  <c r="F367" i="2"/>
  <c r="F366" i="2"/>
  <c r="F355" i="2"/>
  <c r="F354" i="2"/>
  <c r="F353" i="2"/>
  <c r="F352" i="2"/>
  <c r="F340" i="2"/>
  <c r="F339" i="2"/>
  <c r="F338" i="2"/>
  <c r="F337" i="2"/>
  <c r="F330" i="2"/>
  <c r="F329" i="2"/>
  <c r="F328" i="2"/>
  <c r="F327" i="2"/>
  <c r="F319" i="2"/>
  <c r="F318" i="2"/>
  <c r="F312" i="2"/>
  <c r="F311" i="2"/>
  <c r="F305" i="2"/>
  <c r="F304" i="2"/>
  <c r="F303" i="2"/>
  <c r="F302" i="2"/>
  <c r="F296" i="2"/>
  <c r="F295" i="2"/>
  <c r="F289" i="2"/>
  <c r="F288" i="2"/>
  <c r="F282" i="2"/>
  <c r="F281" i="2"/>
  <c r="F280" i="2"/>
  <c r="F279" i="2"/>
  <c r="F278" i="2"/>
  <c r="F270" i="2"/>
  <c r="F269" i="2"/>
  <c r="F268" i="2"/>
  <c r="F267" i="2"/>
  <c r="F266" i="2"/>
  <c r="F260" i="2"/>
  <c r="F259" i="2"/>
  <c r="F257" i="2"/>
  <c r="F256" i="2"/>
  <c r="F255" i="2"/>
  <c r="F253" i="2"/>
  <c r="F252" i="2"/>
  <c r="F251" i="2"/>
  <c r="F250" i="2"/>
  <c r="F249" i="2"/>
  <c r="F247" i="2"/>
  <c r="F246" i="2"/>
  <c r="F245" i="2"/>
  <c r="F214" i="2"/>
  <c r="F213" i="2"/>
  <c r="F212" i="2"/>
  <c r="F211" i="2"/>
  <c r="F203" i="2"/>
  <c r="F202" i="2"/>
  <c r="F196" i="2"/>
  <c r="F195" i="2"/>
  <c r="F189" i="2"/>
  <c r="F188" i="2"/>
  <c r="F187" i="2"/>
  <c r="F186" i="2"/>
  <c r="F180" i="2"/>
  <c r="F179" i="2"/>
  <c r="F173" i="2"/>
  <c r="F172" i="2"/>
  <c r="F165" i="2"/>
  <c r="F164" i="2"/>
  <c r="F163" i="2"/>
  <c r="F162" i="2"/>
  <c r="F154" i="2"/>
  <c r="F153" i="2"/>
  <c r="F147" i="2"/>
  <c r="F146" i="2"/>
  <c r="F140" i="2"/>
  <c r="F139" i="2"/>
  <c r="F138" i="2"/>
  <c r="F137" i="2"/>
  <c r="F131" i="2"/>
  <c r="F130" i="2"/>
  <c r="F124" i="2"/>
  <c r="F123" i="2"/>
  <c r="F117" i="2"/>
  <c r="F116" i="2"/>
  <c r="F110" i="2"/>
  <c r="F109" i="2"/>
  <c r="F108" i="2"/>
  <c r="F107" i="2"/>
  <c r="F99" i="2"/>
  <c r="F98" i="2"/>
  <c r="F97" i="2"/>
  <c r="F96" i="2"/>
  <c r="F95" i="2"/>
  <c r="F89" i="2"/>
  <c r="F88" i="2"/>
  <c r="F86" i="2"/>
  <c r="F85" i="2"/>
  <c r="F84" i="2"/>
  <c r="F82" i="2"/>
  <c r="F81" i="2"/>
  <c r="F80" i="2"/>
  <c r="F79" i="2"/>
  <c r="F78" i="2"/>
  <c r="F76" i="2"/>
  <c r="F75" i="2"/>
  <c r="F74" i="2"/>
  <c r="F44" i="2"/>
  <c r="F43" i="2"/>
  <c r="F37" i="2"/>
  <c r="F36" i="2"/>
  <c r="F35" i="2"/>
  <c r="F34" i="2"/>
  <c r="F32" i="2"/>
  <c r="F29" i="2"/>
  <c r="F28" i="2"/>
  <c r="F27" i="2"/>
  <c r="F21" i="2"/>
  <c r="F20" i="2"/>
  <c r="F14" i="2"/>
  <c r="F13" i="2"/>
  <c r="F12" i="2"/>
  <c r="F11" i="2"/>
  <c r="F9" i="2"/>
  <c r="F6" i="2"/>
  <c r="F5" i="2"/>
  <c r="F771" i="2"/>
  <c r="F770" i="2"/>
  <c r="F659" i="2"/>
  <c r="F658" i="2"/>
  <c r="F657" i="2"/>
  <c r="F656" i="2"/>
  <c r="F655" i="2"/>
  <c r="F654" i="2"/>
  <c r="F653" i="2"/>
  <c r="F652" i="2"/>
  <c r="F641" i="2"/>
  <c r="F640" i="2"/>
  <c r="F639" i="2"/>
  <c r="F489" i="2"/>
  <c r="F488" i="2"/>
  <c r="F487" i="2"/>
  <c r="F486" i="2"/>
  <c r="F485" i="2"/>
  <c r="F484" i="2"/>
  <c r="F476" i="2"/>
  <c r="F475" i="2"/>
  <c r="F474" i="2"/>
  <c r="F473" i="2"/>
  <c r="F351" i="2"/>
  <c r="F350" i="2"/>
  <c r="F349" i="2"/>
  <c r="F348" i="2"/>
  <c r="F238" i="2"/>
  <c r="F237" i="2"/>
  <c r="F236" i="2"/>
  <c r="F235" i="2"/>
  <c r="F234" i="2"/>
  <c r="F233" i="2"/>
  <c r="F232" i="2"/>
  <c r="F224" i="2"/>
  <c r="F223" i="2"/>
  <c r="F67" i="2"/>
  <c r="F66" i="2"/>
  <c r="F65" i="2"/>
  <c r="F64" i="2"/>
  <c r="F63" i="2"/>
  <c r="F55" i="2"/>
  <c r="F54" i="2"/>
  <c r="H879" i="2"/>
  <c r="H867" i="2"/>
  <c r="H860" i="2"/>
  <c r="H853" i="2"/>
  <c r="H844" i="2"/>
  <c r="H837" i="2"/>
  <c r="H830" i="2"/>
  <c r="H823" i="2"/>
  <c r="H807" i="2"/>
  <c r="H801" i="2"/>
  <c r="H795" i="2"/>
  <c r="H781" i="2"/>
  <c r="H765" i="2"/>
  <c r="H756" i="2"/>
  <c r="H744" i="2"/>
  <c r="H737" i="2"/>
  <c r="H730" i="2"/>
  <c r="H722" i="2"/>
  <c r="H713" i="2"/>
  <c r="H706" i="2"/>
  <c r="H694" i="2"/>
  <c r="H684" i="2"/>
  <c r="H661" i="2"/>
  <c r="H648" i="2"/>
  <c r="H632" i="2"/>
  <c r="H620" i="2"/>
  <c r="H613" i="2"/>
  <c r="H606" i="2"/>
  <c r="H597" i="2"/>
  <c r="H590" i="2"/>
  <c r="H583" i="2"/>
  <c r="H571" i="2"/>
  <c r="H564" i="2"/>
  <c r="H557" i="2"/>
  <c r="H548" i="2"/>
  <c r="H541" i="2"/>
  <c r="H534" i="2"/>
  <c r="H523" i="2"/>
  <c r="H513" i="2"/>
  <c r="H492" i="2"/>
  <c r="H480" i="2"/>
  <c r="H466" i="2"/>
  <c r="H454" i="2"/>
  <c r="H447" i="2"/>
  <c r="H440" i="2"/>
  <c r="H431" i="2"/>
  <c r="H424" i="2"/>
  <c r="H417" i="2"/>
  <c r="H410" i="2"/>
  <c r="H394" i="2"/>
  <c r="H388" i="2"/>
  <c r="H382" i="2"/>
  <c r="H376" i="2"/>
  <c r="H362" i="2"/>
  <c r="H342" i="2"/>
  <c r="H333" i="2"/>
  <c r="H321" i="2"/>
  <c r="H314" i="2"/>
  <c r="H307" i="2"/>
  <c r="H298" i="2"/>
  <c r="H291" i="2"/>
  <c r="H284" i="2"/>
  <c r="H272" i="2"/>
  <c r="H262" i="2"/>
  <c r="H241" i="2"/>
  <c r="H228" i="2"/>
  <c r="H217" i="2"/>
  <c r="H205" i="2"/>
  <c r="H198" i="2"/>
  <c r="H191" i="2"/>
  <c r="H182" i="2"/>
  <c r="H175" i="2"/>
  <c r="H168" i="2"/>
  <c r="H156" i="2"/>
  <c r="H149" i="2"/>
  <c r="H142" i="2"/>
  <c r="H133" i="2"/>
  <c r="H126" i="2"/>
  <c r="H119" i="2"/>
  <c r="H112" i="2"/>
  <c r="H101" i="2"/>
  <c r="H91" i="2"/>
  <c r="H70" i="2"/>
  <c r="H59" i="2"/>
  <c r="H46" i="2"/>
  <c r="H39" i="2"/>
  <c r="H23" i="2"/>
  <c r="H16" i="2"/>
  <c r="F3" i="2"/>
  <c r="F7" i="2"/>
  <c r="A286" i="2"/>
  <c r="A287" i="2" s="1"/>
  <c r="A288" i="2" s="1"/>
  <c r="A289" i="2" s="1"/>
  <c r="A290" i="2" s="1"/>
  <c r="A291" i="2" s="1"/>
  <c r="A293" i="2"/>
  <c r="A294" i="2" s="1"/>
  <c r="A295" i="2" s="1"/>
  <c r="A296" i="2" s="1"/>
  <c r="A297" i="2" s="1"/>
  <c r="A298" i="2" s="1"/>
  <c r="A300" i="2"/>
  <c r="A301" i="2" s="1"/>
  <c r="A302" i="2" s="1"/>
  <c r="A303" i="2" s="1"/>
  <c r="A309" i="2"/>
  <c r="A310" i="2" s="1"/>
  <c r="A311" i="2" s="1"/>
  <c r="A312" i="2" s="1"/>
  <c r="A313" i="2" s="1"/>
  <c r="A314" i="2" s="1"/>
  <c r="A316" i="2"/>
  <c r="A317" i="2" s="1"/>
  <c r="A318" i="2" s="1"/>
  <c r="A319" i="2" s="1"/>
  <c r="A320" i="2" s="1"/>
  <c r="A323" i="2"/>
  <c r="A325" i="2"/>
  <c r="A335" i="2"/>
  <c r="A336" i="2" s="1"/>
  <c r="A344" i="2"/>
  <c r="A345" i="2" s="1"/>
  <c r="A364" i="2"/>
  <c r="A378" i="2"/>
  <c r="A379" i="2" s="1"/>
  <c r="A384" i="2"/>
  <c r="A390" i="2"/>
  <c r="A396" i="2"/>
  <c r="A412" i="2"/>
  <c r="A419" i="2"/>
  <c r="A426" i="2"/>
  <c r="A433" i="2"/>
  <c r="A442" i="2"/>
  <c r="A443" i="2" s="1"/>
  <c r="A444" i="2" s="1"/>
  <c r="A445" i="2" s="1"/>
  <c r="A446" i="2" s="1"/>
  <c r="A447" i="2" s="1"/>
  <c r="A449" i="2"/>
  <c r="A450" i="2" s="1"/>
  <c r="A451" i="2" s="1"/>
  <c r="A452" i="2" s="1"/>
  <c r="A453" i="2" s="1"/>
  <c r="A454" i="2" s="1"/>
  <c r="A456" i="2"/>
  <c r="A458" i="2"/>
  <c r="A459" i="2" s="1"/>
  <c r="A460" i="2" s="1"/>
  <c r="A468" i="2"/>
  <c r="A469" i="2" s="1"/>
  <c r="A470" i="2" s="1"/>
  <c r="A471" i="2" s="1"/>
  <c r="A472" i="2" s="1"/>
  <c r="A473" i="2" s="1"/>
  <c r="A474" i="2" s="1"/>
  <c r="A482" i="2"/>
  <c r="A483" i="2" s="1"/>
  <c r="A484" i="2" s="1"/>
  <c r="A485" i="2" s="1"/>
  <c r="A486" i="2" s="1"/>
  <c r="A487" i="2" s="1"/>
  <c r="A494" i="2"/>
  <c r="A515" i="2"/>
  <c r="A525" i="2"/>
  <c r="A527" i="2"/>
  <c r="A528" i="2" s="1"/>
  <c r="A536" i="2"/>
  <c r="A543" i="2"/>
  <c r="A550" i="2"/>
  <c r="A559" i="2"/>
  <c r="A566" i="2"/>
  <c r="A573" i="2"/>
  <c r="A575" i="2"/>
  <c r="A585" i="2"/>
  <c r="A592" i="2"/>
  <c r="A599" i="2"/>
  <c r="A608" i="2"/>
  <c r="A615" i="2"/>
  <c r="A622" i="2"/>
  <c r="A624" i="2"/>
  <c r="A634" i="2"/>
  <c r="A650" i="2"/>
  <c r="A663" i="2"/>
  <c r="A686" i="2"/>
  <c r="A696" i="2"/>
  <c r="A698" i="2"/>
  <c r="A708" i="2"/>
  <c r="A715" i="2"/>
  <c r="A724" i="2"/>
  <c r="A732" i="2"/>
  <c r="A739" i="2"/>
  <c r="A746" i="2"/>
  <c r="A748" i="2"/>
  <c r="A758" i="2"/>
  <c r="A767" i="2"/>
  <c r="A783" i="2"/>
  <c r="A797" i="2"/>
  <c r="A803" i="2"/>
  <c r="A809" i="2"/>
  <c r="A825" i="2"/>
  <c r="A832" i="2"/>
  <c r="A839" i="2"/>
  <c r="A846" i="2"/>
  <c r="A855" i="2"/>
  <c r="A862" i="2"/>
  <c r="A869" i="2"/>
  <c r="A871" i="2"/>
  <c r="A872" i="2" s="1"/>
  <c r="A158" i="2"/>
  <c r="A151" i="2"/>
  <c r="F53" i="2"/>
  <c r="A41" i="2"/>
  <c r="A25" i="2"/>
  <c r="A276" i="2"/>
  <c r="A274" i="2"/>
  <c r="A264" i="2"/>
  <c r="A243" i="2"/>
  <c r="A230" i="2"/>
  <c r="A219" i="2"/>
  <c r="A209" i="2"/>
  <c r="A207" i="2"/>
  <c r="A200" i="2"/>
  <c r="A193" i="2"/>
  <c r="A184" i="2"/>
  <c r="A177" i="2"/>
  <c r="A170" i="2"/>
  <c r="A160" i="2"/>
  <c r="A144" i="2"/>
  <c r="A135" i="2"/>
  <c r="A128" i="2"/>
  <c r="A121" i="2"/>
  <c r="A114" i="2"/>
  <c r="A105" i="2"/>
  <c r="A103" i="2"/>
  <c r="A93" i="2"/>
  <c r="A72" i="2"/>
  <c r="A61" i="2"/>
  <c r="A48" i="2"/>
  <c r="A18" i="2"/>
  <c r="F8" i="2"/>
  <c r="M526" i="2" l="1"/>
  <c r="M104" i="2"/>
  <c r="M574" i="2"/>
  <c r="L124" i="2"/>
  <c r="L843" i="2"/>
  <c r="L844" i="2" s="1"/>
  <c r="L750" i="2"/>
  <c r="L327" i="2"/>
  <c r="L827" i="2"/>
  <c r="L232" i="2"/>
  <c r="M345" i="2"/>
  <c r="L636" i="2"/>
  <c r="M697" i="2"/>
  <c r="L393" i="2"/>
  <c r="L394" i="2" s="1"/>
  <c r="L865" i="2"/>
  <c r="M275" i="2"/>
  <c r="L529" i="2"/>
  <c r="L530" i="2" s="1"/>
  <c r="L710" i="2"/>
  <c r="L626" i="2"/>
  <c r="L627" i="2" s="1"/>
  <c r="M208" i="2"/>
  <c r="M324" i="2"/>
  <c r="L770" i="2"/>
  <c r="L485" i="2"/>
  <c r="M457" i="2"/>
  <c r="L428" i="2"/>
  <c r="L734" i="2"/>
  <c r="L735" i="2" s="1"/>
  <c r="L610" i="2"/>
  <c r="M870" i="2"/>
  <c r="L302" i="2"/>
  <c r="L857" i="2"/>
  <c r="L202" i="2"/>
  <c r="L587" i="2"/>
  <c r="L107" i="2"/>
  <c r="L617" i="2"/>
  <c r="L147" i="2"/>
  <c r="L116" i="2"/>
  <c r="L717" i="2"/>
  <c r="L221" i="2"/>
  <c r="L834" i="2"/>
  <c r="L162" i="2"/>
  <c r="L700" i="2"/>
  <c r="L652" i="2"/>
  <c r="L470" i="2"/>
  <c r="L460" i="2"/>
  <c r="L874" i="2"/>
  <c r="L742" i="2"/>
  <c r="L186" i="2"/>
  <c r="L386" i="2"/>
  <c r="L688" i="2"/>
  <c r="L211" i="2"/>
  <c r="L415" i="2"/>
  <c r="L811" i="2"/>
  <c r="L266" i="2"/>
  <c r="L278" i="2"/>
  <c r="L318" i="2"/>
  <c r="L848" i="2"/>
  <c r="L845" i="2"/>
  <c r="L562" i="2"/>
  <c r="L346" i="2"/>
  <c r="L4" i="2"/>
  <c r="L727" i="2"/>
  <c r="L594" i="2"/>
  <c r="L312" i="2"/>
  <c r="L366" i="2"/>
  <c r="L568" i="2"/>
  <c r="L539" i="2"/>
  <c r="L800" i="2"/>
  <c r="L137" i="2"/>
  <c r="L423" i="2"/>
  <c r="L63" i="2"/>
  <c r="L172" i="2"/>
  <c r="L436" i="2"/>
  <c r="L245" i="2"/>
  <c r="L95" i="2"/>
  <c r="L380" i="2"/>
  <c r="L43" i="2"/>
  <c r="M43" i="2" s="1"/>
  <c r="L196" i="2"/>
  <c r="L545" i="2"/>
  <c r="L20" i="2"/>
  <c r="L130" i="2"/>
  <c r="L602" i="2"/>
  <c r="L74" i="2"/>
  <c r="L51" i="2"/>
  <c r="L761" i="2"/>
  <c r="L295" i="2"/>
  <c r="L398" i="2"/>
  <c r="L785" i="2"/>
  <c r="L288" i="2"/>
  <c r="L667" i="2"/>
  <c r="L577" i="2"/>
  <c r="L340" i="2"/>
  <c r="L553" i="2"/>
  <c r="L27" i="2"/>
  <c r="L497" i="2"/>
  <c r="L451" i="2"/>
  <c r="L153" i="2"/>
  <c r="L125" i="2"/>
  <c r="L179" i="2"/>
  <c r="L806" i="2"/>
  <c r="L445" i="2"/>
  <c r="L518" i="2"/>
  <c r="A304" i="2"/>
  <c r="A305" i="2" s="1"/>
  <c r="A306" i="2"/>
  <c r="A307" i="2" s="1"/>
  <c r="A461" i="2"/>
  <c r="A464" i="2"/>
  <c r="A488" i="2"/>
  <c r="A489" i="2" s="1"/>
  <c r="A490" i="2"/>
  <c r="A491" i="2"/>
  <c r="A492" i="2" s="1"/>
  <c r="A475" i="2"/>
  <c r="A477" i="2"/>
  <c r="A479" i="2" s="1"/>
  <c r="A480" i="2" s="1"/>
  <c r="A495" i="2"/>
  <c r="A496" i="2" s="1"/>
  <c r="A499" i="2" s="1"/>
  <c r="A503" i="2" s="1"/>
  <c r="A365" i="2"/>
  <c r="A366" i="2" s="1"/>
  <c r="A367" i="2" s="1"/>
  <c r="A368" i="2" s="1"/>
  <c r="A326" i="2"/>
  <c r="A327" i="2" s="1"/>
  <c r="A338" i="2"/>
  <c r="A339" i="2" s="1"/>
  <c r="A321" i="2"/>
  <c r="A337" i="2"/>
  <c r="A346" i="2"/>
  <c r="A385" i="2"/>
  <c r="A391" i="2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625" i="2"/>
  <c r="A626" i="2" s="1"/>
  <c r="A420" i="2"/>
  <c r="A421" i="2" s="1"/>
  <c r="A413" i="2"/>
  <c r="A516" i="2"/>
  <c r="A517" i="2" s="1"/>
  <c r="A518" i="2" s="1"/>
  <c r="A519" i="2" s="1"/>
  <c r="A544" i="2"/>
  <c r="A545" i="2" s="1"/>
  <c r="A546" i="2" s="1"/>
  <c r="A547" i="2" s="1"/>
  <c r="A548" i="2" s="1"/>
  <c r="A576" i="2"/>
  <c r="A635" i="2"/>
  <c r="A749" i="2"/>
  <c r="A427" i="2"/>
  <c r="A537" i="2"/>
  <c r="A538" i="2" s="1"/>
  <c r="A539" i="2" s="1"/>
  <c r="A540" i="2" s="1"/>
  <c r="A560" i="2"/>
  <c r="A561" i="2" s="1"/>
  <c r="A562" i="2" s="1"/>
  <c r="A434" i="2"/>
  <c r="A435" i="2" s="1"/>
  <c r="A436" i="2" s="1"/>
  <c r="A551" i="2"/>
  <c r="A552" i="2" s="1"/>
  <c r="A553" i="2" s="1"/>
  <c r="A567" i="2"/>
  <c r="A568" i="2" s="1"/>
  <c r="A569" i="2" s="1"/>
  <c r="A586" i="2"/>
  <c r="A587" i="2" s="1"/>
  <c r="A588" i="2" s="1"/>
  <c r="A589" i="2" s="1"/>
  <c r="A590" i="2" s="1"/>
  <c r="A593" i="2"/>
  <c r="A594" i="2" s="1"/>
  <c r="A651" i="2"/>
  <c r="A652" i="2" s="1"/>
  <c r="A653" i="2" s="1"/>
  <c r="A664" i="2"/>
  <c r="A699" i="2"/>
  <c r="A709" i="2"/>
  <c r="A716" i="2"/>
  <c r="A600" i="2"/>
  <c r="A601" i="2" s="1"/>
  <c r="A602" i="2" s="1"/>
  <c r="A609" i="2"/>
  <c r="A610" i="2" s="1"/>
  <c r="A611" i="2" s="1"/>
  <c r="A612" i="2" s="1"/>
  <c r="A613" i="2" s="1"/>
  <c r="A616" i="2"/>
  <c r="A617" i="2" s="1"/>
  <c r="A618" i="2" s="1"/>
  <c r="A619" i="2" s="1"/>
  <c r="A620" i="2" s="1"/>
  <c r="A810" i="2"/>
  <c r="A847" i="2"/>
  <c r="A856" i="2"/>
  <c r="A733" i="2"/>
  <c r="A740" i="2"/>
  <c r="A741" i="2" s="1"/>
  <c r="A742" i="2" s="1"/>
  <c r="A743" i="2" s="1"/>
  <c r="A833" i="2"/>
  <c r="A840" i="2"/>
  <c r="A841" i="2" s="1"/>
  <c r="A842" i="2" s="1"/>
  <c r="A529" i="2"/>
  <c r="A530" i="2" s="1"/>
  <c r="A531" i="2" s="1"/>
  <c r="A532" i="2" s="1"/>
  <c r="A533" i="2" s="1"/>
  <c r="A380" i="2"/>
  <c r="A784" i="2"/>
  <c r="A826" i="2"/>
  <c r="A687" i="2"/>
  <c r="A688" i="2" s="1"/>
  <c r="A689" i="2" s="1"/>
  <c r="A725" i="2"/>
  <c r="A726" i="2" s="1"/>
  <c r="A759" i="2"/>
  <c r="A768" i="2"/>
  <c r="A769" i="2" s="1"/>
  <c r="A770" i="2" s="1"/>
  <c r="A798" i="2"/>
  <c r="A799" i="2" s="1"/>
  <c r="A800" i="2" s="1"/>
  <c r="A801" i="2" s="1"/>
  <c r="A863" i="2"/>
  <c r="A864" i="2" s="1"/>
  <c r="A865" i="2" s="1"/>
  <c r="A873" i="2"/>
  <c r="A804" i="2"/>
  <c r="A805" i="2" s="1"/>
  <c r="A806" i="2" s="1"/>
  <c r="A807" i="2" s="1"/>
  <c r="G226" i="2"/>
  <c r="G360" i="2"/>
  <c r="G490" i="2"/>
  <c r="G779" i="2"/>
  <c r="G793" i="2"/>
  <c r="G478" i="2"/>
  <c r="G57" i="2"/>
  <c r="G867" i="2"/>
  <c r="E866" i="2" s="1"/>
  <c r="G865" i="2"/>
  <c r="G864" i="2"/>
  <c r="M864" i="2" s="1"/>
  <c r="G863" i="2"/>
  <c r="M863" i="2" s="1"/>
  <c r="G681" i="2"/>
  <c r="G643" i="2"/>
  <c r="G613" i="2"/>
  <c r="E612" i="2" s="1"/>
  <c r="G611" i="2"/>
  <c r="G610" i="2"/>
  <c r="G609" i="2"/>
  <c r="M609" i="2" s="1"/>
  <c r="G571" i="2"/>
  <c r="E570" i="2" s="1"/>
  <c r="G567" i="2"/>
  <c r="M567" i="2" s="1"/>
  <c r="G569" i="2"/>
  <c r="G568" i="2"/>
  <c r="G392" i="2"/>
  <c r="M392" i="2" s="1"/>
  <c r="G386" i="2"/>
  <c r="G388" i="2"/>
  <c r="E387" i="2" s="1"/>
  <c r="G385" i="2"/>
  <c r="M385" i="2" s="1"/>
  <c r="G369" i="2"/>
  <c r="G337" i="2"/>
  <c r="M337" i="2" s="1"/>
  <c r="G156" i="2"/>
  <c r="E155" i="2" s="1"/>
  <c r="G154" i="2"/>
  <c r="G153" i="2"/>
  <c r="G152" i="2"/>
  <c r="M152" i="2" s="1"/>
  <c r="A152" i="2"/>
  <c r="A153" i="2" s="1"/>
  <c r="A154" i="2" s="1"/>
  <c r="G54" i="2"/>
  <c r="G53" i="2"/>
  <c r="G67" i="2"/>
  <c r="G66" i="2"/>
  <c r="G65" i="2"/>
  <c r="G64" i="2"/>
  <c r="G63" i="2"/>
  <c r="G771" i="2"/>
  <c r="G659" i="2"/>
  <c r="G658" i="2"/>
  <c r="G657" i="2"/>
  <c r="G641" i="2"/>
  <c r="G489" i="2"/>
  <c r="G488" i="2"/>
  <c r="G476" i="2"/>
  <c r="G475" i="2"/>
  <c r="G351" i="2"/>
  <c r="G350" i="2"/>
  <c r="G238" i="2"/>
  <c r="G237" i="2"/>
  <c r="G224" i="2"/>
  <c r="G55" i="2"/>
  <c r="G46" i="2"/>
  <c r="E45" i="2" s="1"/>
  <c r="G44" i="2"/>
  <c r="G43" i="2"/>
  <c r="G42" i="2"/>
  <c r="M42" i="2" s="1"/>
  <c r="A42" i="2"/>
  <c r="A43" i="2" s="1"/>
  <c r="A44" i="2" s="1"/>
  <c r="A45" i="2" s="1"/>
  <c r="A46" i="2" s="1"/>
  <c r="G39" i="2"/>
  <c r="E38" i="2" s="1"/>
  <c r="G37" i="2"/>
  <c r="G36" i="2"/>
  <c r="G35" i="2"/>
  <c r="G34" i="2"/>
  <c r="G33" i="2"/>
  <c r="G32" i="2"/>
  <c r="G31" i="2"/>
  <c r="G30" i="2"/>
  <c r="G29" i="2"/>
  <c r="G28" i="2"/>
  <c r="G27" i="2"/>
  <c r="G26" i="2"/>
  <c r="M26" i="2" s="1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G844" i="2"/>
  <c r="E843" i="2" s="1"/>
  <c r="G842" i="2"/>
  <c r="M842" i="2" s="1"/>
  <c r="G841" i="2"/>
  <c r="M841" i="2" s="1"/>
  <c r="G840" i="2"/>
  <c r="M840" i="2" s="1"/>
  <c r="G879" i="2"/>
  <c r="E878" i="2" s="1"/>
  <c r="G877" i="2"/>
  <c r="G876" i="2"/>
  <c r="G875" i="2"/>
  <c r="G874" i="2"/>
  <c r="G873" i="2"/>
  <c r="M873" i="2" s="1"/>
  <c r="G872" i="2"/>
  <c r="M872" i="2" s="1"/>
  <c r="G860" i="2"/>
  <c r="E859" i="2" s="1"/>
  <c r="G858" i="2"/>
  <c r="G853" i="2"/>
  <c r="E852" i="2" s="1"/>
  <c r="G851" i="2"/>
  <c r="G850" i="2"/>
  <c r="G849" i="2"/>
  <c r="G848" i="2"/>
  <c r="G847" i="2"/>
  <c r="M847" i="2" s="1"/>
  <c r="G837" i="2"/>
  <c r="E836" i="2" s="1"/>
  <c r="G835" i="2"/>
  <c r="G834" i="2"/>
  <c r="G833" i="2"/>
  <c r="M833" i="2" s="1"/>
  <c r="G857" i="2"/>
  <c r="G856" i="2"/>
  <c r="M856" i="2" s="1"/>
  <c r="G830" i="2"/>
  <c r="E829" i="2" s="1"/>
  <c r="G828" i="2"/>
  <c r="G827" i="2"/>
  <c r="G826" i="2"/>
  <c r="M826" i="2" s="1"/>
  <c r="G823" i="2"/>
  <c r="E822" i="2" s="1"/>
  <c r="G821" i="2"/>
  <c r="G820" i="2"/>
  <c r="G819" i="2"/>
  <c r="G818" i="2"/>
  <c r="G817" i="2"/>
  <c r="G816" i="2"/>
  <c r="G815" i="2"/>
  <c r="G814" i="2"/>
  <c r="G813" i="2"/>
  <c r="G812" i="2"/>
  <c r="G811" i="2"/>
  <c r="G810" i="2"/>
  <c r="M810" i="2" s="1"/>
  <c r="G805" i="2"/>
  <c r="M805" i="2" s="1"/>
  <c r="G807" i="2"/>
  <c r="E806" i="2" s="1"/>
  <c r="G804" i="2"/>
  <c r="M804" i="2" s="1"/>
  <c r="G801" i="2"/>
  <c r="E800" i="2" s="1"/>
  <c r="G799" i="2"/>
  <c r="M799" i="2" s="1"/>
  <c r="G798" i="2"/>
  <c r="M798" i="2" s="1"/>
  <c r="G795" i="2"/>
  <c r="E794" i="2" s="1"/>
  <c r="G792" i="2"/>
  <c r="G791" i="2"/>
  <c r="G790" i="2"/>
  <c r="G789" i="2"/>
  <c r="G788" i="2"/>
  <c r="G787" i="2"/>
  <c r="G786" i="2"/>
  <c r="G785" i="2"/>
  <c r="G784" i="2"/>
  <c r="M784" i="2" s="1"/>
  <c r="G781" i="2"/>
  <c r="E780" i="2" s="1"/>
  <c r="G778" i="2"/>
  <c r="G777" i="2"/>
  <c r="G776" i="2"/>
  <c r="G775" i="2"/>
  <c r="G774" i="2"/>
  <c r="G773" i="2"/>
  <c r="G772" i="2"/>
  <c r="G770" i="2"/>
  <c r="G769" i="2"/>
  <c r="M769" i="2" s="1"/>
  <c r="G768" i="2"/>
  <c r="M768" i="2" s="1"/>
  <c r="G760" i="2"/>
  <c r="M760" i="2" s="1"/>
  <c r="G765" i="2"/>
  <c r="E764" i="2" s="1"/>
  <c r="G763" i="2"/>
  <c r="G762" i="2"/>
  <c r="G761" i="2"/>
  <c r="G759" i="2"/>
  <c r="M759" i="2" s="1"/>
  <c r="G744" i="2"/>
  <c r="E743" i="2" s="1"/>
  <c r="G742" i="2"/>
  <c r="G741" i="2"/>
  <c r="M741" i="2" s="1"/>
  <c r="G740" i="2"/>
  <c r="M740" i="2" s="1"/>
  <c r="G737" i="2"/>
  <c r="E736" i="2" s="1"/>
  <c r="G735" i="2"/>
  <c r="G734" i="2"/>
  <c r="G733" i="2"/>
  <c r="M733" i="2" s="1"/>
  <c r="G728" i="2"/>
  <c r="G701" i="2"/>
  <c r="G682" i="2"/>
  <c r="G656" i="2"/>
  <c r="G645" i="2"/>
  <c r="G644" i="2"/>
  <c r="G642" i="2"/>
  <c r="G709" i="2"/>
  <c r="M709" i="2" s="1"/>
  <c r="G702" i="2"/>
  <c r="G687" i="2"/>
  <c r="M687" i="2" s="1"/>
  <c r="G703" i="2"/>
  <c r="G691" i="2"/>
  <c r="G688" i="2"/>
  <c r="G679" i="2"/>
  <c r="G678" i="2"/>
  <c r="G677" i="2"/>
  <c r="G669" i="2"/>
  <c r="G667" i="2"/>
  <c r="G664" i="2"/>
  <c r="M664" i="2" s="1"/>
  <c r="G646" i="2"/>
  <c r="G640" i="2"/>
  <c r="G639" i="2"/>
  <c r="G638" i="2"/>
  <c r="G756" i="2"/>
  <c r="E755" i="2" s="1"/>
  <c r="G754" i="2"/>
  <c r="G753" i="2"/>
  <c r="G752" i="2"/>
  <c r="G751" i="2"/>
  <c r="G750" i="2"/>
  <c r="G749" i="2"/>
  <c r="M749" i="2" s="1"/>
  <c r="G730" i="2"/>
  <c r="E729" i="2" s="1"/>
  <c r="G727" i="2"/>
  <c r="G726" i="2"/>
  <c r="M726" i="2" s="1"/>
  <c r="G725" i="2"/>
  <c r="M725" i="2" s="1"/>
  <c r="G722" i="2"/>
  <c r="E721" i="2" s="1"/>
  <c r="G720" i="2"/>
  <c r="G719" i="2"/>
  <c r="G718" i="2"/>
  <c r="G717" i="2"/>
  <c r="G716" i="2"/>
  <c r="M716" i="2" s="1"/>
  <c r="G710" i="2"/>
  <c r="G706" i="2"/>
  <c r="E705" i="2" s="1"/>
  <c r="G690" i="2"/>
  <c r="G684" i="2"/>
  <c r="E683" i="2" s="1"/>
  <c r="G676" i="2"/>
  <c r="G675" i="2"/>
  <c r="G674" i="2"/>
  <c r="G673" i="2"/>
  <c r="G672" i="2"/>
  <c r="G671" i="2"/>
  <c r="G668" i="2"/>
  <c r="G666" i="2"/>
  <c r="M666" i="2" s="1"/>
  <c r="G665" i="2"/>
  <c r="M665" i="2" s="1"/>
  <c r="G661" i="2"/>
  <c r="E660" i="2" s="1"/>
  <c r="G651" i="2"/>
  <c r="M651" i="2" s="1"/>
  <c r="G648" i="2"/>
  <c r="E647" i="2" s="1"/>
  <c r="G636" i="2"/>
  <c r="G635" i="2"/>
  <c r="M635" i="2" s="1"/>
  <c r="G713" i="2"/>
  <c r="E712" i="2" s="1"/>
  <c r="G711" i="2"/>
  <c r="G704" i="2"/>
  <c r="G700" i="2"/>
  <c r="G699" i="2"/>
  <c r="M699" i="2" s="1"/>
  <c r="G694" i="2"/>
  <c r="E693" i="2" s="1"/>
  <c r="G692" i="2"/>
  <c r="G689" i="2"/>
  <c r="G680" i="2"/>
  <c r="G670" i="2"/>
  <c r="G655" i="2"/>
  <c r="G654" i="2"/>
  <c r="G653" i="2"/>
  <c r="G652" i="2"/>
  <c r="G637" i="2"/>
  <c r="G632" i="2"/>
  <c r="E631" i="2" s="1"/>
  <c r="G630" i="2"/>
  <c r="G629" i="2"/>
  <c r="G628" i="2"/>
  <c r="G627" i="2"/>
  <c r="G626" i="2"/>
  <c r="G625" i="2"/>
  <c r="M625" i="2" s="1"/>
  <c r="G620" i="2"/>
  <c r="E619" i="2" s="1"/>
  <c r="G618" i="2"/>
  <c r="G617" i="2"/>
  <c r="G616" i="2"/>
  <c r="M616" i="2" s="1"/>
  <c r="G606" i="2"/>
  <c r="E605" i="2" s="1"/>
  <c r="G604" i="2"/>
  <c r="G602" i="2"/>
  <c r="G601" i="2"/>
  <c r="M601" i="2" s="1"/>
  <c r="G597" i="2"/>
  <c r="E596" i="2" s="1"/>
  <c r="G595" i="2"/>
  <c r="G594" i="2"/>
  <c r="G593" i="2"/>
  <c r="M593" i="2" s="1"/>
  <c r="G590" i="2"/>
  <c r="E589" i="2" s="1"/>
  <c r="G588" i="2"/>
  <c r="G587" i="2"/>
  <c r="G586" i="2"/>
  <c r="M586" i="2" s="1"/>
  <c r="G603" i="2"/>
  <c r="G600" i="2"/>
  <c r="M600" i="2" s="1"/>
  <c r="G486" i="2"/>
  <c r="G562" i="2"/>
  <c r="G561" i="2"/>
  <c r="M561" i="2" s="1"/>
  <c r="G560" i="2"/>
  <c r="M560" i="2" s="1"/>
  <c r="G557" i="2"/>
  <c r="E556" i="2" s="1"/>
  <c r="G554" i="2"/>
  <c r="G553" i="2"/>
  <c r="G552" i="2"/>
  <c r="M552" i="2" s="1"/>
  <c r="G551" i="2"/>
  <c r="M551" i="2" s="1"/>
  <c r="G513" i="2"/>
  <c r="E512" i="2" s="1"/>
  <c r="G506" i="2"/>
  <c r="G505" i="2"/>
  <c r="G504" i="2"/>
  <c r="G499" i="2"/>
  <c r="G498" i="2"/>
  <c r="G495" i="2"/>
  <c r="M495" i="2" s="1"/>
  <c r="G487" i="2"/>
  <c r="G485" i="2"/>
  <c r="G484" i="2"/>
  <c r="M484" i="2" s="1"/>
  <c r="G483" i="2"/>
  <c r="M483" i="2" s="1"/>
  <c r="G480" i="2"/>
  <c r="E479" i="2" s="1"/>
  <c r="G477" i="2"/>
  <c r="G474" i="2"/>
  <c r="G473" i="2"/>
  <c r="G472" i="2"/>
  <c r="G583" i="2"/>
  <c r="E582" i="2" s="1"/>
  <c r="G581" i="2"/>
  <c r="G580" i="2"/>
  <c r="G579" i="2"/>
  <c r="G578" i="2"/>
  <c r="G577" i="2"/>
  <c r="G576" i="2"/>
  <c r="M576" i="2" s="1"/>
  <c r="G564" i="2"/>
  <c r="E563" i="2" s="1"/>
  <c r="G555" i="2"/>
  <c r="G548" i="2"/>
  <c r="E547" i="2" s="1"/>
  <c r="G520" i="2"/>
  <c r="G518" i="2"/>
  <c r="G517" i="2"/>
  <c r="M517" i="2" s="1"/>
  <c r="G516" i="2"/>
  <c r="M516" i="2" s="1"/>
  <c r="G507" i="2"/>
  <c r="G470" i="2"/>
  <c r="G469" i="2"/>
  <c r="M469" i="2" s="1"/>
  <c r="G546" i="2"/>
  <c r="G545" i="2"/>
  <c r="G544" i="2"/>
  <c r="M544" i="2" s="1"/>
  <c r="G541" i="2"/>
  <c r="E540" i="2" s="1"/>
  <c r="G539" i="2"/>
  <c r="G538" i="2"/>
  <c r="M538" i="2" s="1"/>
  <c r="G537" i="2"/>
  <c r="M537" i="2" s="1"/>
  <c r="G534" i="2"/>
  <c r="E533" i="2" s="1"/>
  <c r="G532" i="2"/>
  <c r="G531" i="2"/>
  <c r="G530" i="2"/>
  <c r="G529" i="2"/>
  <c r="G528" i="2"/>
  <c r="M528" i="2" s="1"/>
  <c r="G523" i="2"/>
  <c r="E522" i="2" s="1"/>
  <c r="G521" i="2"/>
  <c r="G519" i="2"/>
  <c r="G511" i="2"/>
  <c r="G510" i="2"/>
  <c r="G509" i="2"/>
  <c r="G508" i="2"/>
  <c r="G503" i="2"/>
  <c r="G502" i="2"/>
  <c r="G501" i="2"/>
  <c r="G500" i="2"/>
  <c r="G497" i="2"/>
  <c r="G496" i="2"/>
  <c r="M496" i="2" s="1"/>
  <c r="G492" i="2"/>
  <c r="E491" i="2" s="1"/>
  <c r="G471" i="2"/>
  <c r="G463" i="2"/>
  <c r="G462" i="2"/>
  <c r="G461" i="2"/>
  <c r="G460" i="2"/>
  <c r="G459" i="2"/>
  <c r="M459" i="2" s="1"/>
  <c r="G466" i="2"/>
  <c r="E465" i="2" s="1"/>
  <c r="G464" i="2"/>
  <c r="G431" i="2"/>
  <c r="E430" i="2" s="1"/>
  <c r="G429" i="2"/>
  <c r="G428" i="2"/>
  <c r="G427" i="2"/>
  <c r="M427" i="2" s="1"/>
  <c r="G424" i="2"/>
  <c r="E423" i="2" s="1"/>
  <c r="G422" i="2"/>
  <c r="M422" i="2" s="1"/>
  <c r="G421" i="2"/>
  <c r="M421" i="2" s="1"/>
  <c r="G420" i="2"/>
  <c r="M420" i="2" s="1"/>
  <c r="G454" i="2"/>
  <c r="E453" i="2" s="1"/>
  <c r="G452" i="2"/>
  <c r="G451" i="2"/>
  <c r="G450" i="2"/>
  <c r="M450" i="2" s="1"/>
  <c r="G447" i="2"/>
  <c r="E446" i="2" s="1"/>
  <c r="G445" i="2"/>
  <c r="G444" i="2"/>
  <c r="M444" i="2" s="1"/>
  <c r="G443" i="2"/>
  <c r="M443" i="2" s="1"/>
  <c r="G440" i="2"/>
  <c r="E439" i="2" s="1"/>
  <c r="G438" i="2"/>
  <c r="G437" i="2"/>
  <c r="G436" i="2"/>
  <c r="G435" i="2"/>
  <c r="M435" i="2" s="1"/>
  <c r="G434" i="2"/>
  <c r="M434" i="2" s="1"/>
  <c r="G414" i="2"/>
  <c r="M414" i="2" s="1"/>
  <c r="G410" i="2"/>
  <c r="E409" i="2" s="1"/>
  <c r="G408" i="2"/>
  <c r="G407" i="2"/>
  <c r="G406" i="2"/>
  <c r="G405" i="2"/>
  <c r="G403" i="2"/>
  <c r="G402" i="2"/>
  <c r="G401" i="2"/>
  <c r="G400" i="2"/>
  <c r="G399" i="2"/>
  <c r="G398" i="2"/>
  <c r="G397" i="2"/>
  <c r="M397" i="2" s="1"/>
  <c r="G417" i="2"/>
  <c r="E416" i="2" s="1"/>
  <c r="G415" i="2"/>
  <c r="G413" i="2"/>
  <c r="M413" i="2" s="1"/>
  <c r="G404" i="2"/>
  <c r="G394" i="2"/>
  <c r="E393" i="2" s="1"/>
  <c r="G391" i="2"/>
  <c r="M391" i="2" s="1"/>
  <c r="G380" i="2"/>
  <c r="G382" i="2"/>
  <c r="E381" i="2" s="1"/>
  <c r="G379" i="2"/>
  <c r="M379" i="2" s="1"/>
  <c r="G376" i="2"/>
  <c r="E375" i="2" s="1"/>
  <c r="G374" i="2"/>
  <c r="G373" i="2"/>
  <c r="G372" i="2"/>
  <c r="G371" i="2"/>
  <c r="G370" i="2"/>
  <c r="G368" i="2"/>
  <c r="G367" i="2"/>
  <c r="G366" i="2"/>
  <c r="G365" i="2"/>
  <c r="M365" i="2" s="1"/>
  <c r="G357" i="2"/>
  <c r="G356" i="2"/>
  <c r="G359" i="2"/>
  <c r="G355" i="2"/>
  <c r="G352" i="2"/>
  <c r="G353" i="2"/>
  <c r="G354" i="2"/>
  <c r="G348" i="2"/>
  <c r="G362" i="2"/>
  <c r="E361" i="2" s="1"/>
  <c r="G358" i="2"/>
  <c r="G349" i="2"/>
  <c r="G347" i="2"/>
  <c r="G346" i="2"/>
  <c r="G345" i="2"/>
  <c r="G340" i="2"/>
  <c r="G339" i="2"/>
  <c r="M339" i="2" s="1"/>
  <c r="G342" i="2"/>
  <c r="E341" i="2" s="1"/>
  <c r="G338" i="2"/>
  <c r="M338" i="2" s="1"/>
  <c r="G336" i="2"/>
  <c r="M336" i="2" s="1"/>
  <c r="G321" i="2"/>
  <c r="E320" i="2" s="1"/>
  <c r="G319" i="2"/>
  <c r="G318" i="2"/>
  <c r="G317" i="2"/>
  <c r="M317" i="2" s="1"/>
  <c r="G331" i="2"/>
  <c r="G310" i="2"/>
  <c r="M310" i="2" s="1"/>
  <c r="G305" i="2"/>
  <c r="G298" i="2"/>
  <c r="E297" i="2" s="1"/>
  <c r="G333" i="2"/>
  <c r="E332" i="2" s="1"/>
  <c r="G314" i="2"/>
  <c r="E313" i="2" s="1"/>
  <c r="G312" i="2"/>
  <c r="G311" i="2"/>
  <c r="M311" i="2" s="1"/>
  <c r="G307" i="2"/>
  <c r="E306" i="2" s="1"/>
  <c r="G302" i="2"/>
  <c r="G301" i="2"/>
  <c r="M301" i="2" s="1"/>
  <c r="G291" i="2"/>
  <c r="E290" i="2" s="1"/>
  <c r="G289" i="2"/>
  <c r="G288" i="2"/>
  <c r="G287" i="2"/>
  <c r="M287" i="2" s="1"/>
  <c r="G330" i="2"/>
  <c r="G329" i="2"/>
  <c r="G328" i="2"/>
  <c r="G327" i="2"/>
  <c r="G326" i="2"/>
  <c r="M326" i="2" s="1"/>
  <c r="G304" i="2"/>
  <c r="G303" i="2"/>
  <c r="G296" i="2"/>
  <c r="G295" i="2"/>
  <c r="G294" i="2"/>
  <c r="M294" i="2" s="1"/>
  <c r="G279" i="2"/>
  <c r="G236" i="2"/>
  <c r="G232" i="2"/>
  <c r="A232" i="2"/>
  <c r="G284" i="2"/>
  <c r="E283" i="2" s="1"/>
  <c r="G282" i="2"/>
  <c r="G281" i="2"/>
  <c r="G280" i="2"/>
  <c r="G278" i="2"/>
  <c r="G277" i="2"/>
  <c r="M277" i="2" s="1"/>
  <c r="A277" i="2"/>
  <c r="A278" i="2" s="1"/>
  <c r="A279" i="2" s="1"/>
  <c r="A280" i="2" s="1"/>
  <c r="A281" i="2" s="1"/>
  <c r="A282" i="2" s="1"/>
  <c r="A283" i="2" s="1"/>
  <c r="A284" i="2" s="1"/>
  <c r="G272" i="2"/>
  <c r="E271" i="2" s="1"/>
  <c r="G270" i="2"/>
  <c r="G269" i="2"/>
  <c r="G268" i="2"/>
  <c r="G267" i="2"/>
  <c r="G266" i="2"/>
  <c r="G265" i="2"/>
  <c r="M265" i="2" s="1"/>
  <c r="A265" i="2"/>
  <c r="A266" i="2" s="1"/>
  <c r="A267" i="2" s="1"/>
  <c r="A268" i="2" s="1"/>
  <c r="A269" i="2" s="1"/>
  <c r="A270" i="2" s="1"/>
  <c r="A271" i="2" s="1"/>
  <c r="A272" i="2" s="1"/>
  <c r="G262" i="2"/>
  <c r="E261" i="2" s="1"/>
  <c r="G259" i="2"/>
  <c r="G258" i="2"/>
  <c r="G256" i="2"/>
  <c r="G255" i="2"/>
  <c r="G252" i="2"/>
  <c r="G250" i="2"/>
  <c r="G248" i="2"/>
  <c r="G244" i="2"/>
  <c r="M244" i="2" s="1"/>
  <c r="A244" i="2"/>
  <c r="G235" i="2"/>
  <c r="G233" i="2"/>
  <c r="G223" i="2"/>
  <c r="G221" i="2"/>
  <c r="G220" i="2"/>
  <c r="M220" i="2" s="1"/>
  <c r="A220" i="2"/>
  <c r="A221" i="2" s="1"/>
  <c r="A222" i="2" s="1"/>
  <c r="G260" i="2"/>
  <c r="G257" i="2"/>
  <c r="G254" i="2"/>
  <c r="G253" i="2"/>
  <c r="G251" i="2"/>
  <c r="G249" i="2"/>
  <c r="G247" i="2"/>
  <c r="G246" i="2"/>
  <c r="G245" i="2"/>
  <c r="G241" i="2"/>
  <c r="E240" i="2" s="1"/>
  <c r="G239" i="2"/>
  <c r="G234" i="2"/>
  <c r="G231" i="2"/>
  <c r="M231" i="2" s="1"/>
  <c r="A231" i="2"/>
  <c r="A233" i="2" s="1"/>
  <c r="A234" i="2" s="1"/>
  <c r="A235" i="2" s="1"/>
  <c r="G228" i="2"/>
  <c r="E227" i="2" s="1"/>
  <c r="G225" i="2"/>
  <c r="G222" i="2"/>
  <c r="G217" i="2"/>
  <c r="E216" i="2" s="1"/>
  <c r="G215" i="2"/>
  <c r="G214" i="2"/>
  <c r="G213" i="2"/>
  <c r="G212" i="2"/>
  <c r="G211" i="2"/>
  <c r="G210" i="2"/>
  <c r="M210" i="2" s="1"/>
  <c r="A210" i="2"/>
  <c r="A211" i="2" s="1"/>
  <c r="G202" i="2"/>
  <c r="G201" i="2"/>
  <c r="M201" i="2" s="1"/>
  <c r="G203" i="2"/>
  <c r="G205" i="2"/>
  <c r="E204" i="2" s="1"/>
  <c r="A201" i="2"/>
  <c r="A202" i="2" s="1"/>
  <c r="A203" i="2" s="1"/>
  <c r="G198" i="2"/>
  <c r="E197" i="2" s="1"/>
  <c r="G196" i="2"/>
  <c r="G195" i="2"/>
  <c r="M195" i="2" s="1"/>
  <c r="G194" i="2"/>
  <c r="M194" i="2" s="1"/>
  <c r="A194" i="2"/>
  <c r="A195" i="2" s="1"/>
  <c r="A196" i="2" s="1"/>
  <c r="G189" i="2"/>
  <c r="G188" i="2"/>
  <c r="G185" i="2"/>
  <c r="M185" i="2" s="1"/>
  <c r="A185" i="2"/>
  <c r="A186" i="2" s="1"/>
  <c r="G191" i="2"/>
  <c r="E190" i="2" s="1"/>
  <c r="G187" i="2"/>
  <c r="G186" i="2"/>
  <c r="G182" i="2"/>
  <c r="E181" i="2" s="1"/>
  <c r="G180" i="2"/>
  <c r="G179" i="2"/>
  <c r="G178" i="2"/>
  <c r="M178" i="2" s="1"/>
  <c r="A178" i="2"/>
  <c r="A179" i="2" s="1"/>
  <c r="A180" i="2" s="1"/>
  <c r="A181" i="2" s="1"/>
  <c r="A182" i="2" s="1"/>
  <c r="G175" i="2"/>
  <c r="E174" i="2" s="1"/>
  <c r="G173" i="2"/>
  <c r="G172" i="2"/>
  <c r="G171" i="2"/>
  <c r="M171" i="2" s="1"/>
  <c r="A171" i="2"/>
  <c r="A172" i="2" s="1"/>
  <c r="A173" i="2" s="1"/>
  <c r="A174" i="2" s="1"/>
  <c r="A175" i="2" s="1"/>
  <c r="G166" i="2"/>
  <c r="G165" i="2"/>
  <c r="G164" i="2"/>
  <c r="G162" i="2"/>
  <c r="G168" i="2"/>
  <c r="E167" i="2" s="1"/>
  <c r="G163" i="2"/>
  <c r="G161" i="2"/>
  <c r="M161" i="2" s="1"/>
  <c r="A161" i="2"/>
  <c r="A162" i="2" s="1"/>
  <c r="G149" i="2"/>
  <c r="E148" i="2" s="1"/>
  <c r="G147" i="2"/>
  <c r="G146" i="2"/>
  <c r="M146" i="2" s="1"/>
  <c r="G145" i="2"/>
  <c r="M145" i="2" s="1"/>
  <c r="A145" i="2"/>
  <c r="A146" i="2" s="1"/>
  <c r="A147" i="2" s="1"/>
  <c r="G140" i="2"/>
  <c r="G139" i="2"/>
  <c r="G137" i="2"/>
  <c r="G142" i="2"/>
  <c r="E141" i="2" s="1"/>
  <c r="G138" i="2"/>
  <c r="G136" i="2"/>
  <c r="M136" i="2" s="1"/>
  <c r="A136" i="2"/>
  <c r="A137" i="2" s="1"/>
  <c r="A138" i="2" s="1"/>
  <c r="A139" i="2" s="1"/>
  <c r="A140" i="2" s="1"/>
  <c r="G133" i="2"/>
  <c r="E132" i="2" s="1"/>
  <c r="G131" i="2"/>
  <c r="G130" i="2"/>
  <c r="G129" i="2"/>
  <c r="M129" i="2" s="1"/>
  <c r="A129" i="2"/>
  <c r="A130" i="2" s="1"/>
  <c r="A131" i="2" s="1"/>
  <c r="A132" i="2" s="1"/>
  <c r="A133" i="2" s="1"/>
  <c r="G126" i="2"/>
  <c r="E125" i="2" s="1"/>
  <c r="G124" i="2"/>
  <c r="G123" i="2"/>
  <c r="M123" i="2" s="1"/>
  <c r="G122" i="2"/>
  <c r="M122" i="2" s="1"/>
  <c r="A122" i="2"/>
  <c r="A123" i="2" s="1"/>
  <c r="A124" i="2" s="1"/>
  <c r="A125" i="2" s="1"/>
  <c r="A126" i="2" s="1"/>
  <c r="G119" i="2"/>
  <c r="E118" i="2" s="1"/>
  <c r="G117" i="2"/>
  <c r="G116" i="2"/>
  <c r="G115" i="2"/>
  <c r="M115" i="2" s="1"/>
  <c r="A115" i="2"/>
  <c r="A116" i="2" s="1"/>
  <c r="A117" i="2" s="1"/>
  <c r="A118" i="2" s="1"/>
  <c r="A119" i="2" s="1"/>
  <c r="G112" i="2"/>
  <c r="E111" i="2" s="1"/>
  <c r="G110" i="2"/>
  <c r="G109" i="2"/>
  <c r="G108" i="2"/>
  <c r="G107" i="2"/>
  <c r="G106" i="2"/>
  <c r="M106" i="2" s="1"/>
  <c r="A106" i="2"/>
  <c r="A107" i="2" s="1"/>
  <c r="A108" i="2" s="1"/>
  <c r="A109" i="2" s="1"/>
  <c r="A110" i="2" s="1"/>
  <c r="A111" i="2" s="1"/>
  <c r="A112" i="2" s="1"/>
  <c r="G95" i="2"/>
  <c r="G94" i="2"/>
  <c r="M94" i="2" s="1"/>
  <c r="A94" i="2"/>
  <c r="A95" i="2" s="1"/>
  <c r="A96" i="2" s="1"/>
  <c r="A97" i="2" s="1"/>
  <c r="A98" i="2" s="1"/>
  <c r="A99" i="2" s="1"/>
  <c r="G101" i="2"/>
  <c r="E100" i="2" s="1"/>
  <c r="G96" i="2"/>
  <c r="G99" i="2"/>
  <c r="G98" i="2"/>
  <c r="G97" i="2"/>
  <c r="G89" i="2"/>
  <c r="G88" i="2"/>
  <c r="G87" i="2"/>
  <c r="G86" i="2"/>
  <c r="G85" i="2"/>
  <c r="G84" i="2"/>
  <c r="G78" i="2"/>
  <c r="G79" i="2"/>
  <c r="G80" i="2"/>
  <c r="G75" i="2"/>
  <c r="G76" i="2"/>
  <c r="G82" i="2"/>
  <c r="G83" i="2"/>
  <c r="G77" i="2"/>
  <c r="G91" i="2"/>
  <c r="E90" i="2" s="1"/>
  <c r="G81" i="2"/>
  <c r="G74" i="2"/>
  <c r="G73" i="2"/>
  <c r="M73" i="2" s="1"/>
  <c r="A73" i="2"/>
  <c r="G68" i="2"/>
  <c r="G62" i="2"/>
  <c r="M62" i="2" s="1"/>
  <c r="A62" i="2"/>
  <c r="A63" i="2" s="1"/>
  <c r="A64" i="2" s="1"/>
  <c r="A65" i="2" s="1"/>
  <c r="A66" i="2" s="1"/>
  <c r="A67" i="2" s="1"/>
  <c r="A68" i="2" s="1"/>
  <c r="A69" i="2" s="1"/>
  <c r="A70" i="2" s="1"/>
  <c r="G70" i="2"/>
  <c r="E69" i="2" s="1"/>
  <c r="G56" i="2"/>
  <c r="G52" i="2"/>
  <c r="G51" i="2"/>
  <c r="G50" i="2"/>
  <c r="M50" i="2" s="1"/>
  <c r="G49" i="2"/>
  <c r="M49" i="2" s="1"/>
  <c r="A49" i="2"/>
  <c r="A50" i="2" s="1"/>
  <c r="A51" i="2" s="1"/>
  <c r="A52" i="2" s="1"/>
  <c r="A53" i="2" s="1"/>
  <c r="A54" i="2" s="1"/>
  <c r="G59" i="2"/>
  <c r="E58" i="2" s="1"/>
  <c r="G9" i="2"/>
  <c r="G13" i="2"/>
  <c r="G8" i="2"/>
  <c r="G10" i="2"/>
  <c r="G12" i="2"/>
  <c r="G23" i="2"/>
  <c r="E22" i="2" s="1"/>
  <c r="G21" i="2"/>
  <c r="G20" i="2"/>
  <c r="G19" i="2"/>
  <c r="M19" i="2" s="1"/>
  <c r="A19" i="2"/>
  <c r="A20" i="2" s="1"/>
  <c r="A21" i="2" s="1"/>
  <c r="A22" i="2" s="1"/>
  <c r="A23" i="2" s="1"/>
  <c r="M735" i="2" l="1"/>
  <c r="M153" i="2"/>
  <c r="M415" i="2"/>
  <c r="M485" i="2"/>
  <c r="M51" i="2"/>
  <c r="M245" i="2"/>
  <c r="M750" i="2"/>
  <c r="M162" i="2"/>
  <c r="M497" i="2"/>
  <c r="M74" i="2"/>
  <c r="M717" i="2"/>
  <c r="M568" i="2"/>
  <c r="M27" i="2"/>
  <c r="M530" i="2"/>
  <c r="M386" i="2"/>
  <c r="M742" i="2"/>
  <c r="M137" i="2"/>
  <c r="M848" i="2"/>
  <c r="M428" i="2"/>
  <c r="M394" i="2"/>
  <c r="L395" i="2"/>
  <c r="M295" i="2"/>
  <c r="M562" i="2"/>
  <c r="M857" i="2"/>
  <c r="M380" i="2"/>
  <c r="M211" i="2"/>
  <c r="M834" i="2"/>
  <c r="M636" i="2"/>
  <c r="M451" i="2"/>
  <c r="M761" i="2"/>
  <c r="M95" i="2"/>
  <c r="M688" i="2"/>
  <c r="M221" i="2"/>
  <c r="M302" i="2"/>
  <c r="M553" i="2"/>
  <c r="M436" i="2"/>
  <c r="M366" i="2"/>
  <c r="M318" i="2"/>
  <c r="M147" i="2"/>
  <c r="M232" i="2"/>
  <c r="M518" i="2"/>
  <c r="M340" i="2"/>
  <c r="M602" i="2"/>
  <c r="M627" i="2"/>
  <c r="M312" i="2"/>
  <c r="L303" i="2"/>
  <c r="M303" i="2" s="1"/>
  <c r="M617" i="2"/>
  <c r="M734" i="2"/>
  <c r="M710" i="2"/>
  <c r="L711" i="2"/>
  <c r="M186" i="2"/>
  <c r="M445" i="2"/>
  <c r="M577" i="2"/>
  <c r="L233" i="2"/>
  <c r="M233" i="2" s="1"/>
  <c r="L486" i="2"/>
  <c r="M486" i="2" s="1"/>
  <c r="M594" i="2"/>
  <c r="M278" i="2"/>
  <c r="M874" i="2"/>
  <c r="M107" i="2"/>
  <c r="M865" i="2"/>
  <c r="M539" i="2"/>
  <c r="L117" i="2"/>
  <c r="M117" i="2" s="1"/>
  <c r="M116" i="2"/>
  <c r="M667" i="2"/>
  <c r="M130" i="2"/>
  <c r="M172" i="2"/>
  <c r="L866" i="2"/>
  <c r="M266" i="2"/>
  <c r="M460" i="2"/>
  <c r="M179" i="2"/>
  <c r="M288" i="2"/>
  <c r="M20" i="2"/>
  <c r="M63" i="2"/>
  <c r="M727" i="2"/>
  <c r="M811" i="2"/>
  <c r="M470" i="2"/>
  <c r="L588" i="2"/>
  <c r="M588" i="2" s="1"/>
  <c r="M587" i="2"/>
  <c r="M610" i="2"/>
  <c r="L611" i="2"/>
  <c r="M770" i="2"/>
  <c r="L771" i="2"/>
  <c r="M529" i="2"/>
  <c r="M827" i="2"/>
  <c r="L828" i="2"/>
  <c r="M124" i="2"/>
  <c r="L751" i="2"/>
  <c r="M751" i="2" s="1"/>
  <c r="M785" i="2"/>
  <c r="M545" i="2"/>
  <c r="L637" i="2"/>
  <c r="M637" i="2" s="1"/>
  <c r="M652" i="2"/>
  <c r="M202" i="2"/>
  <c r="M626" i="2"/>
  <c r="M844" i="2"/>
  <c r="L429" i="2"/>
  <c r="M429" i="2" s="1"/>
  <c r="M398" i="2"/>
  <c r="M196" i="2"/>
  <c r="M346" i="2"/>
  <c r="L858" i="2"/>
  <c r="M858" i="2" s="1"/>
  <c r="M700" i="2"/>
  <c r="M327" i="2"/>
  <c r="L328" i="2"/>
  <c r="L108" i="2"/>
  <c r="M108" i="2" s="1"/>
  <c r="L618" i="2"/>
  <c r="M618" i="2" s="1"/>
  <c r="L222" i="2"/>
  <c r="M222" i="2" s="1"/>
  <c r="L718" i="2"/>
  <c r="M718" i="2" s="1"/>
  <c r="L203" i="2"/>
  <c r="M203" i="2" s="1"/>
  <c r="L148" i="2"/>
  <c r="L835" i="2"/>
  <c r="M835" i="2" s="1"/>
  <c r="L180" i="2"/>
  <c r="M180" i="2" s="1"/>
  <c r="L5" i="2"/>
  <c r="L812" i="2"/>
  <c r="M812" i="2" s="1"/>
  <c r="L668" i="2"/>
  <c r="M668" i="2" s="1"/>
  <c r="L381" i="2"/>
  <c r="L628" i="2"/>
  <c r="M628" i="2" s="1"/>
  <c r="L424" i="2"/>
  <c r="M424" i="2" s="1"/>
  <c r="L875" i="2"/>
  <c r="M875" i="2" s="1"/>
  <c r="L138" i="2"/>
  <c r="M138" i="2" s="1"/>
  <c r="L347" i="2"/>
  <c r="M347" i="2" s="1"/>
  <c r="L752" i="2"/>
  <c r="M752" i="2" s="1"/>
  <c r="L289" i="2"/>
  <c r="M289" i="2" s="1"/>
  <c r="L762" i="2"/>
  <c r="M762" i="2" s="1"/>
  <c r="L131" i="2"/>
  <c r="M131" i="2" s="1"/>
  <c r="L387" i="2"/>
  <c r="L367" i="2"/>
  <c r="M367" i="2" s="1"/>
  <c r="L319" i="2"/>
  <c r="M319" i="2" s="1"/>
  <c r="L461" i="2"/>
  <c r="M461" i="2" s="1"/>
  <c r="L786" i="2"/>
  <c r="M786" i="2" s="1"/>
  <c r="L21" i="2"/>
  <c r="M21" i="2" s="1"/>
  <c r="L173" i="2"/>
  <c r="M173" i="2" s="1"/>
  <c r="L563" i="2"/>
  <c r="L187" i="2"/>
  <c r="M187" i="2" s="1"/>
  <c r="L471" i="2"/>
  <c r="M471" i="2" s="1"/>
  <c r="L96" i="2"/>
  <c r="M96" i="2" s="1"/>
  <c r="L313" i="2"/>
  <c r="L743" i="2"/>
  <c r="L519" i="2"/>
  <c r="M519" i="2" s="1"/>
  <c r="L75" i="2"/>
  <c r="M75" i="2" s="1"/>
  <c r="L736" i="2"/>
  <c r="L341" i="2"/>
  <c r="L246" i="2"/>
  <c r="M246" i="2" s="1"/>
  <c r="L64" i="2"/>
  <c r="M64" i="2" s="1"/>
  <c r="L540" i="2"/>
  <c r="L212" i="2"/>
  <c r="M212" i="2" s="1"/>
  <c r="L701" i="2"/>
  <c r="M701" i="2" s="1"/>
  <c r="L416" i="2"/>
  <c r="L446" i="2"/>
  <c r="L154" i="2"/>
  <c r="M154" i="2" s="1"/>
  <c r="L531" i="2"/>
  <c r="M531" i="2" s="1"/>
  <c r="L197" i="2"/>
  <c r="L867" i="2"/>
  <c r="M867" i="2" s="1"/>
  <c r="L267" i="2"/>
  <c r="M267" i="2" s="1"/>
  <c r="L498" i="2"/>
  <c r="M498" i="2" s="1"/>
  <c r="L52" i="2"/>
  <c r="M52" i="2" s="1"/>
  <c r="L279" i="2"/>
  <c r="M279" i="2" s="1"/>
  <c r="L807" i="2"/>
  <c r="M807" i="2" s="1"/>
  <c r="L569" i="2"/>
  <c r="M569" i="2" s="1"/>
  <c r="L849" i="2"/>
  <c r="M849" i="2" s="1"/>
  <c r="L689" i="2"/>
  <c r="M689" i="2" s="1"/>
  <c r="L163" i="2"/>
  <c r="M163" i="2" s="1"/>
  <c r="L28" i="2"/>
  <c r="M28" i="2" s="1"/>
  <c r="L554" i="2"/>
  <c r="M554" i="2" s="1"/>
  <c r="L595" i="2"/>
  <c r="M595" i="2" s="1"/>
  <c r="L126" i="2"/>
  <c r="M126" i="2" s="1"/>
  <c r="L399" i="2"/>
  <c r="M399" i="2" s="1"/>
  <c r="L546" i="2"/>
  <c r="M546" i="2" s="1"/>
  <c r="L801" i="2"/>
  <c r="M801" i="2" s="1"/>
  <c r="L653" i="2"/>
  <c r="M653" i="2" s="1"/>
  <c r="L452" i="2"/>
  <c r="M452" i="2" s="1"/>
  <c r="L578" i="2"/>
  <c r="M578" i="2" s="1"/>
  <c r="L296" i="2"/>
  <c r="M296" i="2" s="1"/>
  <c r="L603" i="2"/>
  <c r="M603" i="2" s="1"/>
  <c r="L44" i="2"/>
  <c r="M44" i="2" s="1"/>
  <c r="L437" i="2"/>
  <c r="M437" i="2" s="1"/>
  <c r="L728" i="2"/>
  <c r="M728" i="2" s="1"/>
  <c r="F45" i="2"/>
  <c r="G45" i="2" s="1"/>
  <c r="F332" i="2"/>
  <c r="G332" i="2" s="1"/>
  <c r="F596" i="2"/>
  <c r="G596" i="2" s="1"/>
  <c r="F743" i="2"/>
  <c r="G743" i="2" s="1"/>
  <c r="F556" i="2"/>
  <c r="G556" i="2" s="1"/>
  <c r="F283" i="2"/>
  <c r="G283" i="2" s="1"/>
  <c r="F453" i="2"/>
  <c r="G453" i="2" s="1"/>
  <c r="F582" i="2"/>
  <c r="G582" i="2" s="1"/>
  <c r="F693" i="2"/>
  <c r="G693" i="2" s="1"/>
  <c r="F155" i="2"/>
  <c r="G155" i="2" s="1"/>
  <c r="F125" i="2"/>
  <c r="G125" i="2" s="1"/>
  <c r="F570" i="2"/>
  <c r="G570" i="2" s="1"/>
  <c r="F297" i="2"/>
  <c r="G297" i="2" s="1"/>
  <c r="F829" i="2"/>
  <c r="G829" i="2" s="1"/>
  <c r="F852" i="2"/>
  <c r="G852" i="2" s="1"/>
  <c r="F822" i="2"/>
  <c r="G822" i="2" s="1"/>
  <c r="F190" i="2"/>
  <c r="G190" i="2" s="1"/>
  <c r="F100" i="2"/>
  <c r="G100" i="2" s="1"/>
  <c r="F381" i="2"/>
  <c r="G381" i="2" s="1"/>
  <c r="F631" i="2"/>
  <c r="G631" i="2" s="1"/>
  <c r="F794" i="2"/>
  <c r="G794" i="2" s="1"/>
  <c r="F843" i="2"/>
  <c r="G843" i="2" s="1"/>
  <c r="F612" i="2"/>
  <c r="G612" i="2" s="1"/>
  <c r="F341" i="2"/>
  <c r="G341" i="2" s="1"/>
  <c r="F533" i="2"/>
  <c r="G533" i="2" s="1"/>
  <c r="F132" i="2"/>
  <c r="G132" i="2" s="1"/>
  <c r="F148" i="2"/>
  <c r="G148" i="2" s="1"/>
  <c r="F271" i="2"/>
  <c r="G271" i="2" s="1"/>
  <c r="F547" i="2"/>
  <c r="G547" i="2" s="1"/>
  <c r="F605" i="2"/>
  <c r="G605" i="2" s="1"/>
  <c r="F859" i="2"/>
  <c r="G859" i="2" s="1"/>
  <c r="F197" i="2"/>
  <c r="G197" i="2" s="1"/>
  <c r="F705" i="2"/>
  <c r="G705" i="2" s="1"/>
  <c r="F58" i="2"/>
  <c r="G58" i="2" s="1"/>
  <c r="F512" i="2"/>
  <c r="G512" i="2" s="1"/>
  <c r="F764" i="2"/>
  <c r="G764" i="2" s="1"/>
  <c r="F780" i="2"/>
  <c r="G780" i="2" s="1"/>
  <c r="F38" i="2"/>
  <c r="G38" i="2" s="1"/>
  <c r="F387" i="2"/>
  <c r="G387" i="2" s="1"/>
  <c r="F465" i="2"/>
  <c r="G465" i="2" s="1"/>
  <c r="F69" i="2"/>
  <c r="G69" i="2" s="1"/>
  <c r="F174" i="2"/>
  <c r="G174" i="2" s="1"/>
  <c r="F118" i="2"/>
  <c r="G118" i="2" s="1"/>
  <c r="F491" i="2"/>
  <c r="G491" i="2" s="1"/>
  <c r="F563" i="2"/>
  <c r="G563" i="2" s="1"/>
  <c r="F479" i="2"/>
  <c r="G479" i="2" s="1"/>
  <c r="F712" i="2"/>
  <c r="G712" i="2" s="1"/>
  <c r="F721" i="2"/>
  <c r="G721" i="2" s="1"/>
  <c r="F800" i="2"/>
  <c r="G800" i="2" s="1"/>
  <c r="F181" i="2"/>
  <c r="G181" i="2" s="1"/>
  <c r="F216" i="2"/>
  <c r="G216" i="2" s="1"/>
  <c r="F660" i="2"/>
  <c r="G660" i="2" s="1"/>
  <c r="F227" i="2"/>
  <c r="G227" i="2" s="1"/>
  <c r="F423" i="2"/>
  <c r="G423" i="2" s="1"/>
  <c r="F755" i="2"/>
  <c r="G755" i="2" s="1"/>
  <c r="F393" i="2"/>
  <c r="G393" i="2" s="1"/>
  <c r="F240" i="2"/>
  <c r="G240" i="2" s="1"/>
  <c r="F361" i="2"/>
  <c r="G361" i="2" s="1"/>
  <c r="F522" i="2"/>
  <c r="G522" i="2" s="1"/>
  <c r="F409" i="2"/>
  <c r="G409" i="2" s="1"/>
  <c r="F313" i="2"/>
  <c r="G313" i="2" s="1"/>
  <c r="F111" i="2"/>
  <c r="G111" i="2" s="1"/>
  <c r="F439" i="2"/>
  <c r="G439" i="2" s="1"/>
  <c r="F141" i="2"/>
  <c r="G141" i="2" s="1"/>
  <c r="F261" i="2"/>
  <c r="G261" i="2" s="1"/>
  <c r="F306" i="2"/>
  <c r="G306" i="2" s="1"/>
  <c r="F320" i="2"/>
  <c r="G320" i="2" s="1"/>
  <c r="F589" i="2"/>
  <c r="G589" i="2" s="1"/>
  <c r="F619" i="2"/>
  <c r="G619" i="2" s="1"/>
  <c r="F736" i="2"/>
  <c r="G736" i="2" s="1"/>
  <c r="F806" i="2"/>
  <c r="G806" i="2" s="1"/>
  <c r="F836" i="2"/>
  <c r="G836" i="2" s="1"/>
  <c r="F416" i="2"/>
  <c r="G416" i="2" s="1"/>
  <c r="F729" i="2"/>
  <c r="G729" i="2" s="1"/>
  <c r="F878" i="2"/>
  <c r="G878" i="2" s="1"/>
  <c r="F204" i="2"/>
  <c r="G204" i="2" s="1"/>
  <c r="F375" i="2"/>
  <c r="G375" i="2" s="1"/>
  <c r="F290" i="2"/>
  <c r="G290" i="2" s="1"/>
  <c r="F540" i="2"/>
  <c r="G540" i="2" s="1"/>
  <c r="F90" i="2"/>
  <c r="G90" i="2" s="1"/>
  <c r="F167" i="2"/>
  <c r="G167" i="2" s="1"/>
  <c r="F446" i="2"/>
  <c r="G446" i="2" s="1"/>
  <c r="F430" i="2"/>
  <c r="G430" i="2" s="1"/>
  <c r="F647" i="2"/>
  <c r="G647" i="2" s="1"/>
  <c r="F683" i="2"/>
  <c r="G683" i="2" s="1"/>
  <c r="F866" i="2"/>
  <c r="G866" i="2" s="1"/>
  <c r="F22" i="2"/>
  <c r="G22" i="2" s="1"/>
  <c r="A498" i="2"/>
  <c r="A502" i="2" s="1"/>
  <c r="A497" i="2"/>
  <c r="A501" i="2" s="1"/>
  <c r="A476" i="2"/>
  <c r="A478" i="2"/>
  <c r="A462" i="2"/>
  <c r="A463" i="2" s="1"/>
  <c r="A465" i="2"/>
  <c r="A466" i="2" s="1"/>
  <c r="A500" i="2"/>
  <c r="A505" i="2"/>
  <c r="A506" i="2" s="1"/>
  <c r="A507" i="2" s="1"/>
  <c r="A508" i="2" s="1"/>
  <c r="A504" i="2"/>
  <c r="A328" i="2"/>
  <c r="A331" i="2"/>
  <c r="A340" i="2"/>
  <c r="A341" i="2"/>
  <c r="A342" i="2" s="1"/>
  <c r="A347" i="2"/>
  <c r="A348" i="2"/>
  <c r="A352" i="2"/>
  <c r="A359" i="2" s="1"/>
  <c r="A409" i="2"/>
  <c r="A410" i="2" s="1"/>
  <c r="A636" i="2"/>
  <c r="A637" i="2" s="1"/>
  <c r="A638" i="2" s="1"/>
  <c r="A639" i="2" s="1"/>
  <c r="A640" i="2" s="1"/>
  <c r="A750" i="2"/>
  <c r="A700" i="2"/>
  <c r="A701" i="2" s="1"/>
  <c r="A392" i="2"/>
  <c r="A386" i="2"/>
  <c r="A387" i="2" s="1"/>
  <c r="A369" i="2"/>
  <c r="A370" i="2" s="1"/>
  <c r="A371" i="2" s="1"/>
  <c r="A372" i="2" s="1"/>
  <c r="A373" i="2" s="1"/>
  <c r="A374" i="2" s="1"/>
  <c r="A375" i="2" s="1"/>
  <c r="A376" i="2" s="1"/>
  <c r="A428" i="2"/>
  <c r="A429" i="2" s="1"/>
  <c r="A414" i="2"/>
  <c r="A570" i="2"/>
  <c r="A571" i="2" s="1"/>
  <c r="A422" i="2"/>
  <c r="A423" i="2" s="1"/>
  <c r="A424" i="2" s="1"/>
  <c r="A563" i="2"/>
  <c r="A564" i="2" s="1"/>
  <c r="A811" i="2"/>
  <c r="A812" i="2" s="1"/>
  <c r="A577" i="2"/>
  <c r="A520" i="2"/>
  <c r="A521" i="2" s="1"/>
  <c r="A522" i="2" s="1"/>
  <c r="A541" i="2"/>
  <c r="A534" i="2"/>
  <c r="A381" i="2"/>
  <c r="A382" i="2" s="1"/>
  <c r="A744" i="2"/>
  <c r="A710" i="2"/>
  <c r="A711" i="2" s="1"/>
  <c r="A712" i="2" s="1"/>
  <c r="A713" i="2" s="1"/>
  <c r="A717" i="2"/>
  <c r="A718" i="2" s="1"/>
  <c r="A734" i="2"/>
  <c r="A735" i="2" s="1"/>
  <c r="A736" i="2" s="1"/>
  <c r="A737" i="2" s="1"/>
  <c r="A785" i="2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827" i="2"/>
  <c r="A828" i="2" s="1"/>
  <c r="A829" i="2" s="1"/>
  <c r="A830" i="2" s="1"/>
  <c r="A834" i="2"/>
  <c r="A835" i="2" s="1"/>
  <c r="A836" i="2" s="1"/>
  <c r="A837" i="2" s="1"/>
  <c r="A843" i="2"/>
  <c r="A844" i="2" s="1"/>
  <c r="A848" i="2"/>
  <c r="A849" i="2" s="1"/>
  <c r="A857" i="2"/>
  <c r="A858" i="2" s="1"/>
  <c r="A859" i="2" s="1"/>
  <c r="A860" i="2" s="1"/>
  <c r="A439" i="2"/>
  <c r="A440" i="2" s="1"/>
  <c r="A437" i="2"/>
  <c r="A438" i="2" s="1"/>
  <c r="A554" i="2"/>
  <c r="A555" i="2" s="1"/>
  <c r="A556" i="2"/>
  <c r="A557" i="2" s="1"/>
  <c r="A627" i="2"/>
  <c r="A630" i="2"/>
  <c r="A665" i="2"/>
  <c r="A666" i="2"/>
  <c r="A670" i="2" s="1"/>
  <c r="A605" i="2"/>
  <c r="A606" i="2" s="1"/>
  <c r="A603" i="2"/>
  <c r="A604" i="2" s="1"/>
  <c r="A595" i="2"/>
  <c r="A596" i="2" s="1"/>
  <c r="A597" i="2" s="1"/>
  <c r="A654" i="2"/>
  <c r="A655" i="2" s="1"/>
  <c r="A690" i="2"/>
  <c r="A691" i="2" s="1"/>
  <c r="A692" i="2" s="1"/>
  <c r="A693" i="2" s="1"/>
  <c r="A694" i="2" s="1"/>
  <c r="A866" i="2"/>
  <c r="A867" i="2" s="1"/>
  <c r="A727" i="2"/>
  <c r="A760" i="2"/>
  <c r="A761" i="2"/>
  <c r="A762" i="2" s="1"/>
  <c r="A772" i="2"/>
  <c r="A773" i="2" s="1"/>
  <c r="A774" i="2" s="1"/>
  <c r="A775" i="2" s="1"/>
  <c r="A776" i="2" s="1"/>
  <c r="A777" i="2" s="1"/>
  <c r="A778" i="2" s="1"/>
  <c r="A771" i="2"/>
  <c r="A877" i="2"/>
  <c r="A874" i="2"/>
  <c r="A223" i="2"/>
  <c r="A226" i="2"/>
  <c r="A155" i="2"/>
  <c r="A156" i="2" s="1"/>
  <c r="A56" i="2"/>
  <c r="A55" i="2"/>
  <c r="A239" i="2"/>
  <c r="A240" i="2" s="1"/>
  <c r="A241" i="2" s="1"/>
  <c r="A236" i="2"/>
  <c r="A237" i="2" s="1"/>
  <c r="A238" i="2" s="1"/>
  <c r="A187" i="2"/>
  <c r="A246" i="2"/>
  <c r="A250" i="2" s="1"/>
  <c r="A245" i="2"/>
  <c r="A212" i="2"/>
  <c r="A215" i="2"/>
  <c r="A204" i="2"/>
  <c r="A205" i="2" s="1"/>
  <c r="A197" i="2"/>
  <c r="A198" i="2" s="1"/>
  <c r="A163" i="2"/>
  <c r="A164" i="2" s="1"/>
  <c r="A165" i="2" s="1"/>
  <c r="A166" i="2"/>
  <c r="A148" i="2"/>
  <c r="A149" i="2" s="1"/>
  <c r="A141" i="2"/>
  <c r="A142" i="2" s="1"/>
  <c r="A100" i="2"/>
  <c r="A101" i="2" s="1"/>
  <c r="A74" i="2"/>
  <c r="A78" i="2" s="1"/>
  <c r="A75" i="2"/>
  <c r="A79" i="2" s="1"/>
  <c r="G7" i="2"/>
  <c r="G6" i="2"/>
  <c r="G14" i="2"/>
  <c r="L619" i="2" l="1"/>
  <c r="M619" i="2" s="1"/>
  <c r="L430" i="2"/>
  <c r="L304" i="2"/>
  <c r="M304" i="2" s="1"/>
  <c r="L234" i="2"/>
  <c r="M234" i="2" s="1"/>
  <c r="M328" i="2"/>
  <c r="L329" i="2"/>
  <c r="L859" i="2"/>
  <c r="M859" i="2" s="1"/>
  <c r="M828" i="2"/>
  <c r="L829" i="2"/>
  <c r="L830" i="2" s="1"/>
  <c r="M830" i="2" s="1"/>
  <c r="L487" i="2"/>
  <c r="M487" i="2" s="1"/>
  <c r="M771" i="2"/>
  <c r="L772" i="2"/>
  <c r="L118" i="2"/>
  <c r="M118" i="2" s="1"/>
  <c r="L638" i="2"/>
  <c r="M638" i="2" s="1"/>
  <c r="M711" i="2"/>
  <c r="L712" i="2"/>
  <c r="L713" i="2" s="1"/>
  <c r="L589" i="2"/>
  <c r="M589" i="2" s="1"/>
  <c r="M611" i="2"/>
  <c r="L612" i="2"/>
  <c r="L613" i="2" s="1"/>
  <c r="M613" i="2" s="1"/>
  <c r="G695" i="2"/>
  <c r="G92" i="2"/>
  <c r="G493" i="2"/>
  <c r="G322" i="2"/>
  <c r="G861" i="2"/>
  <c r="G425" i="2"/>
  <c r="M423" i="2"/>
  <c r="G285" i="2"/>
  <c r="G549" i="2"/>
  <c r="G206" i="2"/>
  <c r="G467" i="2"/>
  <c r="G880" i="2"/>
  <c r="G389" i="2"/>
  <c r="M387" i="2"/>
  <c r="G731" i="2"/>
  <c r="M729" i="2"/>
  <c r="G134" i="2"/>
  <c r="G418" i="2"/>
  <c r="M416" i="2"/>
  <c r="G535" i="2"/>
  <c r="G299" i="2"/>
  <c r="G47" i="2"/>
  <c r="G242" i="2"/>
  <c r="G796" i="2"/>
  <c r="G395" i="2"/>
  <c r="M395" i="2" s="1"/>
  <c r="M393" i="2"/>
  <c r="G199" i="2"/>
  <c r="M197" i="2"/>
  <c r="G455" i="2"/>
  <c r="G292" i="2"/>
  <c r="G607" i="2"/>
  <c r="G377" i="2"/>
  <c r="G71" i="2"/>
  <c r="G143" i="2"/>
  <c r="G824" i="2"/>
  <c r="G441" i="2"/>
  <c r="G854" i="2"/>
  <c r="G868" i="2"/>
  <c r="M866" i="2"/>
  <c r="G831" i="2"/>
  <c r="G802" i="2"/>
  <c r="M800" i="2"/>
  <c r="G649" i="2"/>
  <c r="G838" i="2"/>
  <c r="G411" i="2"/>
  <c r="G723" i="2"/>
  <c r="G766" i="2"/>
  <c r="G343" i="2"/>
  <c r="M341" i="2"/>
  <c r="G572" i="2"/>
  <c r="G621" i="2"/>
  <c r="G707" i="2"/>
  <c r="G633" i="2"/>
  <c r="G542" i="2"/>
  <c r="M540" i="2"/>
  <c r="G120" i="2"/>
  <c r="G176" i="2"/>
  <c r="G229" i="2"/>
  <c r="G192" i="2"/>
  <c r="G662" i="2"/>
  <c r="G745" i="2"/>
  <c r="M743" i="2"/>
  <c r="G218" i="2"/>
  <c r="G598" i="2"/>
  <c r="G183" i="2"/>
  <c r="G334" i="2"/>
  <c r="G315" i="2"/>
  <c r="M313" i="2"/>
  <c r="G808" i="2"/>
  <c r="M806" i="2"/>
  <c r="G714" i="2"/>
  <c r="G614" i="2"/>
  <c r="G127" i="2"/>
  <c r="M125" i="2"/>
  <c r="G169" i="2"/>
  <c r="G565" i="2"/>
  <c r="M563" i="2"/>
  <c r="G591" i="2"/>
  <c r="G584" i="2"/>
  <c r="G757" i="2"/>
  <c r="G383" i="2"/>
  <c r="M381" i="2"/>
  <c r="G308" i="2"/>
  <c r="G102" i="2"/>
  <c r="G263" i="2"/>
  <c r="G558" i="2"/>
  <c r="G273" i="2"/>
  <c r="G24" i="2"/>
  <c r="G150" i="2"/>
  <c r="M148" i="2"/>
  <c r="G113" i="2"/>
  <c r="G40" i="2"/>
  <c r="G685" i="2"/>
  <c r="G782" i="2"/>
  <c r="G432" i="2"/>
  <c r="M430" i="2"/>
  <c r="G524" i="2"/>
  <c r="G514" i="2"/>
  <c r="G448" i="2"/>
  <c r="M446" i="2"/>
  <c r="G738" i="2"/>
  <c r="M736" i="2"/>
  <c r="G363" i="2"/>
  <c r="G481" i="2"/>
  <c r="G60" i="2"/>
  <c r="G845" i="2"/>
  <c r="M845" i="2" s="1"/>
  <c r="M843" i="2"/>
  <c r="G157" i="2"/>
  <c r="L204" i="2"/>
  <c r="M204" i="2" s="1"/>
  <c r="L836" i="2"/>
  <c r="M836" i="2" s="1"/>
  <c r="L109" i="2"/>
  <c r="M109" i="2" s="1"/>
  <c r="L719" i="2"/>
  <c r="M719" i="2" s="1"/>
  <c r="L223" i="2"/>
  <c r="M223" i="2" s="1"/>
  <c r="L149" i="2"/>
  <c r="M149" i="2" s="1"/>
  <c r="L280" i="2"/>
  <c r="M280" i="2" s="1"/>
  <c r="L620" i="2"/>
  <c r="M620" i="2" s="1"/>
  <c r="L604" i="2"/>
  <c r="M604" i="2" s="1"/>
  <c r="L247" i="2"/>
  <c r="M247" i="2" s="1"/>
  <c r="L53" i="2"/>
  <c r="M53" i="2" s="1"/>
  <c r="L297" i="2"/>
  <c r="M297" i="2" s="1"/>
  <c r="L547" i="2"/>
  <c r="M547" i="2" s="1"/>
  <c r="L198" i="2"/>
  <c r="M198" i="2" s="1"/>
  <c r="L342" i="2"/>
  <c r="M342" i="2" s="1"/>
  <c r="L314" i="2"/>
  <c r="M314" i="2" s="1"/>
  <c r="L368" i="2"/>
  <c r="M368" i="2" s="1"/>
  <c r="L763" i="2"/>
  <c r="M763" i="2" s="1"/>
  <c r="L876" i="2"/>
  <c r="M876" i="2" s="1"/>
  <c r="L579" i="2"/>
  <c r="M579" i="2" s="1"/>
  <c r="L690" i="2"/>
  <c r="M690" i="2" s="1"/>
  <c r="L499" i="2"/>
  <c r="M499" i="2" s="1"/>
  <c r="L702" i="2"/>
  <c r="M702" i="2" s="1"/>
  <c r="L29" i="2"/>
  <c r="M29" i="2" s="1"/>
  <c r="L320" i="2"/>
  <c r="M320" i="2" s="1"/>
  <c r="L174" i="2"/>
  <c r="M174" i="2" s="1"/>
  <c r="L213" i="2"/>
  <c r="M213" i="2" s="1"/>
  <c r="L787" i="2"/>
  <c r="M787" i="2" s="1"/>
  <c r="L813" i="2"/>
  <c r="M813" i="2" s="1"/>
  <c r="L382" i="2"/>
  <c r="M382" i="2" s="1"/>
  <c r="L290" i="2"/>
  <c r="M290" i="2" s="1"/>
  <c r="L596" i="2"/>
  <c r="M596" i="2" s="1"/>
  <c r="L570" i="2"/>
  <c r="M570" i="2" s="1"/>
  <c r="L431" i="2"/>
  <c r="M431" i="2" s="1"/>
  <c r="L348" i="2"/>
  <c r="M348" i="2" s="1"/>
  <c r="L417" i="2"/>
  <c r="M417" i="2" s="1"/>
  <c r="L132" i="2"/>
  <c r="M132" i="2" s="1"/>
  <c r="L164" i="2"/>
  <c r="M164" i="2" s="1"/>
  <c r="L400" i="2"/>
  <c r="M400" i="2" s="1"/>
  <c r="L97" i="2"/>
  <c r="M97" i="2" s="1"/>
  <c r="L127" i="2"/>
  <c r="L76" i="2"/>
  <c r="M76" i="2" s="1"/>
  <c r="L438" i="2"/>
  <c r="M438" i="2" s="1"/>
  <c r="L654" i="2"/>
  <c r="M654" i="2" s="1"/>
  <c r="L268" i="2"/>
  <c r="M268" i="2" s="1"/>
  <c r="L155" i="2"/>
  <c r="M155" i="2" s="1"/>
  <c r="L541" i="2"/>
  <c r="M541" i="2" s="1"/>
  <c r="L520" i="2"/>
  <c r="M520" i="2" s="1"/>
  <c r="L188" i="2"/>
  <c r="M188" i="2" s="1"/>
  <c r="L425" i="2"/>
  <c r="L6" i="2"/>
  <c r="M6" i="2" s="1"/>
  <c r="L868" i="2"/>
  <c r="L532" i="2"/>
  <c r="M532" i="2" s="1"/>
  <c r="L737" i="2"/>
  <c r="M737" i="2" s="1"/>
  <c r="L22" i="2"/>
  <c r="M22" i="2" s="1"/>
  <c r="L850" i="2"/>
  <c r="M850" i="2" s="1"/>
  <c r="L453" i="2"/>
  <c r="M453" i="2" s="1"/>
  <c r="L472" i="2"/>
  <c r="M472" i="2" s="1"/>
  <c r="L388" i="2"/>
  <c r="M388" i="2" s="1"/>
  <c r="L555" i="2"/>
  <c r="M555" i="2" s="1"/>
  <c r="L808" i="2"/>
  <c r="L65" i="2"/>
  <c r="M65" i="2" s="1"/>
  <c r="L564" i="2"/>
  <c r="M564" i="2" s="1"/>
  <c r="L462" i="2"/>
  <c r="M462" i="2" s="1"/>
  <c r="L139" i="2"/>
  <c r="M139" i="2" s="1"/>
  <c r="L181" i="2"/>
  <c r="M181" i="2" s="1"/>
  <c r="L729" i="2"/>
  <c r="L669" i="2"/>
  <c r="M669" i="2" s="1"/>
  <c r="L753" i="2"/>
  <c r="M753" i="2" s="1"/>
  <c r="L45" i="2"/>
  <c r="M45" i="2" s="1"/>
  <c r="L802" i="2"/>
  <c r="L614" i="2"/>
  <c r="L447" i="2"/>
  <c r="M447" i="2" s="1"/>
  <c r="L744" i="2"/>
  <c r="M744" i="2" s="1"/>
  <c r="L590" i="2"/>
  <c r="M590" i="2" s="1"/>
  <c r="L629" i="2"/>
  <c r="M629" i="2" s="1"/>
  <c r="A512" i="2"/>
  <c r="A513" i="2" s="1"/>
  <c r="A509" i="2"/>
  <c r="A510" i="2" s="1"/>
  <c r="A511" i="2" s="1"/>
  <c r="A754" i="2"/>
  <c r="A702" i="2"/>
  <c r="A703" i="2" s="1"/>
  <c r="A704" i="2" s="1"/>
  <c r="A705" i="2" s="1"/>
  <c r="A706" i="2" s="1"/>
  <c r="A329" i="2"/>
  <c r="A330" i="2" s="1"/>
  <c r="A332" i="2"/>
  <c r="A333" i="2" s="1"/>
  <c r="A349" i="2"/>
  <c r="A353" i="2"/>
  <c r="A350" i="2"/>
  <c r="A354" i="2"/>
  <c r="A355" i="2" s="1"/>
  <c r="A356" i="2" s="1"/>
  <c r="A357" i="2" s="1"/>
  <c r="A360" i="2" s="1"/>
  <c r="A393" i="2"/>
  <c r="A394" i="2" s="1"/>
  <c r="A388" i="2"/>
  <c r="A751" i="2"/>
  <c r="A755" i="2" s="1"/>
  <c r="A756" i="2" s="1"/>
  <c r="A641" i="2"/>
  <c r="A646" i="2"/>
  <c r="A647" i="2" s="1"/>
  <c r="A648" i="2" s="1"/>
  <c r="A642" i="2"/>
  <c r="A430" i="2"/>
  <c r="A431" i="2" s="1"/>
  <c r="A415" i="2"/>
  <c r="A416" i="2" s="1"/>
  <c r="A417" i="2" s="1"/>
  <c r="A523" i="2"/>
  <c r="A581" i="2"/>
  <c r="A578" i="2"/>
  <c r="A813" i="2"/>
  <c r="A814" i="2" s="1"/>
  <c r="A815" i="2" s="1"/>
  <c r="A816" i="2" s="1"/>
  <c r="A729" i="2"/>
  <c r="A730" i="2" s="1"/>
  <c r="A728" i="2"/>
  <c r="A852" i="2"/>
  <c r="A853" i="2" s="1"/>
  <c r="A850" i="2"/>
  <c r="A851" i="2" s="1"/>
  <c r="A721" i="2"/>
  <c r="A722" i="2" s="1"/>
  <c r="A719" i="2"/>
  <c r="A720" i="2" s="1"/>
  <c r="A631" i="2"/>
  <c r="A632" i="2" s="1"/>
  <c r="A628" i="2"/>
  <c r="A629" i="2" s="1"/>
  <c r="A669" i="2"/>
  <c r="A667" i="2"/>
  <c r="A671" i="2" s="1"/>
  <c r="A668" i="2"/>
  <c r="A672" i="2" s="1"/>
  <c r="A656" i="2"/>
  <c r="A657" i="2" s="1"/>
  <c r="A658" i="2" s="1"/>
  <c r="A659" i="2" s="1"/>
  <c r="A660" i="2"/>
  <c r="A661" i="2" s="1"/>
  <c r="A763" i="2"/>
  <c r="A764" i="2"/>
  <c r="A765" i="2" s="1"/>
  <c r="A780" i="2"/>
  <c r="A781" i="2" s="1"/>
  <c r="A779" i="2"/>
  <c r="A878" i="2"/>
  <c r="A879" i="2" s="1"/>
  <c r="A875" i="2"/>
  <c r="A876" i="2" s="1"/>
  <c r="A224" i="2"/>
  <c r="A225" i="2"/>
  <c r="A227" i="2" s="1"/>
  <c r="A228" i="2" s="1"/>
  <c r="A58" i="2"/>
  <c r="A59" i="2" s="1"/>
  <c r="A57" i="2"/>
  <c r="A190" i="2"/>
  <c r="A191" i="2" s="1"/>
  <c r="A188" i="2"/>
  <c r="A189" i="2" s="1"/>
  <c r="A167" i="2"/>
  <c r="A168" i="2" s="1"/>
  <c r="A247" i="2"/>
  <c r="A251" i="2" s="1"/>
  <c r="A249" i="2"/>
  <c r="A248" i="2"/>
  <c r="A252" i="2" s="1"/>
  <c r="A213" i="2"/>
  <c r="A214" i="2" s="1"/>
  <c r="A216" i="2"/>
  <c r="A217" i="2" s="1"/>
  <c r="A76" i="2"/>
  <c r="A80" i="2" s="1"/>
  <c r="A77" i="2"/>
  <c r="A81" i="2" s="1"/>
  <c r="A82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G3" i="2"/>
  <c r="M3" i="2" s="1"/>
  <c r="F4" i="2"/>
  <c r="G4" i="2" s="1"/>
  <c r="M4" i="2" s="1"/>
  <c r="G5" i="2"/>
  <c r="M5" i="2" s="1"/>
  <c r="M712" i="2" l="1"/>
  <c r="L305" i="2"/>
  <c r="M305" i="2" s="1"/>
  <c r="M808" i="2"/>
  <c r="L831" i="2"/>
  <c r="L860" i="2"/>
  <c r="M860" i="2" s="1"/>
  <c r="L235" i="2"/>
  <c r="M235" i="2" s="1"/>
  <c r="M802" i="2"/>
  <c r="M829" i="2"/>
  <c r="M831" i="2"/>
  <c r="M772" i="2"/>
  <c r="L773" i="2"/>
  <c r="L639" i="2"/>
  <c r="M639" i="2" s="1"/>
  <c r="M868" i="2"/>
  <c r="M714" i="2"/>
  <c r="L119" i="2"/>
  <c r="M119" i="2" s="1"/>
  <c r="M127" i="2"/>
  <c r="M425" i="2"/>
  <c r="M612" i="2"/>
  <c r="M329" i="2"/>
  <c r="L330" i="2"/>
  <c r="L488" i="2"/>
  <c r="M488" i="2" s="1"/>
  <c r="M614" i="2"/>
  <c r="M713" i="2"/>
  <c r="L714" i="2"/>
  <c r="L720" i="2"/>
  <c r="M720" i="2" s="1"/>
  <c r="L837" i="2"/>
  <c r="M837" i="2" s="1"/>
  <c r="L224" i="2"/>
  <c r="M224" i="2" s="1"/>
  <c r="L110" i="2"/>
  <c r="M110" i="2" s="1"/>
  <c r="L150" i="2"/>
  <c r="M150" i="2" s="1"/>
  <c r="L205" i="2"/>
  <c r="M205" i="2" s="1"/>
  <c r="L432" i="2"/>
  <c r="M432" i="2" s="1"/>
  <c r="L321" i="2"/>
  <c r="M321" i="2" s="1"/>
  <c r="L580" i="2"/>
  <c r="M580" i="2" s="1"/>
  <c r="L54" i="2"/>
  <c r="M54" i="2" s="1"/>
  <c r="L140" i="2"/>
  <c r="M140" i="2" s="1"/>
  <c r="L23" i="2"/>
  <c r="M23" i="2" s="1"/>
  <c r="L655" i="2"/>
  <c r="M655" i="2" s="1"/>
  <c r="L401" i="2"/>
  <c r="M401" i="2" s="1"/>
  <c r="L383" i="2"/>
  <c r="M383" i="2" s="1"/>
  <c r="L343" i="2"/>
  <c r="M343" i="2" s="1"/>
  <c r="L389" i="2"/>
  <c r="M389" i="2" s="1"/>
  <c r="L630" i="2"/>
  <c r="M630" i="2" s="1"/>
  <c r="L46" i="2"/>
  <c r="M46" i="2" s="1"/>
  <c r="L473" i="2"/>
  <c r="M473" i="2" s="1"/>
  <c r="L738" i="2"/>
  <c r="M738" i="2" s="1"/>
  <c r="L189" i="2"/>
  <c r="M189" i="2" s="1"/>
  <c r="L439" i="2"/>
  <c r="M439" i="2" s="1"/>
  <c r="L165" i="2"/>
  <c r="M165" i="2" s="1"/>
  <c r="L571" i="2"/>
  <c r="M571" i="2" s="1"/>
  <c r="L30" i="2"/>
  <c r="M30" i="2" s="1"/>
  <c r="L306" i="2"/>
  <c r="M306" i="2" s="1"/>
  <c r="L861" i="2"/>
  <c r="M861" i="2" s="1"/>
  <c r="L463" i="2"/>
  <c r="M463" i="2" s="1"/>
  <c r="L877" i="2"/>
  <c r="M877" i="2" s="1"/>
  <c r="L591" i="2"/>
  <c r="M591" i="2" s="1"/>
  <c r="L533" i="2"/>
  <c r="M533" i="2" s="1"/>
  <c r="L133" i="2"/>
  <c r="M133" i="2" s="1"/>
  <c r="L670" i="2"/>
  <c r="M670" i="2" s="1"/>
  <c r="L851" i="2"/>
  <c r="M851" i="2" s="1"/>
  <c r="L175" i="2"/>
  <c r="M175" i="2" s="1"/>
  <c r="L500" i="2"/>
  <c r="M500" i="2" s="1"/>
  <c r="L298" i="2"/>
  <c r="M298" i="2" s="1"/>
  <c r="L621" i="2"/>
  <c r="M621" i="2" s="1"/>
  <c r="L565" i="2"/>
  <c r="M565" i="2" s="1"/>
  <c r="L788" i="2"/>
  <c r="M788" i="2" s="1"/>
  <c r="L248" i="2"/>
  <c r="M248" i="2" s="1"/>
  <c r="L703" i="2"/>
  <c r="M703" i="2" s="1"/>
  <c r="L745" i="2"/>
  <c r="M745" i="2" s="1"/>
  <c r="L605" i="2"/>
  <c r="M605" i="2" s="1"/>
  <c r="L448" i="2"/>
  <c r="M448" i="2" s="1"/>
  <c r="L730" i="2"/>
  <c r="M730" i="2" s="1"/>
  <c r="L7" i="2"/>
  <c r="M7" i="2" s="1"/>
  <c r="L156" i="2"/>
  <c r="M156" i="2" s="1"/>
  <c r="L418" i="2"/>
  <c r="M418" i="2" s="1"/>
  <c r="L369" i="2"/>
  <c r="M369" i="2" s="1"/>
  <c r="L199" i="2"/>
  <c r="M199" i="2" s="1"/>
  <c r="L754" i="2"/>
  <c r="M754" i="2" s="1"/>
  <c r="L521" i="2"/>
  <c r="M521" i="2" s="1"/>
  <c r="L66" i="2"/>
  <c r="M66" i="2" s="1"/>
  <c r="L77" i="2"/>
  <c r="M77" i="2" s="1"/>
  <c r="L214" i="2"/>
  <c r="M214" i="2" s="1"/>
  <c r="L764" i="2"/>
  <c r="M764" i="2" s="1"/>
  <c r="L556" i="2"/>
  <c r="M556" i="2" s="1"/>
  <c r="L691" i="2"/>
  <c r="M691" i="2" s="1"/>
  <c r="L281" i="2"/>
  <c r="M281" i="2" s="1"/>
  <c r="L814" i="2"/>
  <c r="M814" i="2" s="1"/>
  <c r="L597" i="2"/>
  <c r="M597" i="2" s="1"/>
  <c r="L454" i="2"/>
  <c r="M454" i="2" s="1"/>
  <c r="L542" i="2"/>
  <c r="M542" i="2" s="1"/>
  <c r="L548" i="2"/>
  <c r="M548" i="2" s="1"/>
  <c r="L182" i="2"/>
  <c r="M182" i="2" s="1"/>
  <c r="L269" i="2"/>
  <c r="M269" i="2" s="1"/>
  <c r="L98" i="2"/>
  <c r="M98" i="2" s="1"/>
  <c r="L349" i="2"/>
  <c r="M349" i="2" s="1"/>
  <c r="L291" i="2"/>
  <c r="M291" i="2" s="1"/>
  <c r="L315" i="2"/>
  <c r="M315" i="2" s="1"/>
  <c r="A752" i="2"/>
  <c r="A753" i="2" s="1"/>
  <c r="A643" i="2"/>
  <c r="A644" i="2"/>
  <c r="A645" i="2" s="1"/>
  <c r="A358" i="2"/>
  <c r="A361" i="2" s="1"/>
  <c r="A362" i="2" s="1"/>
  <c r="A351" i="2"/>
  <c r="A582" i="2"/>
  <c r="A583" i="2" s="1"/>
  <c r="A579" i="2"/>
  <c r="A580" i="2" s="1"/>
  <c r="A817" i="2"/>
  <c r="A818" i="2" s="1"/>
  <c r="A819" i="2" s="1"/>
  <c r="A820" i="2" s="1"/>
  <c r="A821" i="2" s="1"/>
  <c r="A673" i="2"/>
  <c r="A674" i="2"/>
  <c r="A675" i="2" s="1"/>
  <c r="A676" i="2" s="1"/>
  <c r="A677" i="2" s="1"/>
  <c r="A253" i="2"/>
  <c r="A254" i="2"/>
  <c r="A255" i="2" s="1"/>
  <c r="A256" i="2" s="1"/>
  <c r="A257" i="2" s="1"/>
  <c r="A83" i="2"/>
  <c r="A84" i="2" s="1"/>
  <c r="A85" i="2" s="1"/>
  <c r="A86" i="2" s="1"/>
  <c r="G11" i="2"/>
  <c r="L236" i="2" l="1"/>
  <c r="M236" i="2" s="1"/>
  <c r="L640" i="2"/>
  <c r="M640" i="2" s="1"/>
  <c r="L120" i="2"/>
  <c r="M120" i="2" s="1"/>
  <c r="M330" i="2"/>
  <c r="L331" i="2"/>
  <c r="M773" i="2"/>
  <c r="L774" i="2"/>
  <c r="L489" i="2"/>
  <c r="M489" i="2" s="1"/>
  <c r="L206" i="2"/>
  <c r="M206" i="2" s="1"/>
  <c r="L111" i="2"/>
  <c r="M111" i="2" s="1"/>
  <c r="L225" i="2"/>
  <c r="M225" i="2" s="1"/>
  <c r="L838" i="2"/>
  <c r="M838" i="2" s="1"/>
  <c r="L721" i="2"/>
  <c r="M721" i="2" s="1"/>
  <c r="L190" i="2"/>
  <c r="M190" i="2" s="1"/>
  <c r="L455" i="2"/>
  <c r="M455" i="2" s="1"/>
  <c r="L731" i="2"/>
  <c r="M731" i="2" s="1"/>
  <c r="L534" i="2"/>
  <c r="M534" i="2" s="1"/>
  <c r="L370" i="2"/>
  <c r="M370" i="2" s="1"/>
  <c r="L176" i="2"/>
  <c r="M176" i="2" s="1"/>
  <c r="L572" i="2"/>
  <c r="M572" i="2" s="1"/>
  <c r="L47" i="2"/>
  <c r="M47" i="2" s="1"/>
  <c r="L656" i="2"/>
  <c r="M656" i="2" s="1"/>
  <c r="L282" i="2"/>
  <c r="M282" i="2" s="1"/>
  <c r="L350" i="2"/>
  <c r="M350" i="2" s="1"/>
  <c r="L157" i="2"/>
  <c r="M157" i="2" s="1"/>
  <c r="L671" i="2"/>
  <c r="M671" i="2" s="1"/>
  <c r="L99" i="2"/>
  <c r="M99" i="2" s="1"/>
  <c r="L692" i="2"/>
  <c r="M692" i="2" s="1"/>
  <c r="L8" i="2"/>
  <c r="M8" i="2" s="1"/>
  <c r="L141" i="2"/>
  <c r="M141" i="2" s="1"/>
  <c r="L55" i="2"/>
  <c r="M55" i="2" s="1"/>
  <c r="L270" i="2"/>
  <c r="M270" i="2" s="1"/>
  <c r="L299" i="2"/>
  <c r="M299" i="2" s="1"/>
  <c r="L789" i="2"/>
  <c r="M789" i="2" s="1"/>
  <c r="L474" i="2"/>
  <c r="M474" i="2" s="1"/>
  <c r="L215" i="2"/>
  <c r="M215" i="2" s="1"/>
  <c r="L606" i="2"/>
  <c r="M606" i="2" s="1"/>
  <c r="L322" i="2"/>
  <c r="M322" i="2" s="1"/>
  <c r="L78" i="2"/>
  <c r="M78" i="2" s="1"/>
  <c r="L67" i="2"/>
  <c r="M67" i="2" s="1"/>
  <c r="L440" i="2"/>
  <c r="M440" i="2" s="1"/>
  <c r="L24" i="2"/>
  <c r="M24" i="2" s="1"/>
  <c r="L307" i="2"/>
  <c r="M307" i="2" s="1"/>
  <c r="L522" i="2"/>
  <c r="M522" i="2" s="1"/>
  <c r="L704" i="2"/>
  <c r="M704" i="2" s="1"/>
  <c r="L134" i="2"/>
  <c r="M134" i="2" s="1"/>
  <c r="L755" i="2"/>
  <c r="M755" i="2" s="1"/>
  <c r="L557" i="2"/>
  <c r="M557" i="2" s="1"/>
  <c r="L249" i="2"/>
  <c r="M249" i="2" s="1"/>
  <c r="L501" i="2"/>
  <c r="M501" i="2" s="1"/>
  <c r="L581" i="2"/>
  <c r="M581" i="2" s="1"/>
  <c r="L765" i="2"/>
  <c r="M765" i="2" s="1"/>
  <c r="L31" i="2"/>
  <c r="M31" i="2" s="1"/>
  <c r="L402" i="2"/>
  <c r="M402" i="2" s="1"/>
  <c r="L598" i="2"/>
  <c r="M598" i="2" s="1"/>
  <c r="L878" i="2"/>
  <c r="M878" i="2" s="1"/>
  <c r="L183" i="2"/>
  <c r="M183" i="2" s="1"/>
  <c r="L292" i="2"/>
  <c r="M292" i="2" s="1"/>
  <c r="L549" i="2"/>
  <c r="M549" i="2" s="1"/>
  <c r="L815" i="2"/>
  <c r="M815" i="2" s="1"/>
  <c r="L852" i="2"/>
  <c r="M852" i="2" s="1"/>
  <c r="L464" i="2"/>
  <c r="M464" i="2" s="1"/>
  <c r="L166" i="2"/>
  <c r="M166" i="2" s="1"/>
  <c r="L631" i="2"/>
  <c r="M631" i="2" s="1"/>
  <c r="A822" i="2"/>
  <c r="A823" i="2" s="1"/>
  <c r="A683" i="2"/>
  <c r="A684" i="2" s="1"/>
  <c r="A678" i="2"/>
  <c r="A258" i="2"/>
  <c r="A259" i="2" s="1"/>
  <c r="A260" i="2" s="1"/>
  <c r="A261" i="2"/>
  <c r="A262" i="2" s="1"/>
  <c r="A90" i="2"/>
  <c r="A91" i="2" s="1"/>
  <c r="A87" i="2"/>
  <c r="A88" i="2" s="1"/>
  <c r="A89" i="2" s="1"/>
  <c r="L237" i="2" l="1"/>
  <c r="M237" i="2" s="1"/>
  <c r="L490" i="2"/>
  <c r="M490" i="2" s="1"/>
  <c r="L641" i="2"/>
  <c r="M641" i="2" s="1"/>
  <c r="M774" i="2"/>
  <c r="L775" i="2"/>
  <c r="M331" i="2"/>
  <c r="L332" i="2"/>
  <c r="L722" i="2"/>
  <c r="M722" i="2" s="1"/>
  <c r="L226" i="2"/>
  <c r="M226" i="2" s="1"/>
  <c r="L112" i="2"/>
  <c r="M112" i="2" s="1"/>
  <c r="L9" i="2"/>
  <c r="M9" i="2" s="1"/>
  <c r="L693" i="2"/>
  <c r="M693" i="2" s="1"/>
  <c r="L632" i="2"/>
  <c r="M632" i="2" s="1"/>
  <c r="L879" i="2"/>
  <c r="M879" i="2" s="1"/>
  <c r="L79" i="2"/>
  <c r="M79" i="2" s="1"/>
  <c r="L523" i="2"/>
  <c r="M523" i="2" s="1"/>
  <c r="L657" i="2"/>
  <c r="M657" i="2" s="1"/>
  <c r="L403" i="2"/>
  <c r="M403" i="2" s="1"/>
  <c r="L756" i="2"/>
  <c r="M756" i="2" s="1"/>
  <c r="L607" i="2"/>
  <c r="M607" i="2" s="1"/>
  <c r="L167" i="2"/>
  <c r="M167" i="2" s="1"/>
  <c r="L672" i="2"/>
  <c r="M672" i="2" s="1"/>
  <c r="L502" i="2"/>
  <c r="M502" i="2" s="1"/>
  <c r="L283" i="2"/>
  <c r="M283" i="2" s="1"/>
  <c r="L308" i="2"/>
  <c r="M308" i="2" s="1"/>
  <c r="L250" i="2"/>
  <c r="M250" i="2" s="1"/>
  <c r="L535" i="2"/>
  <c r="M535" i="2" s="1"/>
  <c r="L558" i="2"/>
  <c r="M558" i="2" s="1"/>
  <c r="L100" i="2"/>
  <c r="M100" i="2" s="1"/>
  <c r="L32" i="2"/>
  <c r="M32" i="2" s="1"/>
  <c r="L441" i="2"/>
  <c r="M441" i="2" s="1"/>
  <c r="L271" i="2"/>
  <c r="M271" i="2" s="1"/>
  <c r="L790" i="2"/>
  <c r="M790" i="2" s="1"/>
  <c r="L816" i="2"/>
  <c r="M816" i="2" s="1"/>
  <c r="L238" i="2"/>
  <c r="M238" i="2" s="1"/>
  <c r="L465" i="2"/>
  <c r="M465" i="2" s="1"/>
  <c r="L766" i="2"/>
  <c r="M766" i="2" s="1"/>
  <c r="L216" i="2"/>
  <c r="M216" i="2" s="1"/>
  <c r="L56" i="2"/>
  <c r="M56" i="2" s="1"/>
  <c r="L191" i="2"/>
  <c r="M191" i="2" s="1"/>
  <c r="L582" i="2"/>
  <c r="M582" i="2" s="1"/>
  <c r="L853" i="2"/>
  <c r="M853" i="2" s="1"/>
  <c r="L705" i="2"/>
  <c r="M705" i="2" s="1"/>
  <c r="L68" i="2"/>
  <c r="M68" i="2" s="1"/>
  <c r="L475" i="2"/>
  <c r="M475" i="2" s="1"/>
  <c r="L142" i="2"/>
  <c r="M142" i="2" s="1"/>
  <c r="L351" i="2"/>
  <c r="M351" i="2" s="1"/>
  <c r="L371" i="2"/>
  <c r="M371" i="2" s="1"/>
  <c r="L491" i="2"/>
  <c r="M491" i="2" s="1"/>
  <c r="A679" i="2"/>
  <c r="A681" i="2"/>
  <c r="L642" i="2" l="1"/>
  <c r="M642" i="2" s="1"/>
  <c r="M332" i="2"/>
  <c r="L333" i="2"/>
  <c r="M775" i="2"/>
  <c r="L776" i="2"/>
  <c r="L113" i="2"/>
  <c r="M113" i="2" s="1"/>
  <c r="L227" i="2"/>
  <c r="M227" i="2" s="1"/>
  <c r="L723" i="2"/>
  <c r="M723" i="2" s="1"/>
  <c r="L80" i="2"/>
  <c r="M80" i="2" s="1"/>
  <c r="L33" i="2"/>
  <c r="M33" i="2" s="1"/>
  <c r="L854" i="2"/>
  <c r="M854" i="2" s="1"/>
  <c r="L673" i="2"/>
  <c r="M673" i="2" s="1"/>
  <c r="L143" i="2"/>
  <c r="M143" i="2" s="1"/>
  <c r="L372" i="2"/>
  <c r="M372" i="2" s="1"/>
  <c r="L583" i="2"/>
  <c r="M583" i="2" s="1"/>
  <c r="L251" i="2"/>
  <c r="M251" i="2" s="1"/>
  <c r="L239" i="2"/>
  <c r="M239" i="2" s="1"/>
  <c r="L817" i="2"/>
  <c r="M817" i="2" s="1"/>
  <c r="L284" i="2"/>
  <c r="M284" i="2" s="1"/>
  <c r="L404" i="2"/>
  <c r="M404" i="2" s="1"/>
  <c r="L694" i="2"/>
  <c r="M694" i="2" s="1"/>
  <c r="L524" i="2"/>
  <c r="M524" i="2" s="1"/>
  <c r="L352" i="2"/>
  <c r="M352" i="2" s="1"/>
  <c r="L168" i="2"/>
  <c r="M168" i="2" s="1"/>
  <c r="L192" i="2"/>
  <c r="M192" i="2" s="1"/>
  <c r="L643" i="2"/>
  <c r="M643" i="2" s="1"/>
  <c r="L757" i="2"/>
  <c r="M757" i="2" s="1"/>
  <c r="L57" i="2"/>
  <c r="M57" i="2" s="1"/>
  <c r="L633" i="2"/>
  <c r="M633" i="2" s="1"/>
  <c r="L217" i="2"/>
  <c r="M217" i="2" s="1"/>
  <c r="L10" i="2"/>
  <c r="M10" i="2" s="1"/>
  <c r="L272" i="2"/>
  <c r="M272" i="2" s="1"/>
  <c r="L880" i="2"/>
  <c r="M880" i="2" s="1"/>
  <c r="L466" i="2"/>
  <c r="M466" i="2" s="1"/>
  <c r="L476" i="2"/>
  <c r="M476" i="2" s="1"/>
  <c r="L101" i="2"/>
  <c r="M101" i="2" s="1"/>
  <c r="L69" i="2"/>
  <c r="M69" i="2" s="1"/>
  <c r="L492" i="2"/>
  <c r="M492" i="2" s="1"/>
  <c r="L706" i="2"/>
  <c r="M706" i="2" s="1"/>
  <c r="L791" i="2"/>
  <c r="M791" i="2" s="1"/>
  <c r="L503" i="2"/>
  <c r="M503" i="2" s="1"/>
  <c r="L658" i="2"/>
  <c r="M658" i="2" s="1"/>
  <c r="A680" i="2"/>
  <c r="A682" i="2"/>
  <c r="M776" i="2" l="1"/>
  <c r="L777" i="2"/>
  <c r="M333" i="2"/>
  <c r="L334" i="2"/>
  <c r="M334" i="2" s="1"/>
  <c r="L228" i="2"/>
  <c r="M228" i="2" s="1"/>
  <c r="L659" i="2"/>
  <c r="M659" i="2" s="1"/>
  <c r="L405" i="2"/>
  <c r="M405" i="2" s="1"/>
  <c r="L504" i="2"/>
  <c r="M504" i="2" s="1"/>
  <c r="L792" i="2"/>
  <c r="M792" i="2" s="1"/>
  <c r="L477" i="2"/>
  <c r="M477" i="2" s="1"/>
  <c r="L169" i="2"/>
  <c r="M169" i="2" s="1"/>
  <c r="L240" i="2"/>
  <c r="M240" i="2" s="1"/>
  <c r="L252" i="2"/>
  <c r="M252" i="2" s="1"/>
  <c r="L34" i="2"/>
  <c r="M34" i="2" s="1"/>
  <c r="L644" i="2"/>
  <c r="M644" i="2" s="1"/>
  <c r="L102" i="2"/>
  <c r="M102" i="2" s="1"/>
  <c r="L285" i="2"/>
  <c r="M285" i="2" s="1"/>
  <c r="L818" i="2"/>
  <c r="M818" i="2" s="1"/>
  <c r="L81" i="2"/>
  <c r="M81" i="2" s="1"/>
  <c r="L70" i="2"/>
  <c r="M70" i="2" s="1"/>
  <c r="L373" i="2"/>
  <c r="M373" i="2" s="1"/>
  <c r="L11" i="2"/>
  <c r="M11" i="2" s="1"/>
  <c r="L674" i="2"/>
  <c r="M674" i="2" s="1"/>
  <c r="L218" i="2"/>
  <c r="M218" i="2" s="1"/>
  <c r="L467" i="2"/>
  <c r="M467" i="2" s="1"/>
  <c r="L353" i="2"/>
  <c r="M353" i="2" s="1"/>
  <c r="L707" i="2"/>
  <c r="M707" i="2" s="1"/>
  <c r="L58" i="2"/>
  <c r="M58" i="2" s="1"/>
  <c r="L493" i="2"/>
  <c r="M493" i="2" s="1"/>
  <c r="L273" i="2"/>
  <c r="M273" i="2" s="1"/>
  <c r="L695" i="2"/>
  <c r="M695" i="2" s="1"/>
  <c r="L584" i="2"/>
  <c r="M584" i="2" s="1"/>
  <c r="G16" i="2"/>
  <c r="E15" i="2" s="1"/>
  <c r="M777" i="2" l="1"/>
  <c r="L778" i="2"/>
  <c r="L229" i="2"/>
  <c r="M229" i="2" s="1"/>
  <c r="L12" i="2"/>
  <c r="M12" i="2" s="1"/>
  <c r="L59" i="2"/>
  <c r="M59" i="2" s="1"/>
  <c r="L478" i="2"/>
  <c r="M478" i="2" s="1"/>
  <c r="L354" i="2"/>
  <c r="M354" i="2" s="1"/>
  <c r="L645" i="2"/>
  <c r="M645" i="2" s="1"/>
  <c r="L35" i="2"/>
  <c r="M35" i="2" s="1"/>
  <c r="L505" i="2"/>
  <c r="M505" i="2" s="1"/>
  <c r="L675" i="2"/>
  <c r="M675" i="2" s="1"/>
  <c r="L374" i="2"/>
  <c r="M374" i="2" s="1"/>
  <c r="L71" i="2"/>
  <c r="M71" i="2" s="1"/>
  <c r="L793" i="2"/>
  <c r="M793" i="2" s="1"/>
  <c r="L82" i="2"/>
  <c r="M82" i="2" s="1"/>
  <c r="L253" i="2"/>
  <c r="M253" i="2" s="1"/>
  <c r="L406" i="2"/>
  <c r="M406" i="2" s="1"/>
  <c r="L819" i="2"/>
  <c r="M819" i="2" s="1"/>
  <c r="L241" i="2"/>
  <c r="M241" i="2" s="1"/>
  <c r="L660" i="2"/>
  <c r="M660" i="2" s="1"/>
  <c r="F15" i="2"/>
  <c r="G15" i="2" s="1"/>
  <c r="M778" i="2" l="1"/>
  <c r="L779" i="2"/>
  <c r="L794" i="2"/>
  <c r="M794" i="2" s="1"/>
  <c r="L242" i="2"/>
  <c r="M242" i="2" s="1"/>
  <c r="L646" i="2"/>
  <c r="M646" i="2" s="1"/>
  <c r="L407" i="2"/>
  <c r="M407" i="2" s="1"/>
  <c r="L479" i="2"/>
  <c r="M479" i="2" s="1"/>
  <c r="L676" i="2"/>
  <c r="M676" i="2" s="1"/>
  <c r="L60" i="2"/>
  <c r="M60" i="2" s="1"/>
  <c r="L254" i="2"/>
  <c r="M254" i="2" s="1"/>
  <c r="L13" i="2"/>
  <c r="M13" i="2" s="1"/>
  <c r="L36" i="2"/>
  <c r="M36" i="2" s="1"/>
  <c r="L661" i="2"/>
  <c r="M661" i="2" s="1"/>
  <c r="L83" i="2"/>
  <c r="M83" i="2" s="1"/>
  <c r="L820" i="2"/>
  <c r="M820" i="2" s="1"/>
  <c r="L355" i="2"/>
  <c r="M355" i="2" s="1"/>
  <c r="L375" i="2"/>
  <c r="M375" i="2" s="1"/>
  <c r="L506" i="2"/>
  <c r="M506" i="2" s="1"/>
  <c r="G17" i="2"/>
  <c r="M779" i="2" l="1"/>
  <c r="L780" i="2"/>
  <c r="G881" i="2"/>
  <c r="L37" i="2"/>
  <c r="M37" i="2" s="1"/>
  <c r="L507" i="2"/>
  <c r="M507" i="2" s="1"/>
  <c r="L408" i="2"/>
  <c r="M408" i="2" s="1"/>
  <c r="L677" i="2"/>
  <c r="M677" i="2" s="1"/>
  <c r="L662" i="2"/>
  <c r="M662" i="2" s="1"/>
  <c r="L376" i="2"/>
  <c r="M376" i="2" s="1"/>
  <c r="L255" i="2"/>
  <c r="M255" i="2" s="1"/>
  <c r="L480" i="2"/>
  <c r="M480" i="2" s="1"/>
  <c r="L14" i="2"/>
  <c r="M14" i="2" s="1"/>
  <c r="L647" i="2"/>
  <c r="M647" i="2" s="1"/>
  <c r="L356" i="2"/>
  <c r="M356" i="2" s="1"/>
  <c r="L821" i="2"/>
  <c r="M821" i="2" s="1"/>
  <c r="L795" i="2"/>
  <c r="M795" i="2" s="1"/>
  <c r="L84" i="2"/>
  <c r="M84" i="2" s="1"/>
  <c r="M780" i="2" l="1"/>
  <c r="L781" i="2"/>
  <c r="L357" i="2"/>
  <c r="M357" i="2" s="1"/>
  <c r="L377" i="2"/>
  <c r="M377" i="2" s="1"/>
  <c r="L15" i="2"/>
  <c r="M15" i="2" s="1"/>
  <c r="L409" i="2"/>
  <c r="M409" i="2" s="1"/>
  <c r="L648" i="2"/>
  <c r="M648" i="2" s="1"/>
  <c r="L822" i="2"/>
  <c r="M822" i="2" s="1"/>
  <c r="L85" i="2"/>
  <c r="M85" i="2" s="1"/>
  <c r="L481" i="2"/>
  <c r="M481" i="2" s="1"/>
  <c r="L508" i="2"/>
  <c r="M508" i="2" s="1"/>
  <c r="L678" i="2"/>
  <c r="M678" i="2" s="1"/>
  <c r="L796" i="2"/>
  <c r="M796" i="2" s="1"/>
  <c r="L38" i="2"/>
  <c r="M38" i="2" s="1"/>
  <c r="L256" i="2"/>
  <c r="M256" i="2" s="1"/>
  <c r="M781" i="2" l="1"/>
  <c r="L782" i="2"/>
  <c r="M782" i="2" s="1"/>
  <c r="L649" i="2"/>
  <c r="M649" i="2" s="1"/>
  <c r="L679" i="2"/>
  <c r="M679" i="2" s="1"/>
  <c r="L16" i="2"/>
  <c r="M16" i="2" s="1"/>
  <c r="L39" i="2"/>
  <c r="M39" i="2" s="1"/>
  <c r="L410" i="2"/>
  <c r="M410" i="2" s="1"/>
  <c r="L823" i="2"/>
  <c r="M823" i="2" s="1"/>
  <c r="L257" i="2"/>
  <c r="M257" i="2" s="1"/>
  <c r="L509" i="2"/>
  <c r="M509" i="2" s="1"/>
  <c r="L86" i="2"/>
  <c r="M86" i="2" s="1"/>
  <c r="L358" i="2"/>
  <c r="M358" i="2" s="1"/>
  <c r="L87" i="2" l="1"/>
  <c r="M87" i="2" s="1"/>
  <c r="L510" i="2"/>
  <c r="M510" i="2" s="1"/>
  <c r="L359" i="2"/>
  <c r="M359" i="2" s="1"/>
  <c r="L17" i="2"/>
  <c r="M17" i="2" s="1"/>
  <c r="L680" i="2"/>
  <c r="M680" i="2" s="1"/>
  <c r="L258" i="2"/>
  <c r="M258" i="2" s="1"/>
  <c r="L824" i="2"/>
  <c r="M824" i="2" s="1"/>
  <c r="L411" i="2"/>
  <c r="M411" i="2" s="1"/>
  <c r="L40" i="2"/>
  <c r="M40" i="2" s="1"/>
  <c r="L259" i="2" l="1"/>
  <c r="M259" i="2" s="1"/>
  <c r="L681" i="2"/>
  <c r="M681" i="2" s="1"/>
  <c r="L360" i="2"/>
  <c r="M360" i="2" s="1"/>
  <c r="L511" i="2"/>
  <c r="M511" i="2" s="1"/>
  <c r="L88" i="2"/>
  <c r="M88" i="2" s="1"/>
  <c r="L89" i="2" l="1"/>
  <c r="M89" i="2" s="1"/>
  <c r="L512" i="2"/>
  <c r="M512" i="2" s="1"/>
  <c r="L361" i="2"/>
  <c r="M361" i="2" s="1"/>
  <c r="L682" i="2"/>
  <c r="M682" i="2" s="1"/>
  <c r="L260" i="2"/>
  <c r="M260" i="2" s="1"/>
  <c r="L261" i="2" l="1"/>
  <c r="M261" i="2" s="1"/>
  <c r="L683" i="2"/>
  <c r="M683" i="2" s="1"/>
  <c r="L362" i="2"/>
  <c r="M362" i="2" s="1"/>
  <c r="L513" i="2"/>
  <c r="M513" i="2" s="1"/>
  <c r="L90" i="2"/>
  <c r="M90" i="2" s="1"/>
  <c r="L91" i="2" l="1"/>
  <c r="M91" i="2" s="1"/>
  <c r="L363" i="2"/>
  <c r="M363" i="2" s="1"/>
  <c r="L514" i="2"/>
  <c r="M514" i="2" s="1"/>
  <c r="L684" i="2"/>
  <c r="M684" i="2" s="1"/>
  <c r="L262" i="2"/>
  <c r="M262" i="2" s="1"/>
  <c r="L263" i="2" l="1"/>
  <c r="M263" i="2" s="1"/>
  <c r="L685" i="2"/>
  <c r="M685" i="2" s="1"/>
  <c r="L92" i="2"/>
  <c r="M92" i="2" s="1"/>
</calcChain>
</file>

<file path=xl/sharedStrings.xml><?xml version="1.0" encoding="utf-8"?>
<sst xmlns="http://schemas.openxmlformats.org/spreadsheetml/2006/main" count="3829" uniqueCount="375">
  <si>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</si>
  <si>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</si>
  <si>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</si>
  <si>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</si>
  <si>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</si>
  <si>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</si>
  <si>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</si>
  <si>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</si>
  <si>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</si>
  <si>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</si>
  <si>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</si>
  <si>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</si>
  <si>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</si>
  <si>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</si>
  <si>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</si>
  <si>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</si>
  <si>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</si>
  <si>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perekluchatel</t>
  </si>
  <si>
    <t>dif</t>
  </si>
  <si>
    <t>ШТ.</t>
  </si>
  <si>
    <t>pys</t>
  </si>
  <si>
    <t>contactor</t>
  </si>
  <si>
    <t>rele</t>
  </si>
  <si>
    <t>klem</t>
  </si>
  <si>
    <t>button</t>
  </si>
  <si>
    <t>Авт. выкл. YCB9-125 3P 25A 10kA</t>
  </si>
  <si>
    <t>Контактор CJX2S 25A (1NC+1NO) 220V</t>
  </si>
  <si>
    <t>C000188</t>
  </si>
  <si>
    <t>Тепловое реле JR28 JR28-25 17-25А</t>
  </si>
  <si>
    <t>C030106</t>
  </si>
  <si>
    <t>Фотореле AZ-112</t>
  </si>
  <si>
    <t xml:space="preserve">Авт. выкл. YCB6-63H 1P 6А 4.5kA х-ка C </t>
  </si>
  <si>
    <t>Переключатель LAY5-ED33, 3 положения с фиксацией, 2НО IP40</t>
  </si>
  <si>
    <t xml:space="preserve">Индикатор AD22-22DS/4 желтый АС230В </t>
  </si>
  <si>
    <t xml:space="preserve">Кнопка (зелёная) LAY5-BA31 (NO) </t>
  </si>
  <si>
    <t xml:space="preserve">Кнопка (красная) LAY5-BA42 (NC) </t>
  </si>
  <si>
    <t>cnc</t>
  </si>
  <si>
    <t>fotorele</t>
  </si>
  <si>
    <t>timer</t>
  </si>
  <si>
    <t>indicator</t>
  </si>
  <si>
    <t>Диф. авт. выкл. YCB7NLE 4P C16 100mA тип AC 6kA</t>
  </si>
  <si>
    <t>270100164_</t>
  </si>
  <si>
    <t xml:space="preserve">                    Рубильник ВР-32-37  А71220-400А на 2 направления (+6камер) UNIT (1/6)</t>
  </si>
  <si>
    <t>rubilnik</t>
  </si>
  <si>
    <t>tt</t>
  </si>
  <si>
    <t>KIP</t>
  </si>
  <si>
    <t>mccb</t>
  </si>
  <si>
    <t>shin</t>
  </si>
  <si>
    <t>Авт. выкл. YCM1-125L/3Р 100A 25кА</t>
  </si>
  <si>
    <t xml:space="preserve">Реле времени NTE8-B (задержка времени включения)  1-10с, 1НО, AC230В  YCT8-A1 AC230V Многофункциональное реле с таймером на 10 функций  </t>
  </si>
  <si>
    <t xml:space="preserve">Авт. выкл. YCB6-63H 3P 6А 4.5kA х-ка C </t>
  </si>
  <si>
    <t>Контактор CJX2-F 115A 3P AC220V</t>
  </si>
  <si>
    <t>Реле контроля фаз напряжения  XJ3-G</t>
  </si>
  <si>
    <t>D060026</t>
  </si>
  <si>
    <t xml:space="preserve">Промежуточное реле LY 4 конт. с инд. LED 3А 220В AC </t>
  </si>
  <si>
    <t>Розетка  4 конт.</t>
  </si>
  <si>
    <t xml:space="preserve">Индикатор AD22-22DS/4 зеленый АС230В </t>
  </si>
  <si>
    <t>blok</t>
  </si>
  <si>
    <t>Блоки контактные LAY5-BE101, 1НО</t>
  </si>
  <si>
    <t>ВРУ-Инд. (ЩСП-9 Секция-1) (ЩСП-9 Секция-2)</t>
  </si>
  <si>
    <t xml:space="preserve">Выключатель нагрузки YCH7-125N 3P 20A </t>
  </si>
  <si>
    <t xml:space="preserve">Выключатель нагрузки YCH7-125N 3P 63A </t>
  </si>
  <si>
    <t xml:space="preserve">Авт. выкл. YCB9-80H 3P 20A 10кА х-ка C </t>
  </si>
  <si>
    <t xml:space="preserve">Выключатель нагрузки YCH7-125N 3P 32A </t>
  </si>
  <si>
    <t>bh</t>
  </si>
  <si>
    <t>Диф. авт. выкл.YCB7LE-63Y 1P+N 16А 30mA электронный тип AС, х-ка С, 4.5kA</t>
  </si>
  <si>
    <t xml:space="preserve">Выключатель нагрузки YCH7-125N 2P 63A </t>
  </si>
  <si>
    <t>Диф. авт. выкл.YCB7LE-63Y 1P+N 40А 30mA электронный тип AС, х-ка С, 4.5kA</t>
  </si>
  <si>
    <t>Диф. авт. выкл.YCB7LE-63Y 1P+N 25А 30mA электронный тип AС, х-ка С, 4.5kA</t>
  </si>
  <si>
    <t xml:space="preserve">Модульный контактор YCCH6 20/20 2NO AC 220V 18мм </t>
  </si>
  <si>
    <t>A060386</t>
  </si>
  <si>
    <t>termoregulator</t>
  </si>
  <si>
    <t>ПР-инд (УКРМ-0,4-10 У3)  10 кВар 5х5 секция 11</t>
  </si>
  <si>
    <t>ЩК (11 секция)</t>
  </si>
  <si>
    <t>ЩО1ж; ЩО2ж (11 секция)</t>
  </si>
  <si>
    <t>ЩАО1ж; ЩАО2ж (11 секция)</t>
  </si>
  <si>
    <t>ЩУ-Т1 (11 секция)</t>
  </si>
  <si>
    <t>ЩС (11 секция)</t>
  </si>
  <si>
    <t>270100157_</t>
  </si>
  <si>
    <t xml:space="preserve">                    Рубильник ВР-32-35  А31220-250А на 1 направление (+6камер) UNIT (1/12)</t>
  </si>
  <si>
    <t xml:space="preserve">Индикатор AD22-22DS/4 красный АС230В </t>
  </si>
  <si>
    <t>rvn</t>
  </si>
  <si>
    <t>Разрядник РВН-0,5</t>
  </si>
  <si>
    <t>izolator</t>
  </si>
  <si>
    <t xml:space="preserve">Выключатель нагрузки YCH7-125N 3P 40A </t>
  </si>
  <si>
    <t xml:space="preserve">Авт. выкл. YCB9-80H 3P 50A 10кА х-ка C </t>
  </si>
  <si>
    <t xml:space="preserve">Авт. выкл. YCB9-80H 3P 32A 10кА х-ка C </t>
  </si>
  <si>
    <t xml:space="preserve">Авт. выкл. YCB9-80H 3P 25A 10кА х-ка C </t>
  </si>
  <si>
    <t>ЩРУВ-3-30зо (710х380х160)</t>
  </si>
  <si>
    <t>ЯУО 9601-3474 (11 секция)</t>
  </si>
  <si>
    <t>ЩОФ (11 секция)</t>
  </si>
  <si>
    <t>ЩК (12 секция)</t>
  </si>
  <si>
    <t>ЩО3ж (12 секция)</t>
  </si>
  <si>
    <t>ЩАО3ж (12 секция)</t>
  </si>
  <si>
    <t>Шкаф ЯРП-Инд (ЯРВ-100А) 460х250х145  IP31(12 секция)</t>
  </si>
  <si>
    <t>ЩУ-Т1 (12 секция)</t>
  </si>
  <si>
    <t>Щит освещения (ПР) (13 секция)</t>
  </si>
  <si>
    <t>ЩЭ2 (13 секция)</t>
  </si>
  <si>
    <t>ЩК (13 секция)</t>
  </si>
  <si>
    <t>ЩО1ж; ЩО2ж (13 секция)</t>
  </si>
  <si>
    <t>ЩУ-Т1 (13 секция)</t>
  </si>
  <si>
    <t>Шкаф ЯРП-Инд (ЯРВ-100А) 460х250х145  IP31 (13 секция)</t>
  </si>
  <si>
    <t>ЩЭ2 (14 секция)</t>
  </si>
  <si>
    <t>ЩК (14 секция)</t>
  </si>
  <si>
    <t>ЩАО3ж (14 секция)</t>
  </si>
  <si>
    <t>Шкаф ЯРП-Инд (ЯРВ-100А) 460х250х145  IP31 (14 секция)</t>
  </si>
  <si>
    <t>ЩУ-Т1 (14 секция)</t>
  </si>
  <si>
    <t>АВР15-3-1 100А (15 секция)</t>
  </si>
  <si>
    <t>ВРУ-Инд. (ЩСП-15 Секция-1) (ЩСП-15 Секция-2)</t>
  </si>
  <si>
    <t>ПР-инд (УКРМ-0,4-10 У3)  10 кВар 5х5 (15 секция)</t>
  </si>
  <si>
    <t>ЩЭ1 (15 секция)</t>
  </si>
  <si>
    <t>ЩК (15 секция)</t>
  </si>
  <si>
    <t>ЩО1ж (15 секция)</t>
  </si>
  <si>
    <t>ЩО1ж, ЩО2Ж (15 секция)</t>
  </si>
  <si>
    <t>ЩАО1ж, ЩАО2Ж (15 секция)</t>
  </si>
  <si>
    <t>Шкаф ЯРП-Инд (ЯРВ-100А) 460х250х145  IP31 (15 секция)</t>
  </si>
  <si>
    <t>ЩУ-Т1 (15 секция)</t>
  </si>
  <si>
    <t>ЩС (15 секция)</t>
  </si>
  <si>
    <t>Щит освещения (ПР-1) (15 секция)</t>
  </si>
  <si>
    <t>Щит освещения (ПР-3), (ПР-4), (ПР-5), (ПР-6) (15 секция)</t>
  </si>
  <si>
    <t>ЯУО 9601-3474 (15 секция)</t>
  </si>
  <si>
    <t>ЩОФ (15 секция)</t>
  </si>
  <si>
    <t>ЩЭ1 (16 секция)</t>
  </si>
  <si>
    <t>ЩЭ2 (16 секция)</t>
  </si>
  <si>
    <t>ЩК (16 секция)</t>
  </si>
  <si>
    <t>Шкаф ЯРП-Инд (ЯРВ-100А) 460х250х145  IP31 (16 секция)</t>
  </si>
  <si>
    <t>ЩУ-Т1 (16 секция)</t>
  </si>
  <si>
    <t>ВЩж-9 (ВРУ1-13-20УХЛ) (9 секция)</t>
  </si>
  <si>
    <t>521234</t>
  </si>
  <si>
    <t>Плавкая вставка предохранителя RT36-0-160, габарит 0, 125А</t>
  </si>
  <si>
    <t>521232</t>
  </si>
  <si>
    <t>Плавкая вставка предохранителя RT36-0-160, габарит 0, 100А</t>
  </si>
  <si>
    <t>521340</t>
  </si>
  <si>
    <t>Плавкая вставка предохранителя RT36-00-160, габарит 00, 25А</t>
  </si>
  <si>
    <t>ppn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</si>
  <si>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</si>
  <si>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</si>
  <si>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</si>
  <si>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</si>
  <si>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РЩж-9 (ВРУ1-13-20УХЛ) (9 секция) Комплектно к ВРУ-Инд (ВЩж-9)  ВРУ1-13-20УХЛ</t>
  </si>
  <si>
    <t>АВР-3-1 100А (9 секция) Комплектно к ВРУ-Инд (ЩСП Секция-1) (ЩСП Секция-2)</t>
  </si>
  <si>
    <t>ПР-инд (УКРМ-0,4-10 У3)  10 кВар 5х5 (9 секция)</t>
  </si>
  <si>
    <t>Щит освещения (ПР) (9 секция)</t>
  </si>
  <si>
    <t>ЩЭ1 (9 секция)</t>
  </si>
  <si>
    <t>ЩЭ2 (9 секция)</t>
  </si>
  <si>
    <t>ЩЭ3 (9 секция)</t>
  </si>
  <si>
    <t>ЩК (9 секция)</t>
  </si>
  <si>
    <t>ЩО1ж; ЩО2ж (9 секция)</t>
  </si>
  <si>
    <t>ЩУ-Т1 (9 секция)</t>
  </si>
  <si>
    <t>ЩЭ1 (10 секция)</t>
  </si>
  <si>
    <t>ЩО3ж (10 секция)</t>
  </si>
  <si>
    <t>ЩАО3ж (10 секция)</t>
  </si>
  <si>
    <t>Шкаф ЯРП-Инд (ЯРВ-100А) 460х250х145  IP31 (10 секция)</t>
  </si>
  <si>
    <t>ЩУ-Т1 (10 секция)</t>
  </si>
  <si>
    <t>ВЩж-11 (ВРУ1-13-20УХЛ) (11 секция)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</si>
  <si>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</si>
  <si>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</si>
  <si>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</si>
  <si>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</si>
  <si>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РЩж-11 (ВРУ1-13-20УХЛ) (11 секция)</t>
  </si>
  <si>
    <t>521236</t>
  </si>
  <si>
    <t>Плавкая вставка предохранителя RT36-0-160, габарит 0, 160А</t>
  </si>
  <si>
    <t>521223</t>
  </si>
  <si>
    <t>Плавкая вставка предохранителя RT36-0-160, габарит 0, 40А</t>
  </si>
  <si>
    <t>АВР-3-1 100А (11 секция)</t>
  </si>
  <si>
    <t>ВРУ-Инд. (ЩСП-11 Секция-1) (ЩСП-11 Секция-2)  (11 секция)</t>
  </si>
  <si>
    <t>Щит освещения (ПР 11)  (11 секция)</t>
  </si>
  <si>
    <t>ЩЭ1 3сч.  (11 секция)</t>
  </si>
  <si>
    <t>ЩЭ1 4сч.  (11 секция)</t>
  </si>
  <si>
    <t>Шкаф ЯРП-Инд (ЯРВ-100А) 460х250х145  IP31  (11 секция)</t>
  </si>
  <si>
    <t>ВЩО-11 (ВРУ-8504-3ВП-5-25-0-30)  (11 секция)</t>
  </si>
  <si>
    <t>521189</t>
  </si>
  <si>
    <t>Плавкая вставка предохранителя RT36-1-250, габарит 1, 250А</t>
  </si>
  <si>
    <t>РЩО-11 (ВРУ-8504-3ВП-5-25-0-30)  (11 секция)</t>
  </si>
  <si>
    <t>Щит освещения (ПР-1)  (11 секция)</t>
  </si>
  <si>
    <t>ЩЭ1 4сч.  (12 секция)</t>
  </si>
  <si>
    <t>ЩЭ2 5сч. (12 секция)</t>
  </si>
  <si>
    <t>ВЩж-13 (ВРУ1-13-20УХЛ) (13 секция)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</si>
  <si>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</si>
  <si>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</si>
  <si>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</si>
  <si>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</si>
  <si>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 xml:space="preserve">РЩж-13 (ВРУ1-13-20УХЛ) (13 секция) </t>
  </si>
  <si>
    <t>АВР-3-1 100А (13 секция) Комплектно к ВРУ-Инд (ЩСП Секция-1) (ЩСП Секция-2)</t>
  </si>
  <si>
    <t>ПР-инд (УКРМ-0,4-10 У3)  10 кВар 5х5 (13 секция)</t>
  </si>
  <si>
    <t>ЩЭ1 4 сч. (13 секция)</t>
  </si>
  <si>
    <t>ЩЭ1 4 сч. (14 секция)</t>
  </si>
  <si>
    <t>ВЩж-15 (ВРУ1-13-20УХЛ) (15 секция)</t>
  </si>
  <si>
    <t>РЩж-15 (ВРУ1-13-20УХЛ) (15 секция)</t>
  </si>
  <si>
    <t>521222</t>
  </si>
  <si>
    <t>Плавкая вставка предохранителя RT36-0-160, габарит 0, 32А</t>
  </si>
  <si>
    <t>ВЩО-15 (ВРУ-8504-3ВП-5-25-0-30) (15 секция)</t>
  </si>
  <si>
    <t>РЩО-15 (ВРУ-8504-3ВП-5-25-0-30) (15 секция)</t>
  </si>
  <si>
    <t>521349</t>
  </si>
  <si>
    <t>Плавкая вставка предохранителя RT36-00-160, габарит 00, 100А</t>
  </si>
  <si>
    <t>Авт. выкл YCB7-63N 3P C16A  6KA</t>
  </si>
  <si>
    <t>YCB7-63N 1P C10A 6KA</t>
  </si>
  <si>
    <t>Авт. выкл.  YCB7-63N 1P C16A  6KA</t>
  </si>
  <si>
    <t>Авт. выкл.  YCB7-63N 2P C10A  6KA</t>
  </si>
  <si>
    <t>Авт. выкл.  YCB7-63N 2P C50A  6KA</t>
  </si>
  <si>
    <t>Авт. выкл.  YCB7-63N 2P C63A  6KA</t>
  </si>
  <si>
    <t>Авт. выкл.  YCB7-63N 3P C20A  6KA</t>
  </si>
  <si>
    <t>Авт. выкл.  YCB7-63N 3P C25A 6KA</t>
  </si>
  <si>
    <t>Авт. выкл.  YCB7-63N 3P C50A 6KA</t>
  </si>
  <si>
    <t>Авт. выкл.  YCB7-63N 1P C20A 6KA</t>
  </si>
  <si>
    <t>Авт. выкл.  YCB7-63N 3P C10A 6KA</t>
  </si>
  <si>
    <t>chint</t>
  </si>
  <si>
    <t>ЩАО3ж (16 секция)</t>
  </si>
  <si>
    <t>Выключатель нагрузки  YCH7-125N 3P 25A</t>
  </si>
  <si>
    <t>ЩАО1ж; ЩАО2ж (9 секция)</t>
  </si>
  <si>
    <t>Шкаф ЯРП-Инд (ЯРВ-100А) 460х250х145  IP31</t>
  </si>
  <si>
    <t>ЩЭ2 (10 секция)</t>
  </si>
  <si>
    <t>ЩК (10 секция)</t>
  </si>
  <si>
    <t>Выключатель нагрузки YCH7-125N 3P 25A</t>
  </si>
  <si>
    <t>Щит освещения (ПР-2, ПР-4) (11 секция)</t>
  </si>
  <si>
    <t>Щит освещения (ПР-3)  (11 секция)</t>
  </si>
  <si>
    <t>ВРУ-Инд. (ЩСП-13 Секция-1) (ЩСП-13 Секция-2) (13 секция)</t>
  </si>
  <si>
    <t>ЩАО1ж; ЩАО2ж (13 секция)</t>
  </si>
  <si>
    <t>ЩО3ж (14 секция)</t>
  </si>
  <si>
    <t>Щит освещения (ПР 15) (15 секция)</t>
  </si>
  <si>
    <t>ЩО3ж (16 секция)</t>
  </si>
  <si>
    <t>rozetka</t>
  </si>
  <si>
    <t>Щит расп. x18, пластик., c/у, крышка бел., IP40, к</t>
  </si>
  <si>
    <t>711-03038</t>
  </si>
  <si>
    <t>Этажный Щит ЩЭ-4  S/A (1010x1005x150) (TS)</t>
  </si>
  <si>
    <t>710-1593922</t>
  </si>
  <si>
    <t>Этажный Щит ЩЭ-5  S/A (1010x950x150) (TS)</t>
  </si>
  <si>
    <t>710-1593920</t>
  </si>
  <si>
    <t>Этажный Щит ЩЭ-3  S/A (1010x950x150) (TS)</t>
  </si>
  <si>
    <t>710-159391</t>
  </si>
  <si>
    <t>Щит этажный ЩЭ 6кв. (1000х950х150)</t>
  </si>
  <si>
    <t>710-159396</t>
  </si>
  <si>
    <t>M.</t>
  </si>
  <si>
    <t>130200213_</t>
  </si>
  <si>
    <t xml:space="preserve">                Шина алюм АД31Т  4х20х4000</t>
  </si>
  <si>
    <t xml:space="preserve"> M. </t>
  </si>
  <si>
    <t>tekled</t>
  </si>
  <si>
    <t>Изолятор SM-51 (TEKLED ELECTRIC)300/10</t>
  </si>
  <si>
    <t>718-03408-1</t>
  </si>
  <si>
    <t>718-03406-1</t>
  </si>
  <si>
    <t>Изолятор SM-40 (TEKLED ELECTRIC)300/10</t>
  </si>
  <si>
    <t>701-03352-1</t>
  </si>
  <si>
    <t>Терминал клеммный TB-2504 (TEKLED ELECTR</t>
  </si>
  <si>
    <t>Проходная клеммная колодка SAK-2.5 (TEKL</t>
  </si>
  <si>
    <t>701-03300-1</t>
  </si>
  <si>
    <t>720-03010</t>
  </si>
  <si>
    <t>ТАЙМЕР. ВЫКЛ. QEM-T8 промышленный таймер</t>
  </si>
  <si>
    <t>Автомат светочувствительный F&amp;F AZ-112, 16А NEW</t>
  </si>
  <si>
    <t>c000094</t>
  </si>
  <si>
    <t>F4-DN20 (dob contakt)</t>
  </si>
  <si>
    <t>719-15043</t>
  </si>
  <si>
    <t>Мет. Щит ВРУ 1700х800х450+10CM База</t>
  </si>
  <si>
    <t>719-15..</t>
  </si>
  <si>
    <t>715-15..</t>
  </si>
  <si>
    <t>714-15005</t>
  </si>
  <si>
    <t>Щит мет.ЩРн-12 б/o (313х268х120)S/U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</si>
  <si>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</si>
  <si>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</si>
  <si>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</si>
  <si>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</si>
  <si>
    <t>719-159</t>
  </si>
  <si>
    <t>Мет. ЩМП-3 (650х500х220) IP54</t>
  </si>
  <si>
    <t>TEKLED</t>
  </si>
  <si>
    <t>Регулятор температуры Teploluxe 100 NEW</t>
  </si>
  <si>
    <t>050700212_</t>
  </si>
  <si>
    <t>ITT20-2-05-0200</t>
  </si>
  <si>
    <t xml:space="preserve">             Трансформатор тока ТТИ-30  200/5А 5ВА 0,5 IEK E-PRO</t>
  </si>
  <si>
    <t>ITT20-2-05-0250</t>
  </si>
  <si>
    <t xml:space="preserve">             Трансформатор тока ТТИ-30  250/5А 5ВА 0,5 IEK E-PRO</t>
  </si>
  <si>
    <t>270300021_</t>
  </si>
  <si>
    <t xml:space="preserve">             Трансформатор тока ТТИ-40  300/5А  5ВА  класс 0,5  IEK</t>
  </si>
  <si>
    <t>270300100_</t>
  </si>
  <si>
    <t xml:space="preserve">            Трансформатор тока ТТИ-А  150/5А  5ВА  класс 0,5  IEK</t>
  </si>
  <si>
    <t>1700х600х450+100 baza</t>
  </si>
  <si>
    <t>1700х(800)х450+100 baza</t>
  </si>
  <si>
    <t>1700х(600)х450+100 baza</t>
  </si>
  <si>
    <t>CNC</t>
  </si>
  <si>
    <t>Toplam ЯУО 9601-3474 (11 секция)</t>
  </si>
  <si>
    <t>Toplam ЩОФ (11 секция)</t>
  </si>
  <si>
    <t>Toplam ЯУО 9601-3474 (15 секция)</t>
  </si>
  <si>
    <t>Toplam ЩОФ (15 секция)</t>
  </si>
  <si>
    <t>Toplam ВЩж-9 (ВРУ1-13-20УХЛ) (9 секция)</t>
  </si>
  <si>
    <t>Toplam РЩж-9 (ВРУ1-13-20УХЛ) (9 секция) Комплектно к ВРУ-Инд (ВЩж-9)  ВРУ1-13-20УХЛ</t>
  </si>
  <si>
    <t>Toplam АВР-3-1 100А (9 секция) Комплектно к ВРУ-Инд (ЩСП Секция-1) (ЩСП Секция-2)</t>
  </si>
  <si>
    <t>Toplam ВРУ-Инд. (ЩСП-9 Секция-1) (ЩСП-9 Секция-2)</t>
  </si>
  <si>
    <t>Toplam ПР-инд (УКРМ-0,4-10 У3)  10 кВар 5х5 (9 секция)</t>
  </si>
  <si>
    <t>Toplam Щит освещения (ПР) (9 секция)</t>
  </si>
  <si>
    <t>Toplam ЩЭ1 (9 секция)</t>
  </si>
  <si>
    <t>Toplam ЩЭ2 (9 секция)</t>
  </si>
  <si>
    <t>Toplam ЩЭ3 (9 секция)</t>
  </si>
  <si>
    <t>Toplam ЩК (9 секция)</t>
  </si>
  <si>
    <t>Toplam ЩО1ж; ЩО2ж (9 секция)</t>
  </si>
  <si>
    <t>Toplam ЩАО1ж; ЩАО2ж (9 секция)</t>
  </si>
  <si>
    <t>Toplam Шкаф ЯРП-Инд (ЯРВ-100А) 460х250х145  IP31</t>
  </si>
  <si>
    <t>Toplam ЩУ-Т1 (9 секция)</t>
  </si>
  <si>
    <t>Toplam ЩЭ1 (10 секция)</t>
  </si>
  <si>
    <t>Toplam ЩЭ2 (10 секция)</t>
  </si>
  <si>
    <t>Toplam ЩК (10 секция)</t>
  </si>
  <si>
    <t>Toplam ЩО3ж (10 секция)</t>
  </si>
  <si>
    <t>Toplam ЩАО3ж (10 секция)</t>
  </si>
  <si>
    <t>Toplam Шкаф ЯРП-Инд (ЯРВ-100А) 460х250х145  IP31 (10 секция)</t>
  </si>
  <si>
    <t>Toplam ЩУ-Т1 (10 секция)</t>
  </si>
  <si>
    <t>Toplam ВЩж-11 (ВРУ1-13-20УХЛ) (11 секция)</t>
  </si>
  <si>
    <t>Toplam РЩж-11 (ВРУ1-13-20УХЛ) (11 секция)</t>
  </si>
  <si>
    <t>Toplam АВР-3-1 100А (11 секция)</t>
  </si>
  <si>
    <t>Toplam ВРУ-Инд. (ЩСП-11 Секция-1) (ЩСП-11 Секция-2)  (11 секция)</t>
  </si>
  <si>
    <t>Toplam ПР-инд (УКРМ-0,4-10 У3)  10 кВар 5х5 секция 11</t>
  </si>
  <si>
    <t>Toplam Щит освещения (ПР 11)  (11 секция)</t>
  </si>
  <si>
    <t>Toplam ЩЭ1 3сч.  (11 секция)</t>
  </si>
  <si>
    <t>Toplam ЩЭ1 4сч.  (11 секция)</t>
  </si>
  <si>
    <t>Toplam ЩК (11 секция)</t>
  </si>
  <si>
    <t>Toplam ЩО1ж; ЩО2ж (11 секция)</t>
  </si>
  <si>
    <t>Toplam ЩАО1ж; ЩАО2ж (11 секция)</t>
  </si>
  <si>
    <t>Toplam Шкаф ЯРП-Инд (ЯРВ-100А) 460х250х145  IP31  (11 секция)</t>
  </si>
  <si>
    <t>Toplam ЩУ-Т1 (11 секция)</t>
  </si>
  <si>
    <t>Toplam ЩС (11 секция)</t>
  </si>
  <si>
    <t>Toplam ВЩО-11 (ВРУ-8504-3ВП-5-25-0-30)  (11 секция)</t>
  </si>
  <si>
    <t>Toplam РЩО-11 (ВРУ-8504-3ВП-5-25-0-30)  (11 секция)</t>
  </si>
  <si>
    <t>Toplam Щит освещения (ПР-1)  (11 секция)</t>
  </si>
  <si>
    <t>Toplam Щит освещения (ПР-3)  (11 секция)</t>
  </si>
  <si>
    <t>Toplam Щит освещения (ПР-2, ПР-4) (11 секция)</t>
  </si>
  <si>
    <t>Toplam ЩЭ1 4сч.  (12 секция)</t>
  </si>
  <si>
    <t>Toplam ЩЭ2 5сч. (12 секция)</t>
  </si>
  <si>
    <t>Toplam ЩК (12 секция)</t>
  </si>
  <si>
    <t>Toplam ЩО3ж (12 секция)</t>
  </si>
  <si>
    <t>Toplam ЩАО3ж (12 секция)</t>
  </si>
  <si>
    <t>Toplam Шкаф ЯРП-Инд (ЯРВ-100А) 460х250х145  IP31(12 секция)</t>
  </si>
  <si>
    <t>Toplam ЩУ-Т1 (12 секция)</t>
  </si>
  <si>
    <t>Toplam ВЩж-13 (ВРУ1-13-20УХЛ) (13 секция)</t>
  </si>
  <si>
    <t xml:space="preserve">Toplam РЩж-13 (ВРУ1-13-20УХЛ) (13 секция) </t>
  </si>
  <si>
    <t>Toplam АВР-3-1 100А (13 секция) Комплектно к ВРУ-Инд (ЩСП Секция-1) (ЩСП Секция-2)</t>
  </si>
  <si>
    <t>Toplam ВРУ-Инд. (ЩСП-13 Секция-1) (ЩСП-13 Секция-2) (13 секция)</t>
  </si>
  <si>
    <t>Toplam ПР-инд (УКРМ-0,4-10 У3)  10 кВар 5х5 (13 секция)</t>
  </si>
  <si>
    <t>Toplam Щит освещения (ПР) (13 секция)</t>
  </si>
  <si>
    <t>Toplam ЩЭ1 4 сч. (13 секция)</t>
  </si>
  <si>
    <t>Toplam ЩЭ2 (13 секция)</t>
  </si>
  <si>
    <t>Toplam ЩК (13 секция)</t>
  </si>
  <si>
    <t>Toplam ЩО1ж; ЩО2ж (13 секция)</t>
  </si>
  <si>
    <t>Toplam ЩАО1ж; ЩАО2ж (13 секция)</t>
  </si>
  <si>
    <t>Toplam Шкаф ЯРП-Инд (ЯРВ-100А) 460х250х145  IP31 (13 секция)</t>
  </si>
  <si>
    <t>Toplam ЩУ-Т1 (13 секция)</t>
  </si>
  <si>
    <t>Toplam ЩЭ1 4 сч. (14 секция)</t>
  </si>
  <si>
    <t>Toplam ЩЭ2 (14 секция)</t>
  </si>
  <si>
    <t>Toplam ЩК (14 секция)</t>
  </si>
  <si>
    <t>Toplam ЩО3ж (14 секция)</t>
  </si>
  <si>
    <t>Toplam ЩАО3ж (14 секция)</t>
  </si>
  <si>
    <t>Toplam Шкаф ЯРП-Инд (ЯРВ-100А) 460х250х145  IP31 (14 секция)</t>
  </si>
  <si>
    <t>Toplam ЩУ-Т1 (14 секция)</t>
  </si>
  <si>
    <t>Toplam ВЩж-15 (ВРУ1-13-20УХЛ) (15 секция)</t>
  </si>
  <si>
    <t>Toplam РЩж-15 (ВРУ1-13-20УХЛ) (15 секция)</t>
  </si>
  <si>
    <t>Toplam АВР15-3-1 100А (15 секция)</t>
  </si>
  <si>
    <t>Toplam ВРУ-Инд. (ЩСП-15 Секция-1) (ЩСП-15 Секция-2)</t>
  </si>
  <si>
    <t>Toplam ПР-инд (УКРМ-0,4-10 У3)  10 кВар 5х5 (15 секция)</t>
  </si>
  <si>
    <t>Toplam Щит освещения (ПР 15) (15 секция)</t>
  </si>
  <si>
    <t>Toplam ЩЭ1 (15 секция)</t>
  </si>
  <si>
    <t>Toplam ЩК (15 секция)</t>
  </si>
  <si>
    <t>Toplam ЩО1ж (15 секция)</t>
  </si>
  <si>
    <t>Toplam ЩО1ж, ЩО2Ж (15 секция)</t>
  </si>
  <si>
    <t>Toplam ЩАО1ж, ЩАО2Ж (15 секция)</t>
  </si>
  <si>
    <t>Toplam Шкаф ЯРП-Инд (ЯРВ-100А) 460х250х145  IP31 (15 секция)</t>
  </si>
  <si>
    <t>Toplam ЩУ-Т1 (15 секция)</t>
  </si>
  <si>
    <t>Toplam ЩС (15 секция)</t>
  </si>
  <si>
    <t>Toplam ВЩО-15 (ВРУ-8504-3ВП-5-25-0-30) (15 секция)</t>
  </si>
  <si>
    <t>Toplam РЩО-15 (ВРУ-8504-3ВП-5-25-0-30) (15 секция)</t>
  </si>
  <si>
    <t>Toplam Щит освещения (ПР-1) (15 секция)</t>
  </si>
  <si>
    <t>Toplam Щит освещения (ПР-3), (ПР-4), (ПР-5), (ПР-6) (15 секция)</t>
  </si>
  <si>
    <t>Toplam ЩЭ1 (16 секция)</t>
  </si>
  <si>
    <t>Toplam ЩЭ2 (16 секция)</t>
  </si>
  <si>
    <t>Toplam ЩК (16 секция)</t>
  </si>
  <si>
    <t>Toplam ЩО3ж (16 секция)</t>
  </si>
  <si>
    <t>Toplam ЩАО3ж (16 секция)</t>
  </si>
  <si>
    <t>Toplam Шкаф ЯРП-Инд (ЯРВ-100А) 460х250х145  IP31 (16 секция)</t>
  </si>
  <si>
    <t>Toplam ЩУ-Т1 (16 секция)</t>
  </si>
  <si>
    <t>Genel Toplam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</si>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</sst>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5" fontId="6" fillId="4" borderId="0" xfId="1" applyNumberFormat="1" applyFont="1" applyFill="1" applyBorder="1" applyAlignment="1" applyProtection="1">
      <alignment horizontal="center" vertical="center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43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M881"/>
  <sheetViews>
    <sheetView topLeftCell="B1" zoomScale="115" zoomScaleNormal="115" workbookViewId="0">
      <pane ySplit="1" topLeftCell="A2" activePane="bottomLeft" state="frozen"/>
      <selection pane="bottomLeft" activeCell="G7" sqref="G7"/>
    </sheetView>
  </sheetViews>
  <sheetFormatPr defaultRowHeight="21" customHeight="1" outlineLevelRow="2" x14ac:dyDescent="0.25"/>
  <cols>
    <col min="1" max="1" width="36.42578125" customWidth="1"/>
    <col min="3" max="3" width="12.42578125" customWidth="1"/>
    <col min="4" max="4" width="57.85546875" customWidth="1"/>
    <col min="5" max="6" width="10" bestFit="1" customWidth="1"/>
    <col min="7" max="7" width="15.7109375" bestFit="1" customWidth="1"/>
    <col min="8" max="8" width="9.28515625" bestFit="1" customWidth="1"/>
    <col min="13" max="13" width="16.28515625" customWidth="1"/>
  </cols>
  <sheetData>
    <row r="1" spans="1:13" ht="39.75" customHeight="1" x14ac:dyDescent="0.25">
      <c r="A1" s="1" t="s">
        <v>2</v>
      </c>
      <c r="B1" s="1" t="s">
        <v>0</v>
      </c>
      <c r="C1" s="1" t="s">
        <v>1</v>
      </c>
      <c r="D1" s="1" t="s">
        <v>14</v>
      </c>
      <c r="E1" s="1" t="s">
        <v>3</v>
      </c>
      <c r="F1" s="1" t="s">
        <v>3</v>
      </c>
      <c r="G1" s="2" t="s">
        <v>6</v>
      </c>
      <c r="H1" s="3" t="s">
        <v>15</v>
      </c>
      <c r="I1" s="3" t="s">
        <v>4</v>
      </c>
      <c r="J1" s="3" t="s">
        <v>5</v>
      </c>
      <c r="K1" t="s">
        <v>374</v>
      </c>
    </row>
    <row r="2" spans="1:13" ht="39.75" customHeight="1" outlineLevel="2" x14ac:dyDescent="0.25">
      <c r="A2" s="4" t="str">
        <f>D2</f>
        <v>ЯУО 9601-3474 (11 секция)</v>
      </c>
      <c r="B2" s="5"/>
      <c r="C2" s="17"/>
      <c r="D2" s="5" t="s">
        <v>89</v>
      </c>
      <c r="E2" s="7"/>
      <c r="F2" s="7"/>
      <c r="G2" s="8"/>
      <c r="H2" s="9">
        <v>1</v>
      </c>
      <c r="I2" s="10" t="s">
        <v>7</v>
      </c>
      <c r="J2" s="5" t="s">
        <v>9</v>
      </c>
      <c r="L2">
        <f>H2</f>
        <v>1</v>
      </c>
      <c r="M2" s="23">
        <f>L2*G2</f>
        <v>0</v>
      </c>
    </row>
    <row r="3" spans="1:13" ht="21" customHeight="1" outlineLevel="2" x14ac:dyDescent="0.25">
      <c r="A3" s="11" t="str">
        <f>A2</f>
        <v>ЯУО 9601-3474 (11 секция)</v>
      </c>
      <c r="B3" s="12" t="s">
        <v>8</v>
      </c>
      <c r="C3" s="18" t="s">
        <v>260</v>
      </c>
      <c r="D3" s="11" t="s">
        <v>261</v>
      </c>
      <c r="E3" s="12">
        <v>29000</v>
      </c>
      <c r="F3" s="13">
        <f>0.6*E3</f>
        <v>17400</v>
      </c>
      <c r="G3" s="13">
        <f>H3*F3</f>
        <v>17400</v>
      </c>
      <c r="H3" s="14">
        <v>1</v>
      </c>
      <c r="I3" s="15" t="s">
        <v>13</v>
      </c>
      <c r="J3" s="12" t="s">
        <v>16</v>
      </c>
      <c r="K3">
        <v>17400</v>
      </c>
      <c r="L3">
        <f t="shared" ref="L3:L17" si="0">L2</f>
        <v>1</v>
      </c>
      <c r="M3" s="23">
        <f t="shared" ref="M3:M66" si="1">L3*G3</f>
        <v>17400</v>
      </c>
    </row>
    <row r="4" spans="1:13" ht="21" customHeight="1" outlineLevel="2" x14ac:dyDescent="0.25">
      <c r="A4" s="11" t="str">
        <f t="shared" ref="A4:A16" si="2">A3</f>
        <v>ЯУО 9601-3474 (11 секция)</v>
      </c>
      <c r="B4" s="12" t="s">
        <v>12</v>
      </c>
      <c r="C4" s="18"/>
      <c r="D4" s="11" t="s">
        <v>25</v>
      </c>
      <c r="E4" s="12">
        <v>11273</v>
      </c>
      <c r="F4" s="13">
        <f>E4*0.6</f>
        <v>6763.8</v>
      </c>
      <c r="G4" s="13">
        <f>F4*H4</f>
        <v>6763.8</v>
      </c>
      <c r="H4" s="14">
        <v>1</v>
      </c>
      <c r="I4" s="15" t="s">
        <v>13</v>
      </c>
      <c r="J4" s="12" t="s">
        <v>36</v>
      </c>
      <c r="K4">
        <v>6763.8</v>
      </c>
      <c r="L4">
        <f t="shared" si="0"/>
        <v>1</v>
      </c>
      <c r="M4" s="23">
        <f t="shared" si="1"/>
        <v>6763.8</v>
      </c>
    </row>
    <row r="5" spans="1:13" ht="21" customHeight="1" outlineLevel="2" x14ac:dyDescent="0.25">
      <c r="A5" s="11" t="str">
        <f t="shared" si="2"/>
        <v>ЯУО 9601-3474 (11 секция)</v>
      </c>
      <c r="B5" s="12" t="s">
        <v>21</v>
      </c>
      <c r="C5" s="18" t="s">
        <v>27</v>
      </c>
      <c r="D5" s="11" t="s">
        <v>26</v>
      </c>
      <c r="E5" s="12">
        <v>7007</v>
      </c>
      <c r="F5" s="13">
        <f t="shared" ref="F5:F6" si="3">E5*0.6</f>
        <v>4204.2</v>
      </c>
      <c r="G5" s="13">
        <f t="shared" ref="G5:G16" si="4">F5*H5</f>
        <v>4204.2</v>
      </c>
      <c r="H5" s="14">
        <v>1</v>
      </c>
      <c r="I5" s="15" t="s">
        <v>13</v>
      </c>
      <c r="J5" s="12" t="s">
        <v>36</v>
      </c>
      <c r="K5">
        <v>4204.2</v>
      </c>
      <c r="L5">
        <f t="shared" si="0"/>
        <v>1</v>
      </c>
      <c r="M5" s="23">
        <f t="shared" si="1"/>
        <v>4204.2</v>
      </c>
    </row>
    <row r="6" spans="1:13" ht="21" customHeight="1" outlineLevel="2" x14ac:dyDescent="0.25">
      <c r="A6" s="11" t="str">
        <f t="shared" si="2"/>
        <v>ЯУО 9601-3474 (11 секция)</v>
      </c>
      <c r="B6" s="12" t="s">
        <v>22</v>
      </c>
      <c r="C6" s="18" t="s">
        <v>29</v>
      </c>
      <c r="D6" s="11" t="s">
        <v>28</v>
      </c>
      <c r="E6" s="12">
        <v>4690</v>
      </c>
      <c r="F6" s="13">
        <f t="shared" si="3"/>
        <v>2814</v>
      </c>
      <c r="G6" s="13">
        <f t="shared" si="4"/>
        <v>2814</v>
      </c>
      <c r="H6" s="14">
        <v>1</v>
      </c>
      <c r="I6" s="15" t="s">
        <v>13</v>
      </c>
      <c r="J6" s="12" t="s">
        <v>36</v>
      </c>
      <c r="K6">
        <v>2814</v>
      </c>
      <c r="L6">
        <f t="shared" si="0"/>
        <v>1</v>
      </c>
      <c r="M6" s="23">
        <f t="shared" si="1"/>
        <v>2814</v>
      </c>
    </row>
    <row r="7" spans="1:13" ht="21" customHeight="1" outlineLevel="2" x14ac:dyDescent="0.25">
      <c r="A7" s="11" t="str">
        <f t="shared" si="2"/>
        <v>ЯУО 9601-3474 (11 секция)</v>
      </c>
      <c r="B7" s="12" t="s">
        <v>37</v>
      </c>
      <c r="C7" s="18"/>
      <c r="D7" s="11" t="s">
        <v>247</v>
      </c>
      <c r="E7" s="12">
        <v>13000</v>
      </c>
      <c r="F7" s="13">
        <f>E7</f>
        <v>13000</v>
      </c>
      <c r="G7" s="13">
        <f t="shared" si="4"/>
        <v>13000</v>
      </c>
      <c r="H7" s="14">
        <v>1</v>
      </c>
      <c r="I7" s="15" t="s">
        <v>13</v>
      </c>
      <c r="J7" s="12" t="s">
        <v>20</v>
      </c>
      <c r="K7">
        <v>13000</v>
      </c>
      <c r="L7">
        <f t="shared" si="0"/>
        <v>1</v>
      </c>
      <c r="M7" s="23">
        <f t="shared" si="1"/>
        <v>13000</v>
      </c>
    </row>
    <row r="8" spans="1:13" ht="21" customHeight="1" outlineLevel="2" x14ac:dyDescent="0.25">
      <c r="A8" s="11" t="str">
        <f t="shared" si="2"/>
        <v>ЯУО 9601-3474 (11 секция)</v>
      </c>
      <c r="B8" s="12" t="s">
        <v>38</v>
      </c>
      <c r="C8" s="18" t="s">
        <v>245</v>
      </c>
      <c r="D8" s="11" t="s">
        <v>246</v>
      </c>
      <c r="E8" s="12">
        <v>7990</v>
      </c>
      <c r="F8" s="13">
        <f>E8*0.6</f>
        <v>4794</v>
      </c>
      <c r="G8" s="13">
        <f t="shared" si="4"/>
        <v>4794</v>
      </c>
      <c r="H8" s="14">
        <v>1</v>
      </c>
      <c r="I8" s="15" t="s">
        <v>13</v>
      </c>
      <c r="J8" s="12" t="s">
        <v>236</v>
      </c>
      <c r="K8">
        <v>4794</v>
      </c>
      <c r="L8">
        <f t="shared" si="0"/>
        <v>1</v>
      </c>
      <c r="M8" s="23">
        <f t="shared" si="1"/>
        <v>4794</v>
      </c>
    </row>
    <row r="9" spans="1:13" ht="21" customHeight="1" outlineLevel="2" x14ac:dyDescent="0.25">
      <c r="A9" s="11" t="str">
        <f t="shared" si="2"/>
        <v>ЯУО 9601-3474 (11 секция)</v>
      </c>
      <c r="B9" s="12" t="s">
        <v>12</v>
      </c>
      <c r="C9" s="18">
        <v>296708</v>
      </c>
      <c r="D9" s="11" t="s">
        <v>31</v>
      </c>
      <c r="E9" s="12">
        <v>828</v>
      </c>
      <c r="F9" s="13">
        <f>E9*0.6</f>
        <v>496.79999999999995</v>
      </c>
      <c r="G9" s="13">
        <f t="shared" si="4"/>
        <v>496.79999999999995</v>
      </c>
      <c r="H9" s="14">
        <v>1</v>
      </c>
      <c r="I9" s="15" t="s">
        <v>13</v>
      </c>
      <c r="J9" s="12" t="s">
        <v>36</v>
      </c>
      <c r="K9">
        <v>496.79999999999995</v>
      </c>
      <c r="L9">
        <f t="shared" si="0"/>
        <v>1</v>
      </c>
      <c r="M9" s="23">
        <f t="shared" si="1"/>
        <v>496.79999999999995</v>
      </c>
    </row>
    <row r="10" spans="1:13" ht="24" customHeight="1" outlineLevel="2" x14ac:dyDescent="0.25">
      <c r="A10" s="11" t="str">
        <f t="shared" si="2"/>
        <v>ЯУО 9601-3474 (11 секция)</v>
      </c>
      <c r="B10" s="12" t="s">
        <v>21</v>
      </c>
      <c r="C10" s="11" t="s">
        <v>248</v>
      </c>
      <c r="D10" s="11" t="s">
        <v>249</v>
      </c>
      <c r="E10" s="11">
        <v>1490</v>
      </c>
      <c r="F10" s="13">
        <f>E10*0.6</f>
        <v>894</v>
      </c>
      <c r="G10" s="13">
        <f t="shared" si="4"/>
        <v>894</v>
      </c>
      <c r="H10" s="11">
        <v>1</v>
      </c>
      <c r="I10" s="11" t="s">
        <v>13</v>
      </c>
      <c r="J10" s="12" t="s">
        <v>36</v>
      </c>
      <c r="K10">
        <v>894</v>
      </c>
      <c r="L10">
        <f t="shared" si="0"/>
        <v>1</v>
      </c>
      <c r="M10" s="23">
        <f t="shared" si="1"/>
        <v>894</v>
      </c>
    </row>
    <row r="11" spans="1:13" ht="21" customHeight="1" outlineLevel="2" x14ac:dyDescent="0.25">
      <c r="A11" s="11" t="str">
        <f t="shared" si="2"/>
        <v>ЯУО 9601-3474 (11 секция)</v>
      </c>
      <c r="B11" s="12" t="s">
        <v>17</v>
      </c>
      <c r="C11" s="11">
        <v>574822</v>
      </c>
      <c r="D11" s="11" t="s">
        <v>32</v>
      </c>
      <c r="E11" s="11">
        <v>934</v>
      </c>
      <c r="F11" s="13">
        <f t="shared" ref="F11:F14" si="5">E11*0.6</f>
        <v>560.4</v>
      </c>
      <c r="G11" s="13">
        <f t="shared" si="4"/>
        <v>1120.8</v>
      </c>
      <c r="H11" s="11">
        <v>2</v>
      </c>
      <c r="I11" s="11" t="s">
        <v>13</v>
      </c>
      <c r="J11" s="12" t="s">
        <v>36</v>
      </c>
      <c r="K11">
        <v>1120.8</v>
      </c>
      <c r="L11">
        <f t="shared" si="0"/>
        <v>1</v>
      </c>
      <c r="M11" s="23">
        <f t="shared" si="1"/>
        <v>1120.8</v>
      </c>
    </row>
    <row r="12" spans="1:13" ht="21" customHeight="1" outlineLevel="2" x14ac:dyDescent="0.25">
      <c r="A12" s="11" t="str">
        <f t="shared" si="2"/>
        <v>ЯУО 9601-3474 (11 секция)</v>
      </c>
      <c r="B12" s="12" t="s">
        <v>39</v>
      </c>
      <c r="C12" s="18">
        <v>593150</v>
      </c>
      <c r="D12" s="11" t="s">
        <v>33</v>
      </c>
      <c r="E12" s="12">
        <v>439</v>
      </c>
      <c r="F12" s="13">
        <f t="shared" si="5"/>
        <v>263.39999999999998</v>
      </c>
      <c r="G12" s="13">
        <f t="shared" si="4"/>
        <v>263.39999999999998</v>
      </c>
      <c r="H12" s="14">
        <v>1</v>
      </c>
      <c r="I12" s="15" t="s">
        <v>19</v>
      </c>
      <c r="J12" s="12" t="s">
        <v>36</v>
      </c>
      <c r="K12">
        <v>263.39999999999998</v>
      </c>
      <c r="L12">
        <f t="shared" si="0"/>
        <v>1</v>
      </c>
      <c r="M12" s="23">
        <f t="shared" si="1"/>
        <v>263.39999999999998</v>
      </c>
    </row>
    <row r="13" spans="1:13" ht="21" customHeight="1" outlineLevel="2" x14ac:dyDescent="0.25">
      <c r="A13" s="11" t="str">
        <f t="shared" si="2"/>
        <v>ЯУО 9601-3474 (11 секция)</v>
      </c>
      <c r="B13" s="12" t="s">
        <v>24</v>
      </c>
      <c r="C13" s="18">
        <v>574842</v>
      </c>
      <c r="D13" s="11" t="s">
        <v>34</v>
      </c>
      <c r="E13" s="12">
        <v>960</v>
      </c>
      <c r="F13" s="13">
        <f t="shared" si="5"/>
        <v>576</v>
      </c>
      <c r="G13" s="13">
        <f t="shared" si="4"/>
        <v>576</v>
      </c>
      <c r="H13" s="14">
        <v>1</v>
      </c>
      <c r="I13" s="15" t="s">
        <v>19</v>
      </c>
      <c r="J13" s="12" t="s">
        <v>36</v>
      </c>
      <c r="K13">
        <v>576</v>
      </c>
      <c r="L13">
        <f t="shared" si="0"/>
        <v>1</v>
      </c>
      <c r="M13" s="23">
        <f t="shared" si="1"/>
        <v>576</v>
      </c>
    </row>
    <row r="14" spans="1:13" ht="21" customHeight="1" outlineLevel="2" x14ac:dyDescent="0.25">
      <c r="A14" s="11" t="str">
        <f t="shared" si="2"/>
        <v>ЯУО 9601-3474 (11 секция)</v>
      </c>
      <c r="B14" s="12" t="s">
        <v>24</v>
      </c>
      <c r="C14" s="18">
        <v>574843</v>
      </c>
      <c r="D14" s="11" t="s">
        <v>35</v>
      </c>
      <c r="E14" s="12">
        <v>960</v>
      </c>
      <c r="F14" s="13">
        <f t="shared" si="5"/>
        <v>576</v>
      </c>
      <c r="G14" s="13">
        <f t="shared" si="4"/>
        <v>576</v>
      </c>
      <c r="H14" s="14">
        <v>1</v>
      </c>
      <c r="I14" s="15" t="s">
        <v>19</v>
      </c>
      <c r="J14" s="12" t="s">
        <v>36</v>
      </c>
      <c r="K14">
        <v>576</v>
      </c>
      <c r="L14">
        <f t="shared" si="0"/>
        <v>1</v>
      </c>
      <c r="M14" s="23">
        <f t="shared" si="1"/>
        <v>576</v>
      </c>
    </row>
    <row r="15" spans="1:13" ht="24" customHeight="1" outlineLevel="2" x14ac:dyDescent="0.25">
      <c r="A15" s="11" t="str">
        <f t="shared" si="2"/>
        <v>ЯУО 9601-3474 (11 секция)</v>
      </c>
      <c r="B15" s="11" t="s">
        <v>10</v>
      </c>
      <c r="C15" s="11" t="s">
        <v>10</v>
      </c>
      <c r="D15" s="11" t="s">
        <v>10</v>
      </c>
      <c r="E15" s="11">
        <f ca="1">OFFSET(E15,1,2)</f>
        <v>12000</v>
      </c>
      <c r="F15" s="13">
        <f ca="1">E15</f>
        <v>12000</v>
      </c>
      <c r="G15" s="13">
        <f ca="1">F15*H15</f>
        <v>12000</v>
      </c>
      <c r="H15" s="11">
        <v>1</v>
      </c>
      <c r="I15" s="11" t="s">
        <v>13</v>
      </c>
      <c r="J15" s="11" t="s">
        <v>10</v>
      </c>
      <c r="K15">
        <v>12000</v>
      </c>
      <c r="L15">
        <f t="shared" si="0"/>
        <v>1</v>
      </c>
      <c r="M15" s="23">
        <f t="shared" ca="1" si="1"/>
        <v>12000</v>
      </c>
    </row>
    <row r="16" spans="1:13" ht="21" customHeight="1" outlineLevel="2" x14ac:dyDescent="0.25">
      <c r="A16" s="11" t="str">
        <f t="shared" si="2"/>
        <v>ЯУО 9601-3474 (11 секция)</v>
      </c>
      <c r="B16" s="11" t="s">
        <v>11</v>
      </c>
      <c r="C16" s="11" t="s">
        <v>11</v>
      </c>
      <c r="D16" s="11" t="s">
        <v>11</v>
      </c>
      <c r="E16" s="11">
        <v>2</v>
      </c>
      <c r="F16" s="13">
        <v>100</v>
      </c>
      <c r="G16" s="13">
        <f t="shared" si="4"/>
        <v>12000</v>
      </c>
      <c r="H16" s="11">
        <f>60*E16</f>
        <v>120</v>
      </c>
      <c r="I16" s="11" t="s">
        <v>13</v>
      </c>
      <c r="J16" s="11" t="s">
        <v>11</v>
      </c>
      <c r="K16">
        <v>12000</v>
      </c>
      <c r="L16">
        <f t="shared" si="0"/>
        <v>1</v>
      </c>
      <c r="M16" s="23">
        <f t="shared" si="1"/>
        <v>12000</v>
      </c>
    </row>
    <row r="17" spans="1:13" ht="21" customHeight="1" outlineLevel="1" x14ac:dyDescent="0.25">
      <c r="A17" s="11" t="s">
        <v>277</v>
      </c>
      <c r="B17" s="11"/>
      <c r="C17" s="11"/>
      <c r="D17" s="11"/>
      <c r="E17" s="11"/>
      <c r="F17" s="13"/>
      <c r="G17" s="13">
        <f ca="1">SUBTOTAL(9,G2:G16)</f>
        <v>76903</v>
      </c>
      <c r="H17" s="11"/>
      <c r="I17" s="11"/>
      <c r="J17" s="11"/>
      <c r="K17">
        <v>76903</v>
      </c>
      <c r="L17">
        <f t="shared" si="0"/>
        <v>1</v>
      </c>
      <c r="M17" s="23">
        <f t="shared" ca="1" si="1"/>
        <v>76903</v>
      </c>
    </row>
    <row r="18" spans="1:13" ht="39.75" customHeight="1" outlineLevel="2" x14ac:dyDescent="0.25">
      <c r="A18" s="4" t="str">
        <f>D18</f>
        <v>ЩОФ (11 секция)</v>
      </c>
      <c r="B18" s="5"/>
      <c r="C18" s="17"/>
      <c r="D18" s="5" t="s">
        <v>90</v>
      </c>
      <c r="E18" s="7"/>
      <c r="F18" s="7"/>
      <c r="G18" s="8"/>
      <c r="H18" s="9">
        <v>1</v>
      </c>
      <c r="I18" s="10" t="s">
        <v>7</v>
      </c>
      <c r="J18" s="5" t="s">
        <v>9</v>
      </c>
      <c r="L18">
        <f>H18</f>
        <v>1</v>
      </c>
      <c r="M18" s="23">
        <f t="shared" si="1"/>
        <v>0</v>
      </c>
    </row>
    <row r="19" spans="1:13" ht="21" customHeight="1" outlineLevel="2" x14ac:dyDescent="0.25">
      <c r="A19" s="11" t="str">
        <f>A18</f>
        <v>ЩОФ (11 секция)</v>
      </c>
      <c r="B19" s="12" t="s">
        <v>8</v>
      </c>
      <c r="C19" s="18" t="s">
        <v>258</v>
      </c>
      <c r="D19" s="11" t="s">
        <v>259</v>
      </c>
      <c r="E19" s="12">
        <v>20000</v>
      </c>
      <c r="F19" s="13">
        <f>0.6*E19</f>
        <v>12000</v>
      </c>
      <c r="G19" s="13">
        <f>H19*F19</f>
        <v>12000</v>
      </c>
      <c r="H19" s="14">
        <v>1</v>
      </c>
      <c r="I19" s="15" t="s">
        <v>13</v>
      </c>
      <c r="J19" s="12" t="s">
        <v>16</v>
      </c>
      <c r="K19">
        <v>12000</v>
      </c>
      <c r="L19">
        <f t="shared" ref="L19:L24" si="6">L18</f>
        <v>1</v>
      </c>
      <c r="M19" s="23">
        <f t="shared" si="1"/>
        <v>12000</v>
      </c>
    </row>
    <row r="20" spans="1:13" ht="21" customHeight="1" outlineLevel="2" x14ac:dyDescent="0.25">
      <c r="A20" s="11" t="str">
        <f t="shared" ref="A20:A23" si="7">A19</f>
        <v>ЩОФ (11 секция)</v>
      </c>
      <c r="B20" s="12" t="s">
        <v>12</v>
      </c>
      <c r="C20" s="18"/>
      <c r="D20" s="11" t="s">
        <v>202</v>
      </c>
      <c r="E20" s="16">
        <v>2708</v>
      </c>
      <c r="F20" s="13">
        <f t="shared" ref="F20:F21" si="8">E20*0.6</f>
        <v>1624.8</v>
      </c>
      <c r="G20" s="13">
        <f>F20*H20</f>
        <v>1624.8</v>
      </c>
      <c r="H20" s="14">
        <v>1</v>
      </c>
      <c r="I20" s="15" t="s">
        <v>13</v>
      </c>
      <c r="J20" s="12" t="s">
        <v>36</v>
      </c>
      <c r="K20">
        <v>1624.8</v>
      </c>
      <c r="L20">
        <f t="shared" si="6"/>
        <v>1</v>
      </c>
      <c r="M20" s="23">
        <f t="shared" si="1"/>
        <v>1624.8</v>
      </c>
    </row>
    <row r="21" spans="1:13" ht="21" customHeight="1" outlineLevel="2" x14ac:dyDescent="0.25">
      <c r="A21" s="11" t="str">
        <f t="shared" si="7"/>
        <v>ЩОФ (11 секция)</v>
      </c>
      <c r="B21" s="12" t="s">
        <v>18</v>
      </c>
      <c r="C21" s="18">
        <v>982184</v>
      </c>
      <c r="D21" s="11" t="s">
        <v>40</v>
      </c>
      <c r="E21" s="12">
        <v>9009</v>
      </c>
      <c r="F21" s="13">
        <f t="shared" si="8"/>
        <v>5405.4</v>
      </c>
      <c r="G21" s="13">
        <f t="shared" ref="G21:G23" si="9">F21*H21</f>
        <v>21621.599999999999</v>
      </c>
      <c r="H21" s="14">
        <v>4</v>
      </c>
      <c r="I21" s="15" t="s">
        <v>13</v>
      </c>
      <c r="J21" s="12" t="s">
        <v>36</v>
      </c>
      <c r="K21">
        <v>21621.599999999999</v>
      </c>
      <c r="L21">
        <f t="shared" si="6"/>
        <v>1</v>
      </c>
      <c r="M21" s="23">
        <f t="shared" si="1"/>
        <v>21621.599999999999</v>
      </c>
    </row>
    <row r="22" spans="1:13" ht="24" customHeight="1" outlineLevel="2" x14ac:dyDescent="0.25">
      <c r="A22" s="11" t="str">
        <f t="shared" si="7"/>
        <v>ЩОФ (11 секция)</v>
      </c>
      <c r="B22" s="11" t="s">
        <v>10</v>
      </c>
      <c r="C22" s="11" t="s">
        <v>10</v>
      </c>
      <c r="D22" s="11" t="s">
        <v>10</v>
      </c>
      <c r="E22" s="11">
        <f ca="1">OFFSET(E22,1,2)</f>
        <v>12000</v>
      </c>
      <c r="F22" s="13">
        <f ca="1">E22</f>
        <v>12000</v>
      </c>
      <c r="G22" s="13">
        <f ca="1">F22*H22</f>
        <v>12000</v>
      </c>
      <c r="H22" s="11">
        <v>1</v>
      </c>
      <c r="I22" s="11" t="s">
        <v>13</v>
      </c>
      <c r="J22" s="11" t="s">
        <v>10</v>
      </c>
      <c r="K22">
        <v>12000</v>
      </c>
      <c r="L22">
        <f t="shared" si="6"/>
        <v>1</v>
      </c>
      <c r="M22" s="23">
        <f t="shared" ca="1" si="1"/>
        <v>12000</v>
      </c>
    </row>
    <row r="23" spans="1:13" ht="21" customHeight="1" outlineLevel="2" x14ac:dyDescent="0.25">
      <c r="A23" s="11" t="str">
        <f t="shared" si="7"/>
        <v>ЩОФ (11 секция)</v>
      </c>
      <c r="B23" s="11" t="s">
        <v>11</v>
      </c>
      <c r="C23" s="11" t="s">
        <v>11</v>
      </c>
      <c r="D23" s="11" t="s">
        <v>11</v>
      </c>
      <c r="E23" s="11">
        <v>2</v>
      </c>
      <c r="F23" s="13">
        <v>100</v>
      </c>
      <c r="G23" s="13">
        <f t="shared" si="9"/>
        <v>12000</v>
      </c>
      <c r="H23" s="11">
        <f>60*E23</f>
        <v>120</v>
      </c>
      <c r="I23" s="11" t="s">
        <v>13</v>
      </c>
      <c r="J23" s="11" t="s">
        <v>11</v>
      </c>
      <c r="K23">
        <v>12000</v>
      </c>
      <c r="L23">
        <f t="shared" si="6"/>
        <v>1</v>
      </c>
      <c r="M23" s="23">
        <f t="shared" si="1"/>
        <v>12000</v>
      </c>
    </row>
    <row r="24" spans="1:13" ht="21" customHeight="1" outlineLevel="1" x14ac:dyDescent="0.25">
      <c r="A24" s="11" t="s">
        <v>278</v>
      </c>
      <c r="B24" s="11"/>
      <c r="C24" s="11"/>
      <c r="D24" s="11"/>
      <c r="E24" s="11"/>
      <c r="F24" s="13"/>
      <c r="G24" s="13">
        <f ca="1">SUBTOTAL(9,G18:G23)</f>
        <v>59246.399999999994</v>
      </c>
      <c r="H24" s="11"/>
      <c r="I24" s="11"/>
      <c r="J24" s="11"/>
      <c r="K24">
        <v>59246.399999999994</v>
      </c>
      <c r="L24">
        <f t="shared" si="6"/>
        <v>1</v>
      </c>
      <c r="M24" s="23">
        <f t="shared" ca="1" si="1"/>
        <v>59246.399999999994</v>
      </c>
    </row>
    <row r="25" spans="1:13" ht="39.75" customHeight="1" outlineLevel="2" x14ac:dyDescent="0.25">
      <c r="A25" s="4" t="str">
        <f>D25</f>
        <v>ЯУО 9601-3474 (15 секция)</v>
      </c>
      <c r="B25" s="5"/>
      <c r="C25" s="17"/>
      <c r="D25" s="5" t="s">
        <v>120</v>
      </c>
      <c r="E25" s="7"/>
      <c r="F25" s="7"/>
      <c r="G25" s="8"/>
      <c r="H25" s="9">
        <v>1</v>
      </c>
      <c r="I25" s="10" t="s">
        <v>7</v>
      </c>
      <c r="J25" s="5" t="s">
        <v>9</v>
      </c>
      <c r="L25">
        <f>H25</f>
        <v>1</v>
      </c>
      <c r="M25" s="23">
        <f t="shared" si="1"/>
        <v>0</v>
      </c>
    </row>
    <row r="26" spans="1:13" ht="21" customHeight="1" outlineLevel="2" x14ac:dyDescent="0.25">
      <c r="A26" s="11" t="str">
        <f>A25</f>
        <v>ЯУО 9601-3474 (15 секция)</v>
      </c>
      <c r="B26" s="12" t="s">
        <v>8</v>
      </c>
      <c r="C26" s="18" t="s">
        <v>260</v>
      </c>
      <c r="D26" s="11" t="s">
        <v>261</v>
      </c>
      <c r="E26" s="12">
        <v>29000</v>
      </c>
      <c r="F26" s="13">
        <f>0.6*E26</f>
        <v>17400</v>
      </c>
      <c r="G26" s="13">
        <f>H26*F26</f>
        <v>17400</v>
      </c>
      <c r="H26" s="14">
        <v>1</v>
      </c>
      <c r="I26" s="15" t="s">
        <v>13</v>
      </c>
      <c r="J26" s="12" t="s">
        <v>16</v>
      </c>
      <c r="K26">
        <v>17400</v>
      </c>
      <c r="L26">
        <f t="shared" ref="L26:L40" si="10">L25</f>
        <v>1</v>
      </c>
      <c r="M26" s="23">
        <f t="shared" si="1"/>
        <v>17400</v>
      </c>
    </row>
    <row r="27" spans="1:13" ht="21" customHeight="1" outlineLevel="2" x14ac:dyDescent="0.25">
      <c r="A27" s="11" t="str">
        <f t="shared" ref="A27:A39" si="11">A26</f>
        <v>ЯУО 9601-3474 (15 секция)</v>
      </c>
      <c r="B27" s="12" t="s">
        <v>12</v>
      </c>
      <c r="C27" s="18"/>
      <c r="D27" s="11" t="s">
        <v>25</v>
      </c>
      <c r="E27" s="12">
        <v>11273</v>
      </c>
      <c r="F27" s="13">
        <f t="shared" ref="F27:F29" si="12">E27*0.6</f>
        <v>6763.8</v>
      </c>
      <c r="G27" s="13">
        <f>F27*H27</f>
        <v>6763.8</v>
      </c>
      <c r="H27" s="14">
        <v>1</v>
      </c>
      <c r="I27" s="15" t="s">
        <v>13</v>
      </c>
      <c r="J27" s="12" t="s">
        <v>36</v>
      </c>
      <c r="K27">
        <v>6763.8</v>
      </c>
      <c r="L27">
        <f t="shared" si="10"/>
        <v>1</v>
      </c>
      <c r="M27" s="23">
        <f t="shared" si="1"/>
        <v>6763.8</v>
      </c>
    </row>
    <row r="28" spans="1:13" ht="21" customHeight="1" outlineLevel="2" x14ac:dyDescent="0.25">
      <c r="A28" s="11" t="str">
        <f t="shared" si="11"/>
        <v>ЯУО 9601-3474 (15 секция)</v>
      </c>
      <c r="B28" s="12" t="s">
        <v>21</v>
      </c>
      <c r="C28" s="18" t="s">
        <v>27</v>
      </c>
      <c r="D28" s="11" t="s">
        <v>26</v>
      </c>
      <c r="E28" s="12">
        <v>7007</v>
      </c>
      <c r="F28" s="13">
        <f t="shared" si="12"/>
        <v>4204.2</v>
      </c>
      <c r="G28" s="13">
        <f t="shared" ref="G28:G37" si="13">F28*H28</f>
        <v>4204.2</v>
      </c>
      <c r="H28" s="14">
        <v>1</v>
      </c>
      <c r="I28" s="15" t="s">
        <v>13</v>
      </c>
      <c r="J28" s="12" t="s">
        <v>36</v>
      </c>
      <c r="K28">
        <v>4204.2</v>
      </c>
      <c r="L28">
        <f t="shared" si="10"/>
        <v>1</v>
      </c>
      <c r="M28" s="23">
        <f t="shared" si="1"/>
        <v>4204.2</v>
      </c>
    </row>
    <row r="29" spans="1:13" ht="21" customHeight="1" outlineLevel="2" x14ac:dyDescent="0.25">
      <c r="A29" s="11" t="str">
        <f t="shared" si="11"/>
        <v>ЯУО 9601-3474 (15 секция)</v>
      </c>
      <c r="B29" s="12" t="s">
        <v>22</v>
      </c>
      <c r="C29" s="18" t="s">
        <v>29</v>
      </c>
      <c r="D29" s="11" t="s">
        <v>28</v>
      </c>
      <c r="E29" s="12">
        <v>4690</v>
      </c>
      <c r="F29" s="13">
        <f t="shared" si="12"/>
        <v>2814</v>
      </c>
      <c r="G29" s="13">
        <f t="shared" si="13"/>
        <v>2814</v>
      </c>
      <c r="H29" s="14">
        <v>1</v>
      </c>
      <c r="I29" s="15" t="s">
        <v>13</v>
      </c>
      <c r="J29" s="12" t="s">
        <v>36</v>
      </c>
      <c r="K29">
        <v>2814</v>
      </c>
      <c r="L29">
        <f t="shared" si="10"/>
        <v>1</v>
      </c>
      <c r="M29" s="23">
        <f t="shared" si="1"/>
        <v>2814</v>
      </c>
    </row>
    <row r="30" spans="1:13" ht="21" customHeight="1" outlineLevel="2" x14ac:dyDescent="0.25">
      <c r="A30" s="11" t="str">
        <f t="shared" si="11"/>
        <v>ЯУО 9601-3474 (15 секция)</v>
      </c>
      <c r="B30" s="12" t="s">
        <v>37</v>
      </c>
      <c r="C30" s="18"/>
      <c r="D30" s="11" t="s">
        <v>30</v>
      </c>
      <c r="E30" s="12">
        <v>13000</v>
      </c>
      <c r="F30" s="13">
        <f>E30</f>
        <v>13000</v>
      </c>
      <c r="G30" s="13">
        <f t="shared" si="13"/>
        <v>13000</v>
      </c>
      <c r="H30" s="14">
        <v>1</v>
      </c>
      <c r="I30" s="15" t="s">
        <v>13</v>
      </c>
      <c r="J30" s="12" t="s">
        <v>20</v>
      </c>
      <c r="K30">
        <v>13000</v>
      </c>
      <c r="L30">
        <f t="shared" si="10"/>
        <v>1</v>
      </c>
      <c r="M30" s="23">
        <f t="shared" si="1"/>
        <v>13000</v>
      </c>
    </row>
    <row r="31" spans="1:13" ht="21" customHeight="1" outlineLevel="2" x14ac:dyDescent="0.25">
      <c r="A31" s="11" t="str">
        <f t="shared" si="11"/>
        <v>ЯУО 9601-3474 (15 секция)</v>
      </c>
      <c r="B31" s="12" t="s">
        <v>38</v>
      </c>
      <c r="C31" s="18" t="s">
        <v>245</v>
      </c>
      <c r="D31" s="11" t="s">
        <v>246</v>
      </c>
      <c r="E31" s="12">
        <v>7990</v>
      </c>
      <c r="F31" s="13">
        <f>E31*0.6</f>
        <v>4794</v>
      </c>
      <c r="G31" s="13">
        <f t="shared" si="13"/>
        <v>4794</v>
      </c>
      <c r="H31" s="14">
        <v>1</v>
      </c>
      <c r="I31" s="15" t="s">
        <v>13</v>
      </c>
      <c r="J31" s="12" t="s">
        <v>236</v>
      </c>
      <c r="K31">
        <v>4794</v>
      </c>
      <c r="L31">
        <f t="shared" si="10"/>
        <v>1</v>
      </c>
      <c r="M31" s="23">
        <f t="shared" si="1"/>
        <v>4794</v>
      </c>
    </row>
    <row r="32" spans="1:13" ht="21" customHeight="1" outlineLevel="2" x14ac:dyDescent="0.25">
      <c r="A32" s="11" t="str">
        <f t="shared" si="11"/>
        <v>ЯУО 9601-3474 (15 секция)</v>
      </c>
      <c r="B32" s="12" t="s">
        <v>12</v>
      </c>
      <c r="C32" s="18">
        <v>296708</v>
      </c>
      <c r="D32" s="11" t="s">
        <v>31</v>
      </c>
      <c r="E32" s="12">
        <v>828</v>
      </c>
      <c r="F32" s="13">
        <f>E32*0.6</f>
        <v>496.79999999999995</v>
      </c>
      <c r="G32" s="13">
        <f t="shared" si="13"/>
        <v>496.79999999999995</v>
      </c>
      <c r="H32" s="14">
        <v>1</v>
      </c>
      <c r="I32" s="15" t="s">
        <v>13</v>
      </c>
      <c r="J32" s="12" t="s">
        <v>36</v>
      </c>
      <c r="K32">
        <v>496.79999999999995</v>
      </c>
      <c r="L32">
        <f t="shared" si="10"/>
        <v>1</v>
      </c>
      <c r="M32" s="23">
        <f t="shared" si="1"/>
        <v>496.79999999999995</v>
      </c>
    </row>
    <row r="33" spans="1:13" ht="24" customHeight="1" outlineLevel="2" x14ac:dyDescent="0.25">
      <c r="A33" s="11" t="str">
        <f t="shared" si="11"/>
        <v>ЯУО 9601-3474 (15 секция)</v>
      </c>
      <c r="B33" s="12" t="s">
        <v>21</v>
      </c>
      <c r="C33" s="11" t="s">
        <v>248</v>
      </c>
      <c r="D33" s="11" t="s">
        <v>249</v>
      </c>
      <c r="E33" s="11">
        <v>1490</v>
      </c>
      <c r="F33" s="13">
        <f>E33*0.6</f>
        <v>894</v>
      </c>
      <c r="G33" s="13">
        <f t="shared" si="13"/>
        <v>894</v>
      </c>
      <c r="H33" s="11">
        <v>1</v>
      </c>
      <c r="I33" s="11" t="s">
        <v>13</v>
      </c>
      <c r="J33" s="12" t="s">
        <v>36</v>
      </c>
      <c r="K33">
        <v>894</v>
      </c>
      <c r="L33">
        <f t="shared" si="10"/>
        <v>1</v>
      </c>
      <c r="M33" s="23">
        <f t="shared" si="1"/>
        <v>894</v>
      </c>
    </row>
    <row r="34" spans="1:13" ht="21" customHeight="1" outlineLevel="2" x14ac:dyDescent="0.25">
      <c r="A34" s="11" t="str">
        <f t="shared" si="11"/>
        <v>ЯУО 9601-3474 (15 секция)</v>
      </c>
      <c r="B34" s="12" t="s">
        <v>17</v>
      </c>
      <c r="C34" s="11">
        <v>574822</v>
      </c>
      <c r="D34" s="11" t="s">
        <v>32</v>
      </c>
      <c r="E34" s="11">
        <v>934</v>
      </c>
      <c r="F34" s="13">
        <f t="shared" ref="F34:F37" si="14">E34*0.6</f>
        <v>560.4</v>
      </c>
      <c r="G34" s="13">
        <f t="shared" si="13"/>
        <v>1120.8</v>
      </c>
      <c r="H34" s="11">
        <v>2</v>
      </c>
      <c r="I34" s="11" t="s">
        <v>13</v>
      </c>
      <c r="J34" s="12" t="s">
        <v>36</v>
      </c>
      <c r="K34">
        <v>1120.8</v>
      </c>
      <c r="L34">
        <f t="shared" si="10"/>
        <v>1</v>
      </c>
      <c r="M34" s="23">
        <f t="shared" si="1"/>
        <v>1120.8</v>
      </c>
    </row>
    <row r="35" spans="1:13" ht="21" customHeight="1" outlineLevel="2" x14ac:dyDescent="0.25">
      <c r="A35" s="11" t="str">
        <f t="shared" si="11"/>
        <v>ЯУО 9601-3474 (15 секция)</v>
      </c>
      <c r="B35" s="12" t="s">
        <v>39</v>
      </c>
      <c r="C35" s="18">
        <v>593150</v>
      </c>
      <c r="D35" s="11" t="s">
        <v>33</v>
      </c>
      <c r="E35" s="12">
        <v>439</v>
      </c>
      <c r="F35" s="13">
        <f t="shared" si="14"/>
        <v>263.39999999999998</v>
      </c>
      <c r="G35" s="13">
        <f t="shared" si="13"/>
        <v>263.39999999999998</v>
      </c>
      <c r="H35" s="14">
        <v>1</v>
      </c>
      <c r="I35" s="15" t="s">
        <v>19</v>
      </c>
      <c r="J35" s="12" t="s">
        <v>36</v>
      </c>
      <c r="K35">
        <v>263.39999999999998</v>
      </c>
      <c r="L35">
        <f t="shared" si="10"/>
        <v>1</v>
      </c>
      <c r="M35" s="23">
        <f t="shared" si="1"/>
        <v>263.39999999999998</v>
      </c>
    </row>
    <row r="36" spans="1:13" ht="21" customHeight="1" outlineLevel="2" x14ac:dyDescent="0.25">
      <c r="A36" s="11" t="str">
        <f t="shared" si="11"/>
        <v>ЯУО 9601-3474 (15 секция)</v>
      </c>
      <c r="B36" s="12" t="s">
        <v>24</v>
      </c>
      <c r="C36" s="18">
        <v>574842</v>
      </c>
      <c r="D36" s="11" t="s">
        <v>34</v>
      </c>
      <c r="E36" s="12">
        <v>960</v>
      </c>
      <c r="F36" s="13">
        <f t="shared" si="14"/>
        <v>576</v>
      </c>
      <c r="G36" s="13">
        <f t="shared" si="13"/>
        <v>576</v>
      </c>
      <c r="H36" s="14">
        <v>1</v>
      </c>
      <c r="I36" s="15" t="s">
        <v>19</v>
      </c>
      <c r="J36" s="12" t="s">
        <v>36</v>
      </c>
      <c r="K36">
        <v>576</v>
      </c>
      <c r="L36">
        <f t="shared" si="10"/>
        <v>1</v>
      </c>
      <c r="M36" s="23">
        <f t="shared" si="1"/>
        <v>576</v>
      </c>
    </row>
    <row r="37" spans="1:13" ht="21" customHeight="1" outlineLevel="2" x14ac:dyDescent="0.25">
      <c r="A37" s="11" t="str">
        <f t="shared" si="11"/>
        <v>ЯУО 9601-3474 (15 секция)</v>
      </c>
      <c r="B37" s="12" t="s">
        <v>24</v>
      </c>
      <c r="C37" s="18">
        <v>574843</v>
      </c>
      <c r="D37" s="11" t="s">
        <v>35</v>
      </c>
      <c r="E37" s="12">
        <v>960</v>
      </c>
      <c r="F37" s="13">
        <f t="shared" si="14"/>
        <v>576</v>
      </c>
      <c r="G37" s="13">
        <f t="shared" si="13"/>
        <v>576</v>
      </c>
      <c r="H37" s="14">
        <v>1</v>
      </c>
      <c r="I37" s="15" t="s">
        <v>19</v>
      </c>
      <c r="J37" s="12" t="s">
        <v>36</v>
      </c>
      <c r="K37">
        <v>576</v>
      </c>
      <c r="L37">
        <f t="shared" si="10"/>
        <v>1</v>
      </c>
      <c r="M37" s="23">
        <f t="shared" si="1"/>
        <v>576</v>
      </c>
    </row>
    <row r="38" spans="1:13" ht="24" customHeight="1" outlineLevel="2" x14ac:dyDescent="0.25">
      <c r="A38" s="11" t="str">
        <f t="shared" si="11"/>
        <v>ЯУО 9601-3474 (15 секция)</v>
      </c>
      <c r="B38" s="11" t="s">
        <v>10</v>
      </c>
      <c r="C38" s="11" t="s">
        <v>10</v>
      </c>
      <c r="D38" s="11" t="s">
        <v>10</v>
      </c>
      <c r="E38" s="11">
        <f ca="1">OFFSET(E38,1,2)</f>
        <v>12000</v>
      </c>
      <c r="F38" s="13">
        <f ca="1">E38</f>
        <v>12000</v>
      </c>
      <c r="G38" s="13">
        <f ca="1">F38*H38</f>
        <v>12000</v>
      </c>
      <c r="H38" s="11">
        <v>1</v>
      </c>
      <c r="I38" s="11" t="s">
        <v>13</v>
      </c>
      <c r="J38" s="11" t="s">
        <v>10</v>
      </c>
      <c r="K38">
        <v>12000</v>
      </c>
      <c r="L38">
        <f t="shared" si="10"/>
        <v>1</v>
      </c>
      <c r="M38" s="23">
        <f t="shared" ca="1" si="1"/>
        <v>12000</v>
      </c>
    </row>
    <row r="39" spans="1:13" ht="21" customHeight="1" outlineLevel="2" x14ac:dyDescent="0.25">
      <c r="A39" s="11" t="str">
        <f t="shared" si="11"/>
        <v>ЯУО 9601-3474 (15 секция)</v>
      </c>
      <c r="B39" s="11" t="s">
        <v>11</v>
      </c>
      <c r="C39" s="11" t="s">
        <v>11</v>
      </c>
      <c r="D39" s="11" t="s">
        <v>11</v>
      </c>
      <c r="E39" s="11">
        <v>2</v>
      </c>
      <c r="F39" s="13">
        <v>100</v>
      </c>
      <c r="G39" s="13">
        <f t="shared" ref="G39" si="15">F39*H39</f>
        <v>12000</v>
      </c>
      <c r="H39" s="11">
        <f>60*E39</f>
        <v>120</v>
      </c>
      <c r="I39" s="11" t="s">
        <v>13</v>
      </c>
      <c r="J39" s="11" t="s">
        <v>11</v>
      </c>
      <c r="K39">
        <v>12000</v>
      </c>
      <c r="L39">
        <f t="shared" si="10"/>
        <v>1</v>
      </c>
      <c r="M39" s="23">
        <f t="shared" si="1"/>
        <v>12000</v>
      </c>
    </row>
    <row r="40" spans="1:13" ht="21" customHeight="1" outlineLevel="1" x14ac:dyDescent="0.25">
      <c r="A40" s="11" t="s">
        <v>279</v>
      </c>
      <c r="B40" s="11"/>
      <c r="C40" s="11"/>
      <c r="D40" s="11"/>
      <c r="E40" s="11"/>
      <c r="F40" s="13"/>
      <c r="G40" s="13">
        <f ca="1">SUBTOTAL(9,G25:G39)</f>
        <v>76903</v>
      </c>
      <c r="H40" s="11"/>
      <c r="I40" s="11"/>
      <c r="J40" s="11"/>
      <c r="K40">
        <v>76903</v>
      </c>
      <c r="L40">
        <f t="shared" si="10"/>
        <v>1</v>
      </c>
      <c r="M40" s="23">
        <f t="shared" ca="1" si="1"/>
        <v>76903</v>
      </c>
    </row>
    <row r="41" spans="1:13" ht="39.75" customHeight="1" outlineLevel="2" x14ac:dyDescent="0.25">
      <c r="A41" s="4" t="str">
        <f>D41</f>
        <v>ЩОФ (15 секция)</v>
      </c>
      <c r="B41" s="5"/>
      <c r="C41" s="17"/>
      <c r="D41" s="5" t="s">
        <v>121</v>
      </c>
      <c r="E41" s="7"/>
      <c r="F41" s="7"/>
      <c r="G41" s="8"/>
      <c r="H41" s="9">
        <v>1</v>
      </c>
      <c r="I41" s="10" t="s">
        <v>7</v>
      </c>
      <c r="J41" s="5" t="s">
        <v>9</v>
      </c>
      <c r="L41">
        <f>H41</f>
        <v>1</v>
      </c>
      <c r="M41" s="23">
        <f t="shared" si="1"/>
        <v>0</v>
      </c>
    </row>
    <row r="42" spans="1:13" ht="21" customHeight="1" outlineLevel="2" x14ac:dyDescent="0.25">
      <c r="A42" s="11" t="str">
        <f>A41</f>
        <v>ЩОФ (15 секция)</v>
      </c>
      <c r="B42" s="12" t="s">
        <v>8</v>
      </c>
      <c r="C42" s="18" t="s">
        <v>258</v>
      </c>
      <c r="D42" s="11" t="s">
        <v>259</v>
      </c>
      <c r="E42" s="12">
        <v>20000</v>
      </c>
      <c r="F42" s="13">
        <f>0.6*E42</f>
        <v>12000</v>
      </c>
      <c r="G42" s="13">
        <f>H42*F42</f>
        <v>12000</v>
      </c>
      <c r="H42" s="14">
        <v>1</v>
      </c>
      <c r="I42" s="15" t="s">
        <v>13</v>
      </c>
      <c r="J42" s="12" t="s">
        <v>16</v>
      </c>
      <c r="K42">
        <v>12000</v>
      </c>
      <c r="L42">
        <f t="shared" ref="L42:L47" si="16">L41</f>
        <v>1</v>
      </c>
      <c r="M42" s="23">
        <f t="shared" si="1"/>
        <v>12000</v>
      </c>
    </row>
    <row r="43" spans="1:13" ht="21" customHeight="1" outlineLevel="2" x14ac:dyDescent="0.25">
      <c r="A43" s="11" t="str">
        <f t="shared" ref="A43:A46" si="17">A42</f>
        <v>ЩОФ (15 секция)</v>
      </c>
      <c r="B43" s="12" t="s">
        <v>12</v>
      </c>
      <c r="C43" s="18"/>
      <c r="D43" s="11" t="s">
        <v>202</v>
      </c>
      <c r="E43" s="16">
        <v>2708</v>
      </c>
      <c r="F43" s="13">
        <f t="shared" ref="F43:F44" si="18">E43*0.6</f>
        <v>1624.8</v>
      </c>
      <c r="G43" s="13">
        <f>F43*H43</f>
        <v>1624.8</v>
      </c>
      <c r="H43" s="14">
        <v>1</v>
      </c>
      <c r="I43" s="15" t="s">
        <v>13</v>
      </c>
      <c r="J43" s="12" t="s">
        <v>36</v>
      </c>
      <c r="K43">
        <v>1624.8</v>
      </c>
      <c r="L43">
        <f t="shared" si="16"/>
        <v>1</v>
      </c>
      <c r="M43" s="23">
        <f t="shared" si="1"/>
        <v>1624.8</v>
      </c>
    </row>
    <row r="44" spans="1:13" ht="21" customHeight="1" outlineLevel="2" x14ac:dyDescent="0.25">
      <c r="A44" s="11" t="str">
        <f t="shared" si="17"/>
        <v>ЩОФ (15 секция)</v>
      </c>
      <c r="B44" s="12" t="s">
        <v>18</v>
      </c>
      <c r="C44" s="18">
        <v>982184</v>
      </c>
      <c r="D44" s="11" t="s">
        <v>40</v>
      </c>
      <c r="E44" s="12">
        <v>9009</v>
      </c>
      <c r="F44" s="13">
        <f t="shared" si="18"/>
        <v>5405.4</v>
      </c>
      <c r="G44" s="13">
        <f t="shared" ref="G44" si="19">F44*H44</f>
        <v>21621.599999999999</v>
      </c>
      <c r="H44" s="14">
        <v>4</v>
      </c>
      <c r="I44" s="15" t="s">
        <v>13</v>
      </c>
      <c r="J44" s="12" t="s">
        <v>36</v>
      </c>
      <c r="K44">
        <v>21621.599999999999</v>
      </c>
      <c r="L44">
        <f t="shared" si="16"/>
        <v>1</v>
      </c>
      <c r="M44" s="23">
        <f t="shared" si="1"/>
        <v>21621.599999999999</v>
      </c>
    </row>
    <row r="45" spans="1:13" ht="24" customHeight="1" outlineLevel="2" x14ac:dyDescent="0.25">
      <c r="A45" s="11" t="str">
        <f t="shared" si="17"/>
        <v>ЩОФ (15 секция)</v>
      </c>
      <c r="B45" s="11" t="s">
        <v>10</v>
      </c>
      <c r="C45" s="11" t="s">
        <v>10</v>
      </c>
      <c r="D45" s="11" t="s">
        <v>10</v>
      </c>
      <c r="E45" s="11">
        <f ca="1">OFFSET(E45,1,2)</f>
        <v>12000</v>
      </c>
      <c r="F45" s="13">
        <f ca="1">E45</f>
        <v>12000</v>
      </c>
      <c r="G45" s="13">
        <f ca="1">F45*H45</f>
        <v>12000</v>
      </c>
      <c r="H45" s="11">
        <v>1</v>
      </c>
      <c r="I45" s="11" t="s">
        <v>13</v>
      </c>
      <c r="J45" s="11" t="s">
        <v>10</v>
      </c>
      <c r="K45">
        <v>12000</v>
      </c>
      <c r="L45">
        <f t="shared" si="16"/>
        <v>1</v>
      </c>
      <c r="M45" s="23">
        <f t="shared" ca="1" si="1"/>
        <v>12000</v>
      </c>
    </row>
    <row r="46" spans="1:13" ht="21" customHeight="1" outlineLevel="2" x14ac:dyDescent="0.25">
      <c r="A46" s="11" t="str">
        <f t="shared" si="17"/>
        <v>ЩОФ (15 секция)</v>
      </c>
      <c r="B46" s="11" t="s">
        <v>11</v>
      </c>
      <c r="C46" s="11" t="s">
        <v>11</v>
      </c>
      <c r="D46" s="11" t="s">
        <v>11</v>
      </c>
      <c r="E46" s="11">
        <v>2</v>
      </c>
      <c r="F46" s="13">
        <v>100</v>
      </c>
      <c r="G46" s="13">
        <f t="shared" ref="G46" si="20">F46*H46</f>
        <v>12000</v>
      </c>
      <c r="H46" s="11">
        <f>60*E46</f>
        <v>120</v>
      </c>
      <c r="I46" s="11" t="s">
        <v>13</v>
      </c>
      <c r="J46" s="11" t="s">
        <v>11</v>
      </c>
      <c r="K46">
        <v>12000</v>
      </c>
      <c r="L46">
        <f t="shared" si="16"/>
        <v>1</v>
      </c>
      <c r="M46" s="23">
        <f t="shared" si="1"/>
        <v>12000</v>
      </c>
    </row>
    <row r="47" spans="1:13" ht="21" customHeight="1" outlineLevel="1" x14ac:dyDescent="0.25">
      <c r="A47" s="11" t="s">
        <v>280</v>
      </c>
      <c r="B47" s="11"/>
      <c r="C47" s="11"/>
      <c r="D47" s="11"/>
      <c r="E47" s="11"/>
      <c r="F47" s="13"/>
      <c r="G47" s="13">
        <f ca="1">SUBTOTAL(9,G41:G46)</f>
        <v>59246.399999999994</v>
      </c>
      <c r="H47" s="11"/>
      <c r="I47" s="11"/>
      <c r="J47" s="11"/>
      <c r="K47">
        <v>59246.399999999994</v>
      </c>
      <c r="L47">
        <f t="shared" si="16"/>
        <v>1</v>
      </c>
      <c r="M47" s="23">
        <f t="shared" ca="1" si="1"/>
        <v>59246.399999999994</v>
      </c>
    </row>
    <row r="48" spans="1:13" ht="39.75" customHeight="1" outlineLevel="2" x14ac:dyDescent="0.25">
      <c r="A48" s="4" t="str">
        <f>D48</f>
        <v>ВЩж-9 (ВРУ1-13-20УХЛ) (9 секция)</v>
      </c>
      <c r="B48" s="5"/>
      <c r="C48" s="17"/>
      <c r="D48" s="5" t="s">
        <v>127</v>
      </c>
      <c r="E48" s="7"/>
      <c r="F48" s="7"/>
      <c r="G48" s="8"/>
      <c r="H48" s="9">
        <v>1</v>
      </c>
      <c r="I48" s="10" t="s">
        <v>7</v>
      </c>
      <c r="J48" s="5" t="s">
        <v>9</v>
      </c>
      <c r="L48">
        <f>H48</f>
        <v>1</v>
      </c>
      <c r="M48" s="23">
        <f t="shared" si="1"/>
        <v>0</v>
      </c>
    </row>
    <row r="49" spans="1:13" ht="21" customHeight="1" outlineLevel="2" x14ac:dyDescent="0.25">
      <c r="A49" s="11" t="str">
        <f>A48</f>
        <v>ВЩж-9 (ВРУ1-13-20УХЛ) (9 секция)</v>
      </c>
      <c r="B49" s="12" t="s">
        <v>8</v>
      </c>
      <c r="C49" s="18" t="s">
        <v>250</v>
      </c>
      <c r="D49" s="11" t="s">
        <v>251</v>
      </c>
      <c r="E49" s="12">
        <v>160000</v>
      </c>
      <c r="F49" s="13">
        <f>0.6*E49</f>
        <v>96000</v>
      </c>
      <c r="G49" s="13">
        <f>H49*F49</f>
        <v>96000</v>
      </c>
      <c r="H49" s="14">
        <v>1</v>
      </c>
      <c r="I49" s="15" t="s">
        <v>13</v>
      </c>
      <c r="J49" s="12" t="s">
        <v>16</v>
      </c>
      <c r="K49">
        <v>96000</v>
      </c>
      <c r="L49">
        <f t="shared" ref="L49:L60" si="21">L48</f>
        <v>1</v>
      </c>
      <c r="M49" s="23">
        <f t="shared" si="1"/>
        <v>96000</v>
      </c>
    </row>
    <row r="50" spans="1:13" ht="21" customHeight="1" outlineLevel="2" x14ac:dyDescent="0.25">
      <c r="A50" s="11" t="str">
        <f t="shared" ref="A50:A59" si="22">A49</f>
        <v>ВЩж-9 (ВРУ1-13-20УХЛ) (9 секция)</v>
      </c>
      <c r="B50" s="12" t="s">
        <v>43</v>
      </c>
      <c r="C50" s="18" t="s">
        <v>41</v>
      </c>
      <c r="D50" s="11" t="s">
        <v>42</v>
      </c>
      <c r="E50" s="12">
        <v>29135</v>
      </c>
      <c r="F50" s="13">
        <f t="shared" ref="F50:F52" si="23">E50</f>
        <v>29135</v>
      </c>
      <c r="G50" s="13">
        <f>F50*H50</f>
        <v>58270</v>
      </c>
      <c r="H50" s="14">
        <v>2</v>
      </c>
      <c r="I50" s="15" t="s">
        <v>13</v>
      </c>
      <c r="J50" s="12" t="s">
        <v>20</v>
      </c>
      <c r="K50">
        <v>58270</v>
      </c>
      <c r="L50">
        <f t="shared" si="21"/>
        <v>1</v>
      </c>
      <c r="M50" s="23">
        <f t="shared" si="1"/>
        <v>58270</v>
      </c>
    </row>
    <row r="51" spans="1:13" ht="21" customHeight="1" outlineLevel="2" x14ac:dyDescent="0.25">
      <c r="A51" s="11" t="str">
        <f t="shared" si="22"/>
        <v>ВЩж-9 (ВРУ1-13-20УХЛ) (9 секция)</v>
      </c>
      <c r="B51" s="12" t="s">
        <v>44</v>
      </c>
      <c r="C51" s="18" t="s">
        <v>267</v>
      </c>
      <c r="D51" s="11" t="s">
        <v>268</v>
      </c>
      <c r="E51" s="12">
        <v>6500</v>
      </c>
      <c r="F51" s="13">
        <f t="shared" si="23"/>
        <v>6500</v>
      </c>
      <c r="G51" s="13">
        <f t="shared" ref="G51:G59" si="24">F51*H51</f>
        <v>19500</v>
      </c>
      <c r="H51" s="14">
        <v>3</v>
      </c>
      <c r="I51" s="15" t="s">
        <v>13</v>
      </c>
      <c r="J51" s="12" t="s">
        <v>20</v>
      </c>
      <c r="K51">
        <v>19500</v>
      </c>
      <c r="L51">
        <f t="shared" si="21"/>
        <v>1</v>
      </c>
      <c r="M51" s="23">
        <f t="shared" si="1"/>
        <v>19500</v>
      </c>
    </row>
    <row r="52" spans="1:13" ht="21" customHeight="1" outlineLevel="2" x14ac:dyDescent="0.25">
      <c r="A52" s="11" t="str">
        <f t="shared" si="22"/>
        <v>ВЩж-9 (ВРУ1-13-20УХЛ) (9 секция)</v>
      </c>
      <c r="B52" s="12" t="s">
        <v>44</v>
      </c>
      <c r="C52" s="18" t="s">
        <v>265</v>
      </c>
      <c r="D52" s="11" t="s">
        <v>266</v>
      </c>
      <c r="E52" s="12">
        <v>6500</v>
      </c>
      <c r="F52" s="13">
        <f t="shared" si="23"/>
        <v>6500</v>
      </c>
      <c r="G52" s="13">
        <f t="shared" si="24"/>
        <v>19500</v>
      </c>
      <c r="H52" s="14">
        <v>3</v>
      </c>
      <c r="I52" s="15" t="s">
        <v>13</v>
      </c>
      <c r="J52" s="12" t="s">
        <v>20</v>
      </c>
      <c r="K52">
        <v>19500</v>
      </c>
      <c r="L52">
        <f t="shared" si="21"/>
        <v>1</v>
      </c>
      <c r="M52" s="23">
        <f t="shared" si="1"/>
        <v>19500</v>
      </c>
    </row>
    <row r="53" spans="1:13" ht="22.5" customHeight="1" outlineLevel="2" x14ac:dyDescent="0.25">
      <c r="A53" s="11" t="str">
        <f t="shared" si="22"/>
        <v>ВЩж-9 (ВРУ1-13-20УХЛ) (9 секция)</v>
      </c>
      <c r="B53" s="12" t="s">
        <v>134</v>
      </c>
      <c r="C53" s="18" t="s">
        <v>155</v>
      </c>
      <c r="D53" s="11" t="s">
        <v>156</v>
      </c>
      <c r="E53" s="12">
        <v>3302</v>
      </c>
      <c r="F53" s="13">
        <f t="shared" ref="F53:F55" si="25">E53*0.6</f>
        <v>1981.1999999999998</v>
      </c>
      <c r="G53" s="13">
        <f t="shared" si="24"/>
        <v>5943.5999999999995</v>
      </c>
      <c r="H53" s="14">
        <v>3</v>
      </c>
      <c r="I53" s="15" t="s">
        <v>13</v>
      </c>
      <c r="J53" s="12" t="s">
        <v>206</v>
      </c>
      <c r="K53">
        <v>5943.5999999999995</v>
      </c>
      <c r="L53">
        <f t="shared" si="21"/>
        <v>1</v>
      </c>
      <c r="M53" s="23">
        <f t="shared" si="1"/>
        <v>5943.5999999999995</v>
      </c>
    </row>
    <row r="54" spans="1:13" ht="21" customHeight="1" outlineLevel="2" x14ac:dyDescent="0.25">
      <c r="A54" s="11" t="str">
        <f t="shared" si="22"/>
        <v>ВЩж-9 (ВРУ1-13-20УХЛ) (9 секция)</v>
      </c>
      <c r="B54" s="12" t="s">
        <v>134</v>
      </c>
      <c r="C54" s="18" t="s">
        <v>171</v>
      </c>
      <c r="D54" s="11" t="s">
        <v>172</v>
      </c>
      <c r="E54" s="12">
        <v>3317</v>
      </c>
      <c r="F54" s="13">
        <f t="shared" si="25"/>
        <v>1990.1999999999998</v>
      </c>
      <c r="G54" s="13">
        <f t="shared" si="24"/>
        <v>5970.5999999999995</v>
      </c>
      <c r="H54" s="14">
        <v>3</v>
      </c>
      <c r="I54" s="15" t="s">
        <v>13</v>
      </c>
      <c r="J54" s="12" t="s">
        <v>206</v>
      </c>
      <c r="K54">
        <v>5970.5999999999995</v>
      </c>
      <c r="L54">
        <f t="shared" si="21"/>
        <v>1</v>
      </c>
      <c r="M54" s="23">
        <f t="shared" si="1"/>
        <v>5970.5999999999995</v>
      </c>
    </row>
    <row r="55" spans="1:13" ht="22.5" customHeight="1" outlineLevel="2" x14ac:dyDescent="0.25">
      <c r="A55" s="11" t="str">
        <f t="shared" si="22"/>
        <v>ВЩж-9 (ВРУ1-13-20УХЛ) (9 секция)</v>
      </c>
      <c r="B55" s="12" t="s">
        <v>134</v>
      </c>
      <c r="C55" s="18" t="s">
        <v>157</v>
      </c>
      <c r="D55" s="11" t="s">
        <v>158</v>
      </c>
      <c r="E55" s="12">
        <v>4750</v>
      </c>
      <c r="F55" s="13">
        <f t="shared" si="25"/>
        <v>2850</v>
      </c>
      <c r="G55" s="13">
        <f t="shared" ref="G55" si="26">F55*H55</f>
        <v>17100</v>
      </c>
      <c r="H55" s="14">
        <v>6</v>
      </c>
      <c r="I55" s="15" t="s">
        <v>13</v>
      </c>
      <c r="J55" s="12" t="s">
        <v>206</v>
      </c>
      <c r="K55">
        <v>17100</v>
      </c>
      <c r="L55">
        <f t="shared" si="21"/>
        <v>1</v>
      </c>
      <c r="M55" s="23">
        <f t="shared" si="1"/>
        <v>17100</v>
      </c>
    </row>
    <row r="56" spans="1:13" ht="21" customHeight="1" outlineLevel="2" x14ac:dyDescent="0.25">
      <c r="A56" s="11" t="str">
        <f>A54</f>
        <v>ВЩж-9 (ВРУ1-13-20УХЛ) (9 секция)</v>
      </c>
      <c r="B56" s="12" t="s">
        <v>45</v>
      </c>
      <c r="C56" s="18" t="s">
        <v>241</v>
      </c>
      <c r="D56" s="11" t="s">
        <v>242</v>
      </c>
      <c r="E56" s="12">
        <v>290</v>
      </c>
      <c r="F56" s="13">
        <f>E56*0.6</f>
        <v>174</v>
      </c>
      <c r="G56" s="13">
        <f t="shared" si="24"/>
        <v>348</v>
      </c>
      <c r="H56" s="14">
        <v>2</v>
      </c>
      <c r="I56" s="15" t="s">
        <v>13</v>
      </c>
      <c r="J56" s="12" t="s">
        <v>236</v>
      </c>
      <c r="K56">
        <v>348</v>
      </c>
      <c r="L56">
        <f t="shared" si="21"/>
        <v>1</v>
      </c>
      <c r="M56" s="23">
        <f t="shared" si="1"/>
        <v>348</v>
      </c>
    </row>
    <row r="57" spans="1:13" ht="21" customHeight="1" outlineLevel="2" x14ac:dyDescent="0.25">
      <c r="A57" s="11" t="str">
        <f t="shared" ref="A57" si="27">A56</f>
        <v>ВЩж-9 (ВРУ1-13-20УХЛ) (9 секция)</v>
      </c>
      <c r="B57" s="12" t="s">
        <v>47</v>
      </c>
      <c r="C57" s="18" t="s">
        <v>233</v>
      </c>
      <c r="D57" s="11" t="s">
        <v>234</v>
      </c>
      <c r="E57" s="12">
        <v>664</v>
      </c>
      <c r="F57" s="13">
        <f>E57</f>
        <v>664</v>
      </c>
      <c r="G57" s="13">
        <f t="shared" si="24"/>
        <v>3984</v>
      </c>
      <c r="H57" s="14">
        <v>6</v>
      </c>
      <c r="I57" s="15" t="s">
        <v>232</v>
      </c>
      <c r="J57" s="12" t="s">
        <v>20</v>
      </c>
      <c r="K57">
        <v>3984</v>
      </c>
      <c r="L57">
        <f t="shared" si="21"/>
        <v>1</v>
      </c>
      <c r="M57" s="23">
        <f t="shared" si="1"/>
        <v>3984</v>
      </c>
    </row>
    <row r="58" spans="1:13" ht="24" customHeight="1" outlineLevel="2" x14ac:dyDescent="0.25">
      <c r="A58" s="11" t="str">
        <f>A56</f>
        <v>ВЩж-9 (ВРУ1-13-20УХЛ) (9 секция)</v>
      </c>
      <c r="B58" s="11" t="s">
        <v>10</v>
      </c>
      <c r="C58" s="11" t="s">
        <v>10</v>
      </c>
      <c r="D58" s="11" t="s">
        <v>10</v>
      </c>
      <c r="E58" s="11">
        <f ca="1">OFFSET(E58,1,2)</f>
        <v>30000</v>
      </c>
      <c r="F58" s="13">
        <f ca="1">E58</f>
        <v>30000</v>
      </c>
      <c r="G58" s="13">
        <f ca="1">F58*H58</f>
        <v>30000</v>
      </c>
      <c r="H58" s="11">
        <v>1</v>
      </c>
      <c r="I58" s="11" t="s">
        <v>13</v>
      </c>
      <c r="J58" s="11" t="s">
        <v>10</v>
      </c>
      <c r="K58">
        <v>30000</v>
      </c>
      <c r="L58">
        <f t="shared" si="21"/>
        <v>1</v>
      </c>
      <c r="M58" s="23">
        <f t="shared" ca="1" si="1"/>
        <v>30000</v>
      </c>
    </row>
    <row r="59" spans="1:13" ht="21" customHeight="1" outlineLevel="2" x14ac:dyDescent="0.25">
      <c r="A59" s="11" t="str">
        <f t="shared" si="22"/>
        <v>ВЩж-9 (ВРУ1-13-20УХЛ) (9 секция)</v>
      </c>
      <c r="B59" s="11" t="s">
        <v>11</v>
      </c>
      <c r="C59" s="11" t="s">
        <v>11</v>
      </c>
      <c r="D59" s="11" t="s">
        <v>11</v>
      </c>
      <c r="E59" s="11">
        <v>5</v>
      </c>
      <c r="F59" s="13">
        <v>100</v>
      </c>
      <c r="G59" s="13">
        <f t="shared" si="24"/>
        <v>30000</v>
      </c>
      <c r="H59" s="11">
        <f>60*E59</f>
        <v>300</v>
      </c>
      <c r="I59" s="11" t="s">
        <v>13</v>
      </c>
      <c r="J59" s="11" t="s">
        <v>11</v>
      </c>
      <c r="K59">
        <v>30000</v>
      </c>
      <c r="L59">
        <f t="shared" si="21"/>
        <v>1</v>
      </c>
      <c r="M59" s="23">
        <f t="shared" si="1"/>
        <v>30000</v>
      </c>
    </row>
    <row r="60" spans="1:13" ht="21" customHeight="1" outlineLevel="1" x14ac:dyDescent="0.25">
      <c r="A60" s="11" t="s">
        <v>281</v>
      </c>
      <c r="B60" s="11"/>
      <c r="C60" s="11"/>
      <c r="D60" s="11"/>
      <c r="E60" s="11"/>
      <c r="F60" s="13"/>
      <c r="G60" s="13">
        <f ca="1">SUBTOTAL(9,G48:G59)</f>
        <v>286616.2</v>
      </c>
      <c r="H60" s="11"/>
      <c r="I60" s="11"/>
      <c r="J60" s="11"/>
      <c r="K60">
        <v>286616.2</v>
      </c>
      <c r="L60">
        <f t="shared" si="21"/>
        <v>1</v>
      </c>
      <c r="M60" s="23">
        <f t="shared" ca="1" si="1"/>
        <v>286616.2</v>
      </c>
    </row>
    <row r="61" spans="1:13" ht="39.75" customHeight="1" outlineLevel="2" x14ac:dyDescent="0.25">
      <c r="A61" s="4" t="str">
        <f>D61</f>
        <v>РЩж-9 (ВРУ1-13-20УХЛ) (9 секция) Комплектно к ВРУ-Инд (ВЩж-9)  ВРУ1-13-20УХЛ</v>
      </c>
      <c r="B61" s="5"/>
      <c r="C61" s="17"/>
      <c r="D61" s="5" t="s">
        <v>139</v>
      </c>
      <c r="E61" s="7"/>
      <c r="F61" s="7"/>
      <c r="G61" s="8"/>
      <c r="H61" s="9">
        <v>1</v>
      </c>
      <c r="I61" s="10" t="s">
        <v>7</v>
      </c>
      <c r="J61" s="5" t="s">
        <v>9</v>
      </c>
      <c r="L61">
        <f>H61</f>
        <v>1</v>
      </c>
      <c r="M61" s="23">
        <f t="shared" si="1"/>
        <v>0</v>
      </c>
    </row>
    <row r="62" spans="1:13" ht="21" customHeight="1" outlineLevel="2" x14ac:dyDescent="0.25">
      <c r="A62" s="11" t="str">
        <f>A61</f>
        <v>РЩж-9 (ВРУ1-13-20УХЛ) (9 секция) Комплектно к ВРУ-Инд (ВЩж-9)  ВРУ1-13-20УХЛ</v>
      </c>
      <c r="B62" s="12" t="s">
        <v>8</v>
      </c>
      <c r="C62" s="18" t="s">
        <v>250</v>
      </c>
      <c r="D62" s="11" t="s">
        <v>251</v>
      </c>
      <c r="E62" s="12">
        <v>170000</v>
      </c>
      <c r="F62" s="13">
        <f>0.6*E62</f>
        <v>102000</v>
      </c>
      <c r="G62" s="13">
        <f>H62*F62</f>
        <v>102000</v>
      </c>
      <c r="H62" s="14">
        <v>1</v>
      </c>
      <c r="I62" s="15" t="s">
        <v>13</v>
      </c>
      <c r="J62" s="12" t="s">
        <v>16</v>
      </c>
      <c r="K62">
        <v>102000</v>
      </c>
      <c r="L62">
        <f t="shared" ref="L62:L71" si="28">L61</f>
        <v>1</v>
      </c>
      <c r="M62" s="23">
        <f t="shared" si="1"/>
        <v>102000</v>
      </c>
    </row>
    <row r="63" spans="1:13" ht="22.5" customHeight="1" outlineLevel="2" x14ac:dyDescent="0.25">
      <c r="A63" s="11" t="str">
        <f t="shared" ref="A63:A70" si="29">A62</f>
        <v>РЩж-9 (ВРУ1-13-20УХЛ) (9 секция) Комплектно к ВРУ-Инд (ВЩж-9)  ВРУ1-13-20УХЛ</v>
      </c>
      <c r="B63" s="12" t="s">
        <v>134</v>
      </c>
      <c r="C63" s="18" t="s">
        <v>128</v>
      </c>
      <c r="D63" s="11" t="s">
        <v>129</v>
      </c>
      <c r="E63" s="12">
        <v>2225</v>
      </c>
      <c r="F63" s="13">
        <f t="shared" ref="F63:F67" si="30">E63*0.6</f>
        <v>1335</v>
      </c>
      <c r="G63" s="13">
        <f t="shared" ref="G63:G70" si="31">F63*H63</f>
        <v>16020</v>
      </c>
      <c r="H63" s="14">
        <v>12</v>
      </c>
      <c r="I63" s="15" t="s">
        <v>13</v>
      </c>
      <c r="J63" s="12" t="s">
        <v>206</v>
      </c>
      <c r="K63">
        <v>16020</v>
      </c>
      <c r="L63">
        <f t="shared" si="28"/>
        <v>1</v>
      </c>
      <c r="M63" s="23">
        <f t="shared" si="1"/>
        <v>16020</v>
      </c>
    </row>
    <row r="64" spans="1:13" ht="21" customHeight="1" outlineLevel="2" x14ac:dyDescent="0.25">
      <c r="A64" s="11" t="str">
        <f t="shared" si="29"/>
        <v>РЩж-9 (ВРУ1-13-20УХЛ) (9 секция) Комплектно к ВРУ-Инд (ВЩж-9)  ВРУ1-13-20УХЛ</v>
      </c>
      <c r="B64" s="12" t="s">
        <v>134</v>
      </c>
      <c r="C64" s="18" t="s">
        <v>130</v>
      </c>
      <c r="D64" s="11" t="s">
        <v>131</v>
      </c>
      <c r="E64" s="12">
        <v>2210</v>
      </c>
      <c r="F64" s="13">
        <f t="shared" si="30"/>
        <v>1326</v>
      </c>
      <c r="G64" s="13">
        <f t="shared" si="31"/>
        <v>7956</v>
      </c>
      <c r="H64" s="14">
        <v>6</v>
      </c>
      <c r="I64" s="15" t="s">
        <v>13</v>
      </c>
      <c r="J64" s="12" t="s">
        <v>206</v>
      </c>
      <c r="K64">
        <v>7956</v>
      </c>
      <c r="L64">
        <f t="shared" si="28"/>
        <v>1</v>
      </c>
      <c r="M64" s="23">
        <f t="shared" si="1"/>
        <v>7956</v>
      </c>
    </row>
    <row r="65" spans="1:13" ht="22.5" customHeight="1" outlineLevel="2" x14ac:dyDescent="0.25">
      <c r="A65" s="11" t="str">
        <f t="shared" si="29"/>
        <v>РЩж-9 (ВРУ1-13-20УХЛ) (9 секция) Комплектно к ВРУ-Инд (ВЩж-9)  ВРУ1-13-20УХЛ</v>
      </c>
      <c r="B65" s="12" t="s">
        <v>134</v>
      </c>
      <c r="C65" s="18" t="s">
        <v>132</v>
      </c>
      <c r="D65" s="11" t="s">
        <v>133</v>
      </c>
      <c r="E65" s="12">
        <v>1510</v>
      </c>
      <c r="F65" s="13">
        <f t="shared" si="30"/>
        <v>906</v>
      </c>
      <c r="G65" s="13">
        <f t="shared" si="31"/>
        <v>5436</v>
      </c>
      <c r="H65" s="14">
        <v>6</v>
      </c>
      <c r="I65" s="15" t="s">
        <v>13</v>
      </c>
      <c r="J65" s="12" t="s">
        <v>206</v>
      </c>
      <c r="K65">
        <v>5436</v>
      </c>
      <c r="L65">
        <f t="shared" si="28"/>
        <v>1</v>
      </c>
      <c r="M65" s="23">
        <f t="shared" si="1"/>
        <v>5436</v>
      </c>
    </row>
    <row r="66" spans="1:13" ht="21" customHeight="1" outlineLevel="2" x14ac:dyDescent="0.25">
      <c r="A66" s="11" t="str">
        <f t="shared" si="29"/>
        <v>РЩж-9 (ВРУ1-13-20УХЛ) (9 секция) Комплектно к ВРУ-Инд (ВЩж-9)  ВРУ1-13-20УХЛ</v>
      </c>
      <c r="B66" s="12" t="s">
        <v>134</v>
      </c>
      <c r="C66" s="18" t="s">
        <v>135</v>
      </c>
      <c r="D66" s="11" t="s">
        <v>136</v>
      </c>
      <c r="E66" s="12">
        <v>3100</v>
      </c>
      <c r="F66" s="13">
        <f t="shared" si="30"/>
        <v>1860</v>
      </c>
      <c r="G66" s="13">
        <f t="shared" si="31"/>
        <v>33480</v>
      </c>
      <c r="H66" s="14">
        <v>18</v>
      </c>
      <c r="I66" s="15" t="s">
        <v>13</v>
      </c>
      <c r="J66" s="12" t="s">
        <v>206</v>
      </c>
      <c r="K66">
        <v>33480</v>
      </c>
      <c r="L66">
        <f t="shared" si="28"/>
        <v>1</v>
      </c>
      <c r="M66" s="23">
        <f t="shared" si="1"/>
        <v>33480</v>
      </c>
    </row>
    <row r="67" spans="1:13" ht="21" customHeight="1" outlineLevel="2" x14ac:dyDescent="0.25">
      <c r="A67" s="11" t="str">
        <f t="shared" si="29"/>
        <v>РЩж-9 (ВРУ1-13-20УХЛ) (9 секция) Комплектно к ВРУ-Инд (ВЩж-9)  ВРУ1-13-20УХЛ</v>
      </c>
      <c r="B67" s="12" t="s">
        <v>134</v>
      </c>
      <c r="C67" s="18" t="s">
        <v>137</v>
      </c>
      <c r="D67" s="11" t="s">
        <v>138</v>
      </c>
      <c r="E67" s="12">
        <v>2038</v>
      </c>
      <c r="F67" s="13">
        <f t="shared" si="30"/>
        <v>1222.8</v>
      </c>
      <c r="G67" s="13">
        <f t="shared" si="31"/>
        <v>7336.7999999999993</v>
      </c>
      <c r="H67" s="14">
        <v>6</v>
      </c>
      <c r="I67" s="15" t="s">
        <v>13</v>
      </c>
      <c r="J67" s="12" t="s">
        <v>206</v>
      </c>
      <c r="K67">
        <v>7336.7999999999993</v>
      </c>
      <c r="L67">
        <f t="shared" si="28"/>
        <v>1</v>
      </c>
      <c r="M67" s="23">
        <f t="shared" ref="M67:M130" si="32">L67*G67</f>
        <v>7336.7999999999993</v>
      </c>
    </row>
    <row r="68" spans="1:13" ht="21" customHeight="1" outlineLevel="2" x14ac:dyDescent="0.25">
      <c r="A68" s="11" t="str">
        <f t="shared" si="29"/>
        <v>РЩж-9 (ВРУ1-13-20УХЛ) (9 секция) Комплектно к ВРУ-Инд (ВЩж-9)  ВРУ1-13-20УХЛ</v>
      </c>
      <c r="B68" s="12" t="s">
        <v>47</v>
      </c>
      <c r="C68" s="18" t="s">
        <v>233</v>
      </c>
      <c r="D68" s="11" t="s">
        <v>234</v>
      </c>
      <c r="E68" s="12">
        <v>664</v>
      </c>
      <c r="F68" s="13">
        <f>E68</f>
        <v>664</v>
      </c>
      <c r="G68" s="13">
        <f t="shared" si="31"/>
        <v>2656</v>
      </c>
      <c r="H68" s="14">
        <v>4</v>
      </c>
      <c r="I68" s="15" t="s">
        <v>232</v>
      </c>
      <c r="J68" s="12" t="s">
        <v>20</v>
      </c>
      <c r="K68">
        <v>2656</v>
      </c>
      <c r="L68">
        <f t="shared" si="28"/>
        <v>1</v>
      </c>
      <c r="M68" s="23">
        <f t="shared" si="32"/>
        <v>2656</v>
      </c>
    </row>
    <row r="69" spans="1:13" ht="24" customHeight="1" outlineLevel="2" x14ac:dyDescent="0.25">
      <c r="A69" s="11" t="str">
        <f t="shared" si="29"/>
        <v>РЩж-9 (ВРУ1-13-20УХЛ) (9 секция) Комплектно к ВРУ-Инд (ВЩж-9)  ВРУ1-13-20УХЛ</v>
      </c>
      <c r="B69" s="11" t="s">
        <v>10</v>
      </c>
      <c r="C69" s="11" t="s">
        <v>10</v>
      </c>
      <c r="D69" s="11" t="s">
        <v>10</v>
      </c>
      <c r="E69" s="11">
        <f ca="1">OFFSET(E69,1,2)</f>
        <v>30000</v>
      </c>
      <c r="F69" s="13">
        <f ca="1">E69</f>
        <v>30000</v>
      </c>
      <c r="G69" s="13">
        <f ca="1">F69*H69</f>
        <v>30000</v>
      </c>
      <c r="H69" s="11">
        <v>1</v>
      </c>
      <c r="I69" s="11" t="s">
        <v>13</v>
      </c>
      <c r="J69" s="11" t="s">
        <v>10</v>
      </c>
      <c r="K69">
        <v>30000</v>
      </c>
      <c r="L69">
        <f t="shared" si="28"/>
        <v>1</v>
      </c>
      <c r="M69" s="23">
        <f t="shared" ca="1" si="32"/>
        <v>30000</v>
      </c>
    </row>
    <row r="70" spans="1:13" ht="21" customHeight="1" outlineLevel="2" x14ac:dyDescent="0.25">
      <c r="A70" s="11" t="str">
        <f t="shared" si="29"/>
        <v>РЩж-9 (ВРУ1-13-20УХЛ) (9 секция) Комплектно к ВРУ-Инд (ВЩж-9)  ВРУ1-13-20УХЛ</v>
      </c>
      <c r="B70" s="11" t="s">
        <v>11</v>
      </c>
      <c r="C70" s="11" t="s">
        <v>11</v>
      </c>
      <c r="D70" s="11" t="s">
        <v>11</v>
      </c>
      <c r="E70" s="11">
        <v>5</v>
      </c>
      <c r="F70" s="13">
        <v>100</v>
      </c>
      <c r="G70" s="13">
        <f t="shared" si="31"/>
        <v>30000</v>
      </c>
      <c r="H70" s="11">
        <f>60*E70</f>
        <v>300</v>
      </c>
      <c r="I70" s="11" t="s">
        <v>13</v>
      </c>
      <c r="J70" s="11" t="s">
        <v>11</v>
      </c>
      <c r="K70">
        <v>30000</v>
      </c>
      <c r="L70">
        <f t="shared" si="28"/>
        <v>1</v>
      </c>
      <c r="M70" s="23">
        <f t="shared" si="32"/>
        <v>30000</v>
      </c>
    </row>
    <row r="71" spans="1:13" ht="21" customHeight="1" outlineLevel="1" x14ac:dyDescent="0.25">
      <c r="A71" s="11" t="s">
        <v>282</v>
      </c>
      <c r="B71" s="11"/>
      <c r="C71" s="11"/>
      <c r="D71" s="11"/>
      <c r="E71" s="11"/>
      <c r="F71" s="13"/>
      <c r="G71" s="13">
        <f ca="1">SUBTOTAL(9,G61:G70)</f>
        <v>234884.8</v>
      </c>
      <c r="H71" s="11"/>
      <c r="I71" s="11"/>
      <c r="J71" s="11"/>
      <c r="K71">
        <v>234884.8</v>
      </c>
      <c r="L71">
        <f t="shared" si="28"/>
        <v>1</v>
      </c>
      <c r="M71" s="23">
        <f t="shared" ca="1" si="32"/>
        <v>234884.8</v>
      </c>
    </row>
    <row r="72" spans="1:13" ht="39.75" customHeight="1" outlineLevel="2" x14ac:dyDescent="0.25">
      <c r="A72" s="4" t="str">
        <f>D72</f>
        <v>АВР-3-1 100А (9 секция) Комплектно к ВРУ-Инд (ЩСП Секция-1) (ЩСП Секция-2)</v>
      </c>
      <c r="B72" s="5"/>
      <c r="C72" s="17"/>
      <c r="D72" s="5" t="s">
        <v>140</v>
      </c>
      <c r="E72" s="7"/>
      <c r="F72" s="7"/>
      <c r="G72" s="8"/>
      <c r="H72" s="9">
        <v>1</v>
      </c>
      <c r="I72" s="10" t="s">
        <v>7</v>
      </c>
      <c r="J72" s="5" t="s">
        <v>9</v>
      </c>
      <c r="L72">
        <f>H72</f>
        <v>1</v>
      </c>
      <c r="M72" s="23">
        <f t="shared" si="32"/>
        <v>0</v>
      </c>
    </row>
    <row r="73" spans="1:13" ht="21" customHeight="1" outlineLevel="2" x14ac:dyDescent="0.25">
      <c r="A73" s="11" t="str">
        <f>A72</f>
        <v>АВР-3-1 100А (9 секция) Комплектно к ВРУ-Инд (ЩСП Секция-1) (ЩСП Секция-2)</v>
      </c>
      <c r="B73" s="12" t="s">
        <v>8</v>
      </c>
      <c r="C73" s="18" t="s">
        <v>250</v>
      </c>
      <c r="D73" s="11" t="s">
        <v>251</v>
      </c>
      <c r="E73" s="12">
        <v>170000</v>
      </c>
      <c r="F73" s="13">
        <f>0.6*E73</f>
        <v>102000</v>
      </c>
      <c r="G73" s="13">
        <f>H73*F73</f>
        <v>102000</v>
      </c>
      <c r="H73" s="14">
        <v>1</v>
      </c>
      <c r="I73" s="15" t="s">
        <v>13</v>
      </c>
      <c r="J73" s="12" t="s">
        <v>16</v>
      </c>
      <c r="K73">
        <v>102000</v>
      </c>
      <c r="L73">
        <f t="shared" ref="L73:L92" si="33">L72</f>
        <v>1</v>
      </c>
      <c r="M73" s="23">
        <f t="shared" si="32"/>
        <v>102000</v>
      </c>
    </row>
    <row r="74" spans="1:13" ht="21" customHeight="1" outlineLevel="2" x14ac:dyDescent="0.25">
      <c r="A74" s="11" t="str">
        <f t="shared" ref="A74:A91" si="34">A73</f>
        <v>АВР-3-1 100А (9 секция) Комплектно к ВРУ-Инд (ЩСП Секция-1) (ЩСП Секция-2)</v>
      </c>
      <c r="B74" s="12" t="s">
        <v>46</v>
      </c>
      <c r="C74" s="18">
        <v>126511</v>
      </c>
      <c r="D74" s="11" t="s">
        <v>48</v>
      </c>
      <c r="E74" s="12">
        <v>28665</v>
      </c>
      <c r="F74" s="13">
        <f t="shared" ref="F74:F76" si="35">E74*0.6</f>
        <v>17199</v>
      </c>
      <c r="G74" s="13">
        <f t="shared" ref="G74:G91" si="36">F74*H74</f>
        <v>51597</v>
      </c>
      <c r="H74" s="14">
        <v>3</v>
      </c>
      <c r="I74" s="15" t="s">
        <v>13</v>
      </c>
      <c r="J74" s="12" t="s">
        <v>36</v>
      </c>
      <c r="K74">
        <v>51597</v>
      </c>
      <c r="L74">
        <f t="shared" si="33"/>
        <v>1</v>
      </c>
      <c r="M74" s="23">
        <f t="shared" si="32"/>
        <v>51597</v>
      </c>
    </row>
    <row r="75" spans="1:13" ht="21" customHeight="1" outlineLevel="2" x14ac:dyDescent="0.25">
      <c r="A75" s="11" t="str">
        <f>A73</f>
        <v>АВР-3-1 100А (9 секция) Комплектно к ВРУ-Инд (ЩСП Секция-1) (ЩСП Секция-2)</v>
      </c>
      <c r="B75" s="12" t="s">
        <v>12</v>
      </c>
      <c r="C75" s="18">
        <v>296825</v>
      </c>
      <c r="D75" s="11" t="s">
        <v>50</v>
      </c>
      <c r="E75" s="12">
        <v>2457</v>
      </c>
      <c r="F75" s="13">
        <f t="shared" si="35"/>
        <v>1474.2</v>
      </c>
      <c r="G75" s="13">
        <f t="shared" si="36"/>
        <v>4422.6000000000004</v>
      </c>
      <c r="H75" s="14">
        <v>3</v>
      </c>
      <c r="I75" s="15" t="s">
        <v>13</v>
      </c>
      <c r="J75" s="12" t="s">
        <v>36</v>
      </c>
      <c r="K75">
        <v>4422.6000000000004</v>
      </c>
      <c r="L75">
        <f t="shared" si="33"/>
        <v>1</v>
      </c>
      <c r="M75" s="23">
        <f t="shared" si="32"/>
        <v>4422.6000000000004</v>
      </c>
    </row>
    <row r="76" spans="1:13" ht="21" customHeight="1" outlineLevel="2" x14ac:dyDescent="0.25">
      <c r="A76" s="11" t="str">
        <f>A74</f>
        <v>АВР-3-1 100А (9 секция) Комплектно к ВРУ-Инд (ЩСП Секция-1) (ЩСП Секция-2)</v>
      </c>
      <c r="B76" s="12" t="s">
        <v>12</v>
      </c>
      <c r="C76" s="18">
        <v>296708</v>
      </c>
      <c r="D76" s="11" t="s">
        <v>31</v>
      </c>
      <c r="E76" s="12">
        <v>828</v>
      </c>
      <c r="F76" s="13">
        <f t="shared" si="35"/>
        <v>496.79999999999995</v>
      </c>
      <c r="G76" s="13">
        <f t="shared" si="36"/>
        <v>1490.3999999999999</v>
      </c>
      <c r="H76" s="14">
        <v>3</v>
      </c>
      <c r="I76" s="15" t="s">
        <v>13</v>
      </c>
      <c r="J76" s="12" t="s">
        <v>36</v>
      </c>
      <c r="K76">
        <v>1490.3999999999999</v>
      </c>
      <c r="L76">
        <f t="shared" si="33"/>
        <v>1</v>
      </c>
      <c r="M76" s="23">
        <f t="shared" si="32"/>
        <v>1490.3999999999999</v>
      </c>
    </row>
    <row r="77" spans="1:13" ht="21" customHeight="1" outlineLevel="2" x14ac:dyDescent="0.25">
      <c r="A77" s="11" t="str">
        <f>A74</f>
        <v>АВР-3-1 100А (9 секция) Комплектно к ВРУ-Инд (ЩСП Секция-1) (ЩСП Секция-2)</v>
      </c>
      <c r="B77" s="12" t="s">
        <v>44</v>
      </c>
      <c r="C77" s="18" t="s">
        <v>265</v>
      </c>
      <c r="D77" s="11" t="s">
        <v>266</v>
      </c>
      <c r="E77" s="12">
        <v>6500</v>
      </c>
      <c r="F77" s="13">
        <f>E77</f>
        <v>6500</v>
      </c>
      <c r="G77" s="13">
        <f t="shared" si="36"/>
        <v>39000</v>
      </c>
      <c r="H77" s="14">
        <v>6</v>
      </c>
      <c r="I77" s="15" t="s">
        <v>13</v>
      </c>
      <c r="J77" s="12" t="s">
        <v>20</v>
      </c>
      <c r="K77">
        <v>39000</v>
      </c>
      <c r="L77">
        <f t="shared" si="33"/>
        <v>1</v>
      </c>
      <c r="M77" s="23">
        <f t="shared" si="32"/>
        <v>39000</v>
      </c>
    </row>
    <row r="78" spans="1:13" ht="21" customHeight="1" outlineLevel="2" x14ac:dyDescent="0.25">
      <c r="A78" s="11" t="str">
        <f>A74</f>
        <v>АВР-3-1 100А (9 секция) Комплектно к ВРУ-Инд (ЩСП Секция-1) (ЩСП Секция-2)</v>
      </c>
      <c r="B78" s="12" t="s">
        <v>22</v>
      </c>
      <c r="C78" s="18">
        <v>285448</v>
      </c>
      <c r="D78" s="11" t="s">
        <v>54</v>
      </c>
      <c r="E78" s="12">
        <v>1763</v>
      </c>
      <c r="F78" s="13">
        <f t="shared" ref="F78:F82" si="37">E78*0.6</f>
        <v>1057.8</v>
      </c>
      <c r="G78" s="13">
        <f t="shared" si="36"/>
        <v>3173.3999999999996</v>
      </c>
      <c r="H78" s="14">
        <v>3</v>
      </c>
      <c r="I78" s="15" t="s">
        <v>13</v>
      </c>
      <c r="J78" s="12" t="s">
        <v>36</v>
      </c>
      <c r="K78">
        <v>3173.3999999999996</v>
      </c>
      <c r="L78">
        <f t="shared" si="33"/>
        <v>1</v>
      </c>
      <c r="M78" s="23">
        <f t="shared" si="32"/>
        <v>3173.3999999999996</v>
      </c>
    </row>
    <row r="79" spans="1:13" ht="21" customHeight="1" outlineLevel="2" x14ac:dyDescent="0.25">
      <c r="A79" s="11" t="str">
        <f>A75</f>
        <v>АВР-3-1 100А (9 секция) Комплектно к ВРУ-Инд (ЩСП Секция-1) (ЩСП Секция-2)</v>
      </c>
      <c r="B79" s="12" t="s">
        <v>221</v>
      </c>
      <c r="C79" s="18">
        <v>285981</v>
      </c>
      <c r="D79" s="11" t="s">
        <v>55</v>
      </c>
      <c r="E79" s="12">
        <v>1937</v>
      </c>
      <c r="F79" s="13">
        <f t="shared" si="37"/>
        <v>1162.2</v>
      </c>
      <c r="G79" s="13">
        <f t="shared" si="36"/>
        <v>3486.6000000000004</v>
      </c>
      <c r="H79" s="14">
        <v>3</v>
      </c>
      <c r="I79" s="15" t="s">
        <v>13</v>
      </c>
      <c r="J79" s="12" t="s">
        <v>36</v>
      </c>
      <c r="K79">
        <v>3486.6000000000004</v>
      </c>
      <c r="L79">
        <f t="shared" si="33"/>
        <v>1</v>
      </c>
      <c r="M79" s="23">
        <f t="shared" si="32"/>
        <v>3486.6000000000004</v>
      </c>
    </row>
    <row r="80" spans="1:13" ht="21" customHeight="1" outlineLevel="2" x14ac:dyDescent="0.25">
      <c r="A80" s="11" t="str">
        <f>A76</f>
        <v>АВР-3-1 100А (9 секция) Комплектно к ВРУ-Инд (ЩСП Секция-1) (ЩСП Секция-2)</v>
      </c>
      <c r="B80" s="12" t="s">
        <v>22</v>
      </c>
      <c r="C80" s="18" t="s">
        <v>53</v>
      </c>
      <c r="D80" s="11" t="s">
        <v>52</v>
      </c>
      <c r="E80" s="12">
        <v>5305</v>
      </c>
      <c r="F80" s="13">
        <f t="shared" si="37"/>
        <v>3183</v>
      </c>
      <c r="G80" s="13">
        <f t="shared" si="36"/>
        <v>9549</v>
      </c>
      <c r="H80" s="14">
        <v>3</v>
      </c>
      <c r="I80" s="15" t="s">
        <v>13</v>
      </c>
      <c r="J80" s="12" t="s">
        <v>36</v>
      </c>
      <c r="K80">
        <v>9549</v>
      </c>
      <c r="L80">
        <f t="shared" si="33"/>
        <v>1</v>
      </c>
      <c r="M80" s="23">
        <f t="shared" si="32"/>
        <v>9549</v>
      </c>
    </row>
    <row r="81" spans="1:13" ht="21" customHeight="1" outlineLevel="2" x14ac:dyDescent="0.25">
      <c r="A81" s="11" t="str">
        <f>A77</f>
        <v>АВР-3-1 100А (9 секция) Комплектно к ВРУ-Инд (ЩСП Секция-1) (ЩСП Секция-2)</v>
      </c>
      <c r="B81" s="12" t="s">
        <v>21</v>
      </c>
      <c r="C81" s="18">
        <v>836824</v>
      </c>
      <c r="D81" s="11" t="s">
        <v>51</v>
      </c>
      <c r="E81" s="12">
        <v>53690</v>
      </c>
      <c r="F81" s="13">
        <f t="shared" si="37"/>
        <v>32214</v>
      </c>
      <c r="G81" s="13">
        <f t="shared" si="36"/>
        <v>96642</v>
      </c>
      <c r="H81" s="14">
        <v>3</v>
      </c>
      <c r="I81" s="15" t="s">
        <v>13</v>
      </c>
      <c r="J81" s="12" t="s">
        <v>36</v>
      </c>
      <c r="K81">
        <v>96642</v>
      </c>
      <c r="L81">
        <f t="shared" si="33"/>
        <v>1</v>
      </c>
      <c r="M81" s="23">
        <f t="shared" si="32"/>
        <v>96642</v>
      </c>
    </row>
    <row r="82" spans="1:13" ht="32.25" customHeight="1" outlineLevel="2" x14ac:dyDescent="0.25">
      <c r="A82" s="11" t="str">
        <f t="shared" ref="A82" si="38">A81</f>
        <v>АВР-3-1 100А (9 секция) Комплектно к ВРУ-Инд (ЩСП Секция-1) (ЩСП Секция-2)</v>
      </c>
      <c r="B82" s="12" t="s">
        <v>22</v>
      </c>
      <c r="C82" s="18">
        <v>257987</v>
      </c>
      <c r="D82" s="11" t="s">
        <v>49</v>
      </c>
      <c r="E82" s="12">
        <v>9868</v>
      </c>
      <c r="F82" s="13">
        <f t="shared" si="37"/>
        <v>5920.8</v>
      </c>
      <c r="G82" s="13">
        <f t="shared" si="36"/>
        <v>17762.400000000001</v>
      </c>
      <c r="H82" s="14">
        <v>3</v>
      </c>
      <c r="I82" s="15" t="s">
        <v>13</v>
      </c>
      <c r="J82" s="12" t="s">
        <v>36</v>
      </c>
      <c r="K82">
        <v>17762.400000000001</v>
      </c>
      <c r="L82">
        <f t="shared" si="33"/>
        <v>1</v>
      </c>
      <c r="M82" s="23">
        <f t="shared" si="32"/>
        <v>17762.400000000001</v>
      </c>
    </row>
    <row r="83" spans="1:13" ht="21" customHeight="1" outlineLevel="2" x14ac:dyDescent="0.25">
      <c r="A83" s="11" t="str">
        <f>A81</f>
        <v>АВР-3-1 100А (9 секция) Комплектно к ВРУ-Инд (ЩСП Секция-1) (ЩСП Секция-2)</v>
      </c>
      <c r="B83" s="12" t="s">
        <v>45</v>
      </c>
      <c r="C83" s="18" t="s">
        <v>241</v>
      </c>
      <c r="D83" s="11" t="s">
        <v>242</v>
      </c>
      <c r="E83" s="12">
        <v>290</v>
      </c>
      <c r="F83" s="13">
        <f>E83*0.6</f>
        <v>174</v>
      </c>
      <c r="G83" s="13">
        <f t="shared" si="36"/>
        <v>348</v>
      </c>
      <c r="H83" s="14">
        <v>2</v>
      </c>
      <c r="I83" s="15" t="s">
        <v>13</v>
      </c>
      <c r="J83" s="12" t="s">
        <v>236</v>
      </c>
      <c r="K83">
        <v>348</v>
      </c>
      <c r="L83">
        <f t="shared" si="33"/>
        <v>1</v>
      </c>
      <c r="M83" s="23">
        <f t="shared" si="32"/>
        <v>348</v>
      </c>
    </row>
    <row r="84" spans="1:13" ht="21" customHeight="1" outlineLevel="2" x14ac:dyDescent="0.25">
      <c r="A84" s="11" t="str">
        <f t="shared" ref="A84:A86" si="39">A83</f>
        <v>АВР-3-1 100А (9 секция) Комплектно к ВРУ-Инд (ЩСП Секция-1) (ЩСП Секция-2)</v>
      </c>
      <c r="B84" s="12" t="s">
        <v>24</v>
      </c>
      <c r="C84" s="18">
        <v>574842</v>
      </c>
      <c r="D84" s="11" t="s">
        <v>34</v>
      </c>
      <c r="E84" s="12">
        <v>960</v>
      </c>
      <c r="F84" s="13">
        <f t="shared" ref="F84:F86" si="40">E84*0.6</f>
        <v>576</v>
      </c>
      <c r="G84" s="13">
        <f t="shared" si="36"/>
        <v>1728</v>
      </c>
      <c r="H84" s="14">
        <v>3</v>
      </c>
      <c r="I84" s="15" t="s">
        <v>19</v>
      </c>
      <c r="J84" s="12" t="s">
        <v>36</v>
      </c>
      <c r="K84">
        <v>1728</v>
      </c>
      <c r="L84">
        <f t="shared" si="33"/>
        <v>1</v>
      </c>
      <c r="M84" s="23">
        <f t="shared" si="32"/>
        <v>1728</v>
      </c>
    </row>
    <row r="85" spans="1:13" ht="21" customHeight="1" outlineLevel="2" x14ac:dyDescent="0.25">
      <c r="A85" s="11" t="str">
        <f t="shared" si="39"/>
        <v>АВР-3-1 100А (9 секция) Комплектно к ВРУ-Инд (ЩСП Секция-1) (ЩСП Секция-2)</v>
      </c>
      <c r="B85" s="12" t="s">
        <v>24</v>
      </c>
      <c r="C85" s="18">
        <v>574843</v>
      </c>
      <c r="D85" s="11" t="s">
        <v>35</v>
      </c>
      <c r="E85" s="12">
        <v>960</v>
      </c>
      <c r="F85" s="13">
        <f t="shared" si="40"/>
        <v>576</v>
      </c>
      <c r="G85" s="13">
        <f t="shared" si="36"/>
        <v>1728</v>
      </c>
      <c r="H85" s="14">
        <v>3</v>
      </c>
      <c r="I85" s="15" t="s">
        <v>19</v>
      </c>
      <c r="J85" s="12" t="s">
        <v>36</v>
      </c>
      <c r="K85">
        <v>1728</v>
      </c>
      <c r="L85">
        <f t="shared" si="33"/>
        <v>1</v>
      </c>
      <c r="M85" s="23">
        <f t="shared" si="32"/>
        <v>1728</v>
      </c>
    </row>
    <row r="86" spans="1:13" ht="22.5" customHeight="1" outlineLevel="2" x14ac:dyDescent="0.25">
      <c r="A86" s="11" t="str">
        <f t="shared" si="39"/>
        <v>АВР-3-1 100А (9 секция) Комплектно к ВРУ-Инд (ЩСП Секция-1) (ЩСП Секция-2)</v>
      </c>
      <c r="B86" s="12" t="s">
        <v>17</v>
      </c>
      <c r="C86" s="11">
        <v>574822</v>
      </c>
      <c r="D86" s="11" t="s">
        <v>32</v>
      </c>
      <c r="E86" s="11">
        <v>934</v>
      </c>
      <c r="F86" s="13">
        <f t="shared" si="40"/>
        <v>560.4</v>
      </c>
      <c r="G86" s="13">
        <f t="shared" si="36"/>
        <v>560.4</v>
      </c>
      <c r="H86" s="11">
        <v>1</v>
      </c>
      <c r="I86" s="11" t="s">
        <v>13</v>
      </c>
      <c r="J86" s="12" t="s">
        <v>36</v>
      </c>
      <c r="K86">
        <v>560.4</v>
      </c>
      <c r="L86">
        <f t="shared" si="33"/>
        <v>1</v>
      </c>
      <c r="M86" s="23">
        <f t="shared" si="32"/>
        <v>560.4</v>
      </c>
    </row>
    <row r="87" spans="1:13" ht="22.5" customHeight="1" outlineLevel="2" x14ac:dyDescent="0.25">
      <c r="A87" s="11" t="str">
        <f t="shared" ref="A87:A88" si="41">A86</f>
        <v>АВР-3-1 100А (9 секция) Комплектно к ВРУ-Инд (ЩСП Секция-1) (ЩСП Секция-2)</v>
      </c>
      <c r="B87" s="12" t="s">
        <v>23</v>
      </c>
      <c r="C87" s="11" t="s">
        <v>244</v>
      </c>
      <c r="D87" s="11" t="s">
        <v>243</v>
      </c>
      <c r="E87" s="11">
        <v>140</v>
      </c>
      <c r="F87" s="13">
        <f>E87*0.6</f>
        <v>84</v>
      </c>
      <c r="G87" s="13">
        <f t="shared" si="36"/>
        <v>252</v>
      </c>
      <c r="H87" s="11">
        <v>3</v>
      </c>
      <c r="I87" s="11" t="s">
        <v>13</v>
      </c>
      <c r="J87" s="12" t="s">
        <v>236</v>
      </c>
      <c r="K87">
        <v>252</v>
      </c>
      <c r="L87">
        <f t="shared" si="33"/>
        <v>1</v>
      </c>
      <c r="M87" s="23">
        <f t="shared" si="32"/>
        <v>252</v>
      </c>
    </row>
    <row r="88" spans="1:13" ht="21" customHeight="1" outlineLevel="2" x14ac:dyDescent="0.25">
      <c r="A88" s="11" t="str">
        <f t="shared" si="41"/>
        <v>АВР-3-1 100А (9 секция) Комплектно к ВРУ-Инд (ЩСП Секция-1) (ЩСП Секция-2)</v>
      </c>
      <c r="B88" s="12" t="s">
        <v>39</v>
      </c>
      <c r="C88" s="18">
        <v>593071</v>
      </c>
      <c r="D88" s="11" t="s">
        <v>56</v>
      </c>
      <c r="E88" s="12">
        <v>439</v>
      </c>
      <c r="F88" s="13">
        <f t="shared" ref="F88:F89" si="42">E88*0.6</f>
        <v>263.39999999999998</v>
      </c>
      <c r="G88" s="13">
        <f t="shared" si="36"/>
        <v>790.19999999999993</v>
      </c>
      <c r="H88" s="14">
        <v>3</v>
      </c>
      <c r="I88" s="15" t="s">
        <v>19</v>
      </c>
      <c r="J88" s="12" t="s">
        <v>36</v>
      </c>
      <c r="K88">
        <v>790.19999999999993</v>
      </c>
      <c r="L88">
        <f t="shared" si="33"/>
        <v>1</v>
      </c>
      <c r="M88" s="23">
        <f t="shared" si="32"/>
        <v>790.19999999999993</v>
      </c>
    </row>
    <row r="89" spans="1:13" ht="21" customHeight="1" outlineLevel="2" x14ac:dyDescent="0.25">
      <c r="A89" s="11" t="str">
        <f t="shared" ref="A89" si="43">A88</f>
        <v>АВР-3-1 100А (9 секция) Комплектно к ВРУ-Инд (ЩСП Секция-1) (ЩСП Секция-2)</v>
      </c>
      <c r="B89" s="12" t="s">
        <v>57</v>
      </c>
      <c r="C89" s="18">
        <v>576728</v>
      </c>
      <c r="D89" s="11" t="s">
        <v>58</v>
      </c>
      <c r="E89" s="12">
        <v>272</v>
      </c>
      <c r="F89" s="13">
        <f t="shared" si="42"/>
        <v>163.19999999999999</v>
      </c>
      <c r="G89" s="13">
        <f t="shared" si="36"/>
        <v>652.79999999999995</v>
      </c>
      <c r="H89" s="14">
        <v>4</v>
      </c>
      <c r="I89" s="15" t="s">
        <v>19</v>
      </c>
      <c r="J89" s="12" t="s">
        <v>36</v>
      </c>
      <c r="K89">
        <v>652.79999999999995</v>
      </c>
      <c r="L89">
        <f t="shared" si="33"/>
        <v>1</v>
      </c>
      <c r="M89" s="23">
        <f t="shared" si="32"/>
        <v>652.79999999999995</v>
      </c>
    </row>
    <row r="90" spans="1:13" ht="24" customHeight="1" outlineLevel="2" x14ac:dyDescent="0.25">
      <c r="A90" s="11" t="str">
        <f>A86</f>
        <v>АВР-3-1 100А (9 секция) Комплектно к ВРУ-Инд (ЩСП Секция-1) (ЩСП Секция-2)</v>
      </c>
      <c r="B90" s="11" t="s">
        <v>10</v>
      </c>
      <c r="C90" s="11" t="s">
        <v>10</v>
      </c>
      <c r="D90" s="11" t="s">
        <v>10</v>
      </c>
      <c r="E90" s="11">
        <f ca="1">OFFSET(E90,1,2)</f>
        <v>48000</v>
      </c>
      <c r="F90" s="13">
        <f ca="1">E90</f>
        <v>48000</v>
      </c>
      <c r="G90" s="13">
        <f ca="1">F90*H90</f>
        <v>48000</v>
      </c>
      <c r="H90" s="11">
        <v>1</v>
      </c>
      <c r="I90" s="11" t="s">
        <v>13</v>
      </c>
      <c r="J90" s="11" t="s">
        <v>10</v>
      </c>
      <c r="K90">
        <v>48000</v>
      </c>
      <c r="L90">
        <f t="shared" si="33"/>
        <v>1</v>
      </c>
      <c r="M90" s="23">
        <f t="shared" ca="1" si="32"/>
        <v>48000</v>
      </c>
    </row>
    <row r="91" spans="1:13" ht="21" customHeight="1" outlineLevel="2" x14ac:dyDescent="0.25">
      <c r="A91" s="11" t="str">
        <f t="shared" si="34"/>
        <v>АВР-3-1 100А (9 секция) Комплектно к ВРУ-Инд (ЩСП Секция-1) (ЩСП Секция-2)</v>
      </c>
      <c r="B91" s="11" t="s">
        <v>11</v>
      </c>
      <c r="C91" s="11" t="s">
        <v>11</v>
      </c>
      <c r="D91" s="11" t="s">
        <v>11</v>
      </c>
      <c r="E91" s="11">
        <v>8</v>
      </c>
      <c r="F91" s="13">
        <v>100</v>
      </c>
      <c r="G91" s="13">
        <f t="shared" si="36"/>
        <v>48000</v>
      </c>
      <c r="H91" s="11">
        <f>60*E91</f>
        <v>480</v>
      </c>
      <c r="I91" s="11" t="s">
        <v>13</v>
      </c>
      <c r="J91" s="11" t="s">
        <v>11</v>
      </c>
      <c r="K91">
        <v>48000</v>
      </c>
      <c r="L91">
        <f t="shared" si="33"/>
        <v>1</v>
      </c>
      <c r="M91" s="23">
        <f t="shared" si="32"/>
        <v>48000</v>
      </c>
    </row>
    <row r="92" spans="1:13" ht="21" customHeight="1" outlineLevel="1" x14ac:dyDescent="0.25">
      <c r="A92" s="11" t="s">
        <v>283</v>
      </c>
      <c r="B92" s="11"/>
      <c r="C92" s="11"/>
      <c r="D92" s="11"/>
      <c r="E92" s="11"/>
      <c r="F92" s="13"/>
      <c r="G92" s="13">
        <f ca="1">SUBTOTAL(9,G72:G91)</f>
        <v>431182.80000000005</v>
      </c>
      <c r="H92" s="11"/>
      <c r="I92" s="11"/>
      <c r="J92" s="11"/>
      <c r="K92">
        <v>431182.80000000005</v>
      </c>
      <c r="L92">
        <f t="shared" si="33"/>
        <v>1</v>
      </c>
      <c r="M92" s="23">
        <f t="shared" ca="1" si="32"/>
        <v>431182.80000000005</v>
      </c>
    </row>
    <row r="93" spans="1:13" ht="39.75" customHeight="1" outlineLevel="2" x14ac:dyDescent="0.25">
      <c r="A93" s="4" t="str">
        <f>D93</f>
        <v>ВРУ-Инд. (ЩСП-9 Секция-1) (ЩСП-9 Секция-2)</v>
      </c>
      <c r="B93" s="5"/>
      <c r="C93" s="17"/>
      <c r="D93" s="5" t="s">
        <v>59</v>
      </c>
      <c r="E93" s="7"/>
      <c r="F93" s="7"/>
      <c r="G93" s="8"/>
      <c r="H93" s="9">
        <v>1</v>
      </c>
      <c r="I93" s="10" t="s">
        <v>7</v>
      </c>
      <c r="J93" s="5" t="s">
        <v>9</v>
      </c>
      <c r="L93">
        <f>H93</f>
        <v>1</v>
      </c>
      <c r="M93" s="23">
        <f t="shared" si="32"/>
        <v>0</v>
      </c>
    </row>
    <row r="94" spans="1:13" ht="21" customHeight="1" outlineLevel="2" x14ac:dyDescent="0.25">
      <c r="A94" s="11" t="str">
        <f>A93</f>
        <v>ВРУ-Инд. (ЩСП-9 Секция-1) (ЩСП-9 Секция-2)</v>
      </c>
      <c r="B94" s="12" t="s">
        <v>8</v>
      </c>
      <c r="C94" s="18" t="s">
        <v>252</v>
      </c>
      <c r="D94" s="11" t="s">
        <v>273</v>
      </c>
      <c r="E94" s="12">
        <v>160000</v>
      </c>
      <c r="F94" s="13">
        <f>0.6*E94</f>
        <v>96000</v>
      </c>
      <c r="G94" s="13">
        <f>H94*F94</f>
        <v>96000</v>
      </c>
      <c r="H94" s="14">
        <v>1</v>
      </c>
      <c r="I94" s="15" t="s">
        <v>13</v>
      </c>
      <c r="J94" s="12" t="s">
        <v>16</v>
      </c>
      <c r="K94">
        <v>96000</v>
      </c>
      <c r="L94">
        <f t="shared" ref="L94:L102" si="44">L93</f>
        <v>1</v>
      </c>
      <c r="M94" s="23">
        <f t="shared" si="32"/>
        <v>96000</v>
      </c>
    </row>
    <row r="95" spans="1:13" ht="21" customHeight="1" outlineLevel="2" x14ac:dyDescent="0.25">
      <c r="A95" s="11" t="str">
        <f t="shared" ref="A95:A101" si="45">A94</f>
        <v>ВРУ-Инд. (ЩСП-9 Секция-1) (ЩСП-9 Секция-2)</v>
      </c>
      <c r="B95" s="12" t="s">
        <v>64</v>
      </c>
      <c r="C95" s="18">
        <v>193180</v>
      </c>
      <c r="D95" s="11" t="s">
        <v>60</v>
      </c>
      <c r="E95" s="12">
        <v>2493</v>
      </c>
      <c r="F95" s="13">
        <f t="shared" ref="F95:F99" si="46">E95*0.6</f>
        <v>1495.8</v>
      </c>
      <c r="G95" s="13">
        <f>F95*H95</f>
        <v>10470.6</v>
      </c>
      <c r="H95" s="14">
        <v>7</v>
      </c>
      <c r="I95" s="15" t="s">
        <v>13</v>
      </c>
      <c r="J95" s="12" t="s">
        <v>36</v>
      </c>
      <c r="K95">
        <v>10470.6</v>
      </c>
      <c r="L95">
        <f t="shared" si="44"/>
        <v>1</v>
      </c>
      <c r="M95" s="23">
        <f t="shared" si="32"/>
        <v>10470.6</v>
      </c>
    </row>
    <row r="96" spans="1:13" ht="21" customHeight="1" outlineLevel="2" x14ac:dyDescent="0.25">
      <c r="A96" s="11" t="str">
        <f t="shared" si="45"/>
        <v>ВРУ-Инд. (ЩСП-9 Секция-1) (ЩСП-9 Секция-2)</v>
      </c>
      <c r="B96" s="12" t="s">
        <v>64</v>
      </c>
      <c r="C96" s="18">
        <v>398044</v>
      </c>
      <c r="D96" s="11" t="s">
        <v>61</v>
      </c>
      <c r="E96" s="12">
        <v>3112</v>
      </c>
      <c r="F96" s="13">
        <f t="shared" si="46"/>
        <v>1867.1999999999998</v>
      </c>
      <c r="G96" s="13">
        <f t="shared" ref="G96:G101" si="47">F96*H96</f>
        <v>5601.5999999999995</v>
      </c>
      <c r="H96" s="14">
        <v>3</v>
      </c>
      <c r="I96" s="15" t="s">
        <v>13</v>
      </c>
      <c r="J96" s="12" t="s">
        <v>36</v>
      </c>
      <c r="K96">
        <v>5601.5999999999995</v>
      </c>
      <c r="L96">
        <f t="shared" si="44"/>
        <v>1</v>
      </c>
      <c r="M96" s="23">
        <f t="shared" si="32"/>
        <v>5601.5999999999995</v>
      </c>
    </row>
    <row r="97" spans="1:13" ht="21" customHeight="1" outlineLevel="2" x14ac:dyDescent="0.25">
      <c r="A97" s="11" t="str">
        <f t="shared" si="45"/>
        <v>ВРУ-Инд. (ЩСП-9 Секция-1) (ЩСП-9 Секция-2)</v>
      </c>
      <c r="B97" s="12" t="s">
        <v>12</v>
      </c>
      <c r="C97" s="18"/>
      <c r="D97" s="11" t="s">
        <v>62</v>
      </c>
      <c r="E97" s="12">
        <v>9555</v>
      </c>
      <c r="F97" s="13">
        <f t="shared" si="46"/>
        <v>5733</v>
      </c>
      <c r="G97" s="13">
        <f t="shared" si="47"/>
        <v>5733</v>
      </c>
      <c r="H97" s="14">
        <v>1</v>
      </c>
      <c r="I97" s="15" t="s">
        <v>13</v>
      </c>
      <c r="J97" s="12" t="s">
        <v>36</v>
      </c>
      <c r="K97">
        <v>5733</v>
      </c>
      <c r="L97">
        <f t="shared" si="44"/>
        <v>1</v>
      </c>
      <c r="M97" s="23">
        <f t="shared" si="32"/>
        <v>5733</v>
      </c>
    </row>
    <row r="98" spans="1:13" ht="21" customHeight="1" outlineLevel="2" x14ac:dyDescent="0.25">
      <c r="A98" s="11" t="str">
        <f t="shared" si="45"/>
        <v>ВРУ-Инд. (ЩСП-9 Секция-1) (ЩСП-9 Секция-2)</v>
      </c>
      <c r="B98" s="12" t="s">
        <v>12</v>
      </c>
      <c r="C98" s="18"/>
      <c r="D98" s="11" t="s">
        <v>203</v>
      </c>
      <c r="E98" s="16">
        <v>2916</v>
      </c>
      <c r="F98" s="13">
        <f t="shared" si="46"/>
        <v>1749.6</v>
      </c>
      <c r="G98" s="13">
        <f t="shared" si="47"/>
        <v>5248.7999999999993</v>
      </c>
      <c r="H98" s="14">
        <v>3</v>
      </c>
      <c r="I98" s="15" t="s">
        <v>13</v>
      </c>
      <c r="J98" s="12" t="s">
        <v>36</v>
      </c>
      <c r="K98">
        <v>5248.7999999999993</v>
      </c>
      <c r="L98">
        <f t="shared" si="44"/>
        <v>1</v>
      </c>
      <c r="M98" s="23">
        <f t="shared" si="32"/>
        <v>5248.7999999999993</v>
      </c>
    </row>
    <row r="99" spans="1:13" ht="21" customHeight="1" outlineLevel="2" x14ac:dyDescent="0.25">
      <c r="A99" s="11" t="str">
        <f t="shared" si="45"/>
        <v>ВРУ-Инд. (ЩСП-9 Секция-1) (ЩСП-9 Секция-2)</v>
      </c>
      <c r="B99" s="12" t="s">
        <v>12</v>
      </c>
      <c r="C99" s="18"/>
      <c r="D99" s="11" t="s">
        <v>195</v>
      </c>
      <c r="E99" s="16">
        <v>2785</v>
      </c>
      <c r="F99" s="13">
        <f t="shared" si="46"/>
        <v>1671</v>
      </c>
      <c r="G99" s="13">
        <f t="shared" si="47"/>
        <v>10026</v>
      </c>
      <c r="H99" s="14">
        <v>6</v>
      </c>
      <c r="I99" s="15" t="s">
        <v>13</v>
      </c>
      <c r="J99" s="12" t="s">
        <v>36</v>
      </c>
      <c r="K99">
        <v>10026</v>
      </c>
      <c r="L99">
        <f t="shared" si="44"/>
        <v>1</v>
      </c>
      <c r="M99" s="23">
        <f t="shared" si="32"/>
        <v>10026</v>
      </c>
    </row>
    <row r="100" spans="1:13" ht="24" customHeight="1" outlineLevel="2" x14ac:dyDescent="0.25">
      <c r="A100" s="11" t="str">
        <f t="shared" si="45"/>
        <v>ВРУ-Инд. (ЩСП-9 Секция-1) (ЩСП-9 Секция-2)</v>
      </c>
      <c r="B100" s="11" t="s">
        <v>10</v>
      </c>
      <c r="C100" s="11" t="s">
        <v>10</v>
      </c>
      <c r="D100" s="11" t="s">
        <v>10</v>
      </c>
      <c r="E100" s="11">
        <f ca="1">OFFSET(E100,1,2)</f>
        <v>30000</v>
      </c>
      <c r="F100" s="13">
        <f ca="1">E100</f>
        <v>30000</v>
      </c>
      <c r="G100" s="13">
        <f ca="1">F100*H100</f>
        <v>30000</v>
      </c>
      <c r="H100" s="11">
        <v>1</v>
      </c>
      <c r="I100" s="11" t="s">
        <v>13</v>
      </c>
      <c r="J100" s="11" t="s">
        <v>10</v>
      </c>
      <c r="K100">
        <v>30000</v>
      </c>
      <c r="L100">
        <f t="shared" si="44"/>
        <v>1</v>
      </c>
      <c r="M100" s="23">
        <f t="shared" ca="1" si="32"/>
        <v>30000</v>
      </c>
    </row>
    <row r="101" spans="1:13" ht="21" customHeight="1" outlineLevel="2" x14ac:dyDescent="0.25">
      <c r="A101" s="11" t="str">
        <f t="shared" si="45"/>
        <v>ВРУ-Инд. (ЩСП-9 Секция-1) (ЩСП-9 Секция-2)</v>
      </c>
      <c r="B101" s="11" t="s">
        <v>11</v>
      </c>
      <c r="C101" s="11" t="s">
        <v>11</v>
      </c>
      <c r="D101" s="11" t="s">
        <v>11</v>
      </c>
      <c r="E101" s="11">
        <v>5</v>
      </c>
      <c r="F101" s="13">
        <v>100</v>
      </c>
      <c r="G101" s="13">
        <f t="shared" si="47"/>
        <v>30000</v>
      </c>
      <c r="H101" s="11">
        <f>60*E101</f>
        <v>300</v>
      </c>
      <c r="I101" s="11" t="s">
        <v>13</v>
      </c>
      <c r="J101" s="11" t="s">
        <v>11</v>
      </c>
      <c r="K101">
        <v>30000</v>
      </c>
      <c r="L101">
        <f t="shared" si="44"/>
        <v>1</v>
      </c>
      <c r="M101" s="23">
        <f t="shared" si="32"/>
        <v>30000</v>
      </c>
    </row>
    <row r="102" spans="1:13" ht="21" customHeight="1" outlineLevel="1" x14ac:dyDescent="0.25">
      <c r="A102" s="11" t="s">
        <v>284</v>
      </c>
      <c r="B102" s="11"/>
      <c r="C102" s="11"/>
      <c r="D102" s="11"/>
      <c r="E102" s="11"/>
      <c r="F102" s="13"/>
      <c r="G102" s="13">
        <f ca="1">SUBTOTAL(9,G93:G101)</f>
        <v>193080</v>
      </c>
      <c r="H102" s="11"/>
      <c r="I102" s="11"/>
      <c r="J102" s="11"/>
      <c r="K102">
        <v>193080</v>
      </c>
      <c r="L102">
        <f t="shared" si="44"/>
        <v>1</v>
      </c>
      <c r="M102" s="23">
        <f t="shared" ca="1" si="32"/>
        <v>193080</v>
      </c>
    </row>
    <row r="103" spans="1:13" ht="39.75" customHeight="1" outlineLevel="2" x14ac:dyDescent="0.25">
      <c r="A103" s="4" t="str">
        <f>D103</f>
        <v>ПР-инд (УКРМ-0,4-10 У3)  10 кВар 5х5 (9 секция)</v>
      </c>
      <c r="B103" s="5"/>
      <c r="C103" s="17"/>
      <c r="D103" s="5" t="s">
        <v>141</v>
      </c>
      <c r="E103" s="7"/>
      <c r="F103" s="7"/>
      <c r="G103" s="8"/>
      <c r="H103" s="9">
        <v>1</v>
      </c>
      <c r="I103" s="10" t="s">
        <v>7</v>
      </c>
      <c r="J103" s="5" t="s">
        <v>9</v>
      </c>
      <c r="L103">
        <f>H103</f>
        <v>1</v>
      </c>
      <c r="M103" s="23">
        <f t="shared" si="32"/>
        <v>0</v>
      </c>
    </row>
    <row r="104" spans="1:13" ht="39.75" customHeight="1" outlineLevel="1" x14ac:dyDescent="0.25">
      <c r="A104" s="4" t="s">
        <v>285</v>
      </c>
      <c r="B104" s="5"/>
      <c r="C104" s="17"/>
      <c r="D104" s="5"/>
      <c r="E104" s="7"/>
      <c r="F104" s="7"/>
      <c r="G104" s="8">
        <f>SUBTOTAL(9,G103:G103)</f>
        <v>0</v>
      </c>
      <c r="H104" s="9"/>
      <c r="I104" s="10"/>
      <c r="J104" s="5"/>
      <c r="K104">
        <v>0</v>
      </c>
      <c r="L104">
        <f>L103</f>
        <v>1</v>
      </c>
      <c r="M104" s="23">
        <f t="shared" si="32"/>
        <v>0</v>
      </c>
    </row>
    <row r="105" spans="1:13" ht="39.75" customHeight="1" outlineLevel="2" x14ac:dyDescent="0.25">
      <c r="A105" s="4" t="str">
        <f>D105</f>
        <v>Щит освещения (ПР) (9 секция)</v>
      </c>
      <c r="B105" s="5"/>
      <c r="C105" s="17"/>
      <c r="D105" s="5" t="s">
        <v>142</v>
      </c>
      <c r="E105" s="7"/>
      <c r="F105" s="7"/>
      <c r="G105" s="8"/>
      <c r="H105" s="9">
        <v>1</v>
      </c>
      <c r="I105" s="10" t="s">
        <v>7</v>
      </c>
      <c r="J105" s="5" t="s">
        <v>9</v>
      </c>
      <c r="L105">
        <f>H105</f>
        <v>1</v>
      </c>
      <c r="M105" s="23">
        <f t="shared" si="32"/>
        <v>0</v>
      </c>
    </row>
    <row r="106" spans="1:13" ht="21" customHeight="1" outlineLevel="2" x14ac:dyDescent="0.25">
      <c r="A106" s="11" t="str">
        <f>A105</f>
        <v>Щит освещения (ПР) (9 секция)</v>
      </c>
      <c r="B106" s="12" t="s">
        <v>8</v>
      </c>
      <c r="C106" s="18" t="s">
        <v>253</v>
      </c>
      <c r="D106" s="11" t="s">
        <v>88</v>
      </c>
      <c r="E106" s="12">
        <v>30500</v>
      </c>
      <c r="F106" s="13">
        <f>0.6*E106</f>
        <v>18300</v>
      </c>
      <c r="G106" s="13">
        <f>H106*F106</f>
        <v>18300</v>
      </c>
      <c r="H106" s="14">
        <v>1</v>
      </c>
      <c r="I106" s="15" t="s">
        <v>13</v>
      </c>
      <c r="J106" s="12" t="s">
        <v>16</v>
      </c>
      <c r="K106">
        <v>18300</v>
      </c>
      <c r="L106">
        <f t="shared" ref="L106:L113" si="48">L105</f>
        <v>1</v>
      </c>
      <c r="M106" s="23">
        <f t="shared" si="32"/>
        <v>18300</v>
      </c>
    </row>
    <row r="107" spans="1:13" ht="21" customHeight="1" outlineLevel="2" x14ac:dyDescent="0.25">
      <c r="A107" s="11" t="str">
        <f t="shared" ref="A107:A112" si="49">A106</f>
        <v>Щит освещения (ПР) (9 секция)</v>
      </c>
      <c r="B107" s="12" t="s">
        <v>64</v>
      </c>
      <c r="C107" s="18"/>
      <c r="D107" s="11" t="s">
        <v>208</v>
      </c>
      <c r="E107" s="16">
        <v>1496</v>
      </c>
      <c r="F107" s="13">
        <f t="shared" ref="F107:F110" si="50">E107*0.6</f>
        <v>897.6</v>
      </c>
      <c r="G107" s="13">
        <f>F107*H107</f>
        <v>897.6</v>
      </c>
      <c r="H107" s="14">
        <v>1</v>
      </c>
      <c r="I107" s="15" t="s">
        <v>13</v>
      </c>
      <c r="J107" s="12" t="s">
        <v>36</v>
      </c>
      <c r="K107">
        <v>897.6</v>
      </c>
      <c r="L107">
        <f t="shared" si="48"/>
        <v>1</v>
      </c>
      <c r="M107" s="23">
        <f t="shared" si="32"/>
        <v>897.6</v>
      </c>
    </row>
    <row r="108" spans="1:13" ht="21" customHeight="1" outlineLevel="2" x14ac:dyDescent="0.25">
      <c r="A108" s="11" t="str">
        <f t="shared" si="49"/>
        <v>Щит освещения (ПР) (9 секция)</v>
      </c>
      <c r="B108" s="12" t="s">
        <v>12</v>
      </c>
      <c r="C108" s="18"/>
      <c r="D108" s="11" t="s">
        <v>204</v>
      </c>
      <c r="E108" s="12">
        <v>732</v>
      </c>
      <c r="F108" s="13">
        <f t="shared" si="50"/>
        <v>439.2</v>
      </c>
      <c r="G108" s="13">
        <f t="shared" ref="G108:G112" si="51">F108*H108</f>
        <v>878.4</v>
      </c>
      <c r="H108" s="14">
        <v>2</v>
      </c>
      <c r="I108" s="15" t="s">
        <v>13</v>
      </c>
      <c r="J108" s="12" t="s">
        <v>36</v>
      </c>
      <c r="K108">
        <v>878.4</v>
      </c>
      <c r="L108">
        <f t="shared" si="48"/>
        <v>1</v>
      </c>
      <c r="M108" s="23">
        <f t="shared" si="32"/>
        <v>878.4</v>
      </c>
    </row>
    <row r="109" spans="1:13" ht="21" customHeight="1" outlineLevel="2" x14ac:dyDescent="0.25">
      <c r="A109" s="11" t="str">
        <f t="shared" si="49"/>
        <v>Щит освещения (ПР) (9 секция)</v>
      </c>
      <c r="B109" s="12" t="s">
        <v>18</v>
      </c>
      <c r="C109" s="18">
        <v>105542</v>
      </c>
      <c r="D109" s="11" t="s">
        <v>65</v>
      </c>
      <c r="E109" s="12">
        <v>3513</v>
      </c>
      <c r="F109" s="13">
        <f t="shared" si="50"/>
        <v>2107.7999999999997</v>
      </c>
      <c r="G109" s="13">
        <f t="shared" si="51"/>
        <v>2107.7999999999997</v>
      </c>
      <c r="H109" s="14">
        <v>1</v>
      </c>
      <c r="I109" s="15" t="s">
        <v>13</v>
      </c>
      <c r="J109" s="12" t="s">
        <v>36</v>
      </c>
      <c r="K109">
        <v>2107.7999999999997</v>
      </c>
      <c r="L109">
        <f t="shared" si="48"/>
        <v>1</v>
      </c>
      <c r="M109" s="23">
        <f t="shared" si="32"/>
        <v>2107.7999999999997</v>
      </c>
    </row>
    <row r="110" spans="1:13" ht="21" customHeight="1" outlineLevel="2" x14ac:dyDescent="0.25">
      <c r="A110" s="11" t="str">
        <f t="shared" si="49"/>
        <v>Щит освещения (ПР) (9 секция)</v>
      </c>
      <c r="B110" s="12" t="s">
        <v>12</v>
      </c>
      <c r="C110" s="18"/>
      <c r="D110" s="11" t="s">
        <v>195</v>
      </c>
      <c r="E110" s="16">
        <v>2785</v>
      </c>
      <c r="F110" s="13">
        <f t="shared" si="50"/>
        <v>1671</v>
      </c>
      <c r="G110" s="13">
        <f t="shared" si="51"/>
        <v>5013</v>
      </c>
      <c r="H110" s="14">
        <v>3</v>
      </c>
      <c r="I110" s="15" t="s">
        <v>13</v>
      </c>
      <c r="J110" s="12" t="s">
        <v>36</v>
      </c>
      <c r="K110">
        <v>5013</v>
      </c>
      <c r="L110">
        <f t="shared" si="48"/>
        <v>1</v>
      </c>
      <c r="M110" s="23">
        <f t="shared" si="32"/>
        <v>5013</v>
      </c>
    </row>
    <row r="111" spans="1:13" ht="24" customHeight="1" outlineLevel="2" x14ac:dyDescent="0.25">
      <c r="A111" s="11" t="str">
        <f t="shared" si="49"/>
        <v>Щит освещения (ПР) (9 секция)</v>
      </c>
      <c r="B111" s="11" t="s">
        <v>10</v>
      </c>
      <c r="C111" s="11" t="s">
        <v>10</v>
      </c>
      <c r="D111" s="11" t="s">
        <v>10</v>
      </c>
      <c r="E111" s="11">
        <f ca="1">OFFSET(E111,1,2)</f>
        <v>9000</v>
      </c>
      <c r="F111" s="13">
        <f ca="1">E111</f>
        <v>9000</v>
      </c>
      <c r="G111" s="13">
        <f ca="1">F111*H111</f>
        <v>9000</v>
      </c>
      <c r="H111" s="11">
        <v>1</v>
      </c>
      <c r="I111" s="11" t="s">
        <v>13</v>
      </c>
      <c r="J111" s="11" t="s">
        <v>10</v>
      </c>
      <c r="K111">
        <v>9000</v>
      </c>
      <c r="L111">
        <f t="shared" si="48"/>
        <v>1</v>
      </c>
      <c r="M111" s="23">
        <f t="shared" ca="1" si="32"/>
        <v>9000</v>
      </c>
    </row>
    <row r="112" spans="1:13" ht="21" customHeight="1" outlineLevel="2" x14ac:dyDescent="0.25">
      <c r="A112" s="11" t="str">
        <f t="shared" si="49"/>
        <v>Щит освещения (ПР) (9 секция)</v>
      </c>
      <c r="B112" s="11" t="s">
        <v>11</v>
      </c>
      <c r="C112" s="11" t="s">
        <v>11</v>
      </c>
      <c r="D112" s="11" t="s">
        <v>11</v>
      </c>
      <c r="E112" s="11">
        <v>1.5</v>
      </c>
      <c r="F112" s="13">
        <v>100</v>
      </c>
      <c r="G112" s="13">
        <f t="shared" si="51"/>
        <v>9000</v>
      </c>
      <c r="H112" s="11">
        <f>60*E112</f>
        <v>90</v>
      </c>
      <c r="I112" s="11" t="s">
        <v>13</v>
      </c>
      <c r="J112" s="11" t="s">
        <v>11</v>
      </c>
      <c r="K112">
        <v>9000</v>
      </c>
      <c r="L112">
        <f t="shared" si="48"/>
        <v>1</v>
      </c>
      <c r="M112" s="23">
        <f t="shared" si="32"/>
        <v>9000</v>
      </c>
    </row>
    <row r="113" spans="1:13" ht="21" customHeight="1" outlineLevel="1" x14ac:dyDescent="0.25">
      <c r="A113" s="11" t="s">
        <v>286</v>
      </c>
      <c r="B113" s="11"/>
      <c r="C113" s="11"/>
      <c r="D113" s="11"/>
      <c r="E113" s="11"/>
      <c r="F113" s="13"/>
      <c r="G113" s="13">
        <f ca="1">SUBTOTAL(9,G105:G112)</f>
        <v>45196.800000000003</v>
      </c>
      <c r="H113" s="11"/>
      <c r="I113" s="11"/>
      <c r="J113" s="11"/>
      <c r="K113">
        <v>45196.800000000003</v>
      </c>
      <c r="L113">
        <f t="shared" si="48"/>
        <v>1</v>
      </c>
      <c r="M113" s="23">
        <f t="shared" ca="1" si="32"/>
        <v>45196.800000000003</v>
      </c>
    </row>
    <row r="114" spans="1:13" ht="39.75" customHeight="1" outlineLevel="2" x14ac:dyDescent="0.25">
      <c r="A114" s="4" t="str">
        <f>D114</f>
        <v>ЩЭ1 (9 секция)</v>
      </c>
      <c r="B114" s="5"/>
      <c r="C114" s="17"/>
      <c r="D114" s="5" t="s">
        <v>143</v>
      </c>
      <c r="E114" s="7"/>
      <c r="F114" s="7"/>
      <c r="G114" s="8"/>
      <c r="H114" s="9">
        <v>1</v>
      </c>
      <c r="I114" s="10" t="s">
        <v>7</v>
      </c>
      <c r="J114" s="5" t="s">
        <v>9</v>
      </c>
      <c r="L114">
        <f>H114</f>
        <v>1</v>
      </c>
      <c r="M114" s="23">
        <f t="shared" si="32"/>
        <v>0</v>
      </c>
    </row>
    <row r="115" spans="1:13" ht="21" customHeight="1" outlineLevel="2" x14ac:dyDescent="0.25">
      <c r="A115" s="11" t="str">
        <f>A114</f>
        <v>ЩЭ1 (9 секция)</v>
      </c>
      <c r="B115" s="12" t="s">
        <v>8</v>
      </c>
      <c r="C115" s="18" t="s">
        <v>225</v>
      </c>
      <c r="D115" s="11" t="s">
        <v>224</v>
      </c>
      <c r="E115" s="12">
        <v>45000</v>
      </c>
      <c r="F115" s="13">
        <f>0.6*E115</f>
        <v>27000</v>
      </c>
      <c r="G115" s="13">
        <f>H115*F115</f>
        <v>27000</v>
      </c>
      <c r="H115" s="14">
        <v>1</v>
      </c>
      <c r="I115" s="15" t="s">
        <v>13</v>
      </c>
      <c r="J115" s="12" t="s">
        <v>16</v>
      </c>
      <c r="K115">
        <v>27000</v>
      </c>
      <c r="L115">
        <f t="shared" ref="L115:L120" si="52">L114</f>
        <v>1</v>
      </c>
      <c r="M115" s="23">
        <f t="shared" si="32"/>
        <v>27000</v>
      </c>
    </row>
    <row r="116" spans="1:13" ht="21" customHeight="1" outlineLevel="2" x14ac:dyDescent="0.25">
      <c r="A116" s="11" t="str">
        <f t="shared" ref="A116:A119" si="53">A115</f>
        <v>ЩЭ1 (9 секция)</v>
      </c>
      <c r="B116" s="12" t="s">
        <v>64</v>
      </c>
      <c r="C116" s="18">
        <v>193176</v>
      </c>
      <c r="D116" s="11" t="s">
        <v>66</v>
      </c>
      <c r="E116" s="12">
        <v>2093</v>
      </c>
      <c r="F116" s="13">
        <f t="shared" ref="F116:F117" si="54">E116*0.6</f>
        <v>1255.8</v>
      </c>
      <c r="G116" s="13">
        <f>F116*H116</f>
        <v>5023.2</v>
      </c>
      <c r="H116" s="14">
        <v>4</v>
      </c>
      <c r="I116" s="15" t="s">
        <v>13</v>
      </c>
      <c r="J116" s="12" t="s">
        <v>36</v>
      </c>
      <c r="K116">
        <v>5023.2</v>
      </c>
      <c r="L116">
        <f t="shared" si="52"/>
        <v>1</v>
      </c>
      <c r="M116" s="23">
        <f t="shared" si="32"/>
        <v>5023.2</v>
      </c>
    </row>
    <row r="117" spans="1:13" ht="21" customHeight="1" outlineLevel="2" x14ac:dyDescent="0.25">
      <c r="A117" s="11" t="str">
        <f t="shared" si="53"/>
        <v>ЩЭ1 (9 секция)</v>
      </c>
      <c r="B117" s="12" t="s">
        <v>12</v>
      </c>
      <c r="C117" s="18"/>
      <c r="D117" s="11" t="s">
        <v>200</v>
      </c>
      <c r="E117" s="16">
        <v>1922</v>
      </c>
      <c r="F117" s="13">
        <f t="shared" si="54"/>
        <v>1153.2</v>
      </c>
      <c r="G117" s="13">
        <f t="shared" ref="G117" si="55">F117*H117</f>
        <v>4612.8</v>
      </c>
      <c r="H117" s="14">
        <v>4</v>
      </c>
      <c r="I117" s="15" t="s">
        <v>13</v>
      </c>
      <c r="J117" s="12" t="s">
        <v>36</v>
      </c>
      <c r="K117">
        <v>4612.8</v>
      </c>
      <c r="L117">
        <f t="shared" si="52"/>
        <v>1</v>
      </c>
      <c r="M117" s="23">
        <f t="shared" si="32"/>
        <v>4612.8</v>
      </c>
    </row>
    <row r="118" spans="1:13" ht="24" customHeight="1" outlineLevel="2" x14ac:dyDescent="0.25">
      <c r="A118" s="11" t="str">
        <f t="shared" si="53"/>
        <v>ЩЭ1 (9 секция)</v>
      </c>
      <c r="B118" s="11" t="s">
        <v>10</v>
      </c>
      <c r="C118" s="11" t="s">
        <v>10</v>
      </c>
      <c r="D118" s="11" t="s">
        <v>10</v>
      </c>
      <c r="E118" s="11">
        <f ca="1">OFFSET(E118,1,2)</f>
        <v>24000</v>
      </c>
      <c r="F118" s="13">
        <f ca="1">E118</f>
        <v>24000</v>
      </c>
      <c r="G118" s="13">
        <f ca="1">F118*H118</f>
        <v>24000</v>
      </c>
      <c r="H118" s="11">
        <v>1</v>
      </c>
      <c r="I118" s="11" t="s">
        <v>13</v>
      </c>
      <c r="J118" s="11" t="s">
        <v>10</v>
      </c>
      <c r="K118">
        <v>24000</v>
      </c>
      <c r="L118">
        <f t="shared" si="52"/>
        <v>1</v>
      </c>
      <c r="M118" s="23">
        <f t="shared" ca="1" si="32"/>
        <v>24000</v>
      </c>
    </row>
    <row r="119" spans="1:13" ht="21" customHeight="1" outlineLevel="2" x14ac:dyDescent="0.25">
      <c r="A119" s="11" t="str">
        <f t="shared" si="53"/>
        <v>ЩЭ1 (9 секция)</v>
      </c>
      <c r="B119" s="11" t="s">
        <v>11</v>
      </c>
      <c r="C119" s="11" t="s">
        <v>11</v>
      </c>
      <c r="D119" s="11" t="s">
        <v>11</v>
      </c>
      <c r="E119" s="11">
        <v>4</v>
      </c>
      <c r="F119" s="13">
        <v>100</v>
      </c>
      <c r="G119" s="13">
        <f t="shared" ref="G119" si="56">F119*H119</f>
        <v>24000</v>
      </c>
      <c r="H119" s="11">
        <f>60*E119</f>
        <v>240</v>
      </c>
      <c r="I119" s="11" t="s">
        <v>13</v>
      </c>
      <c r="J119" s="11" t="s">
        <v>11</v>
      </c>
      <c r="K119">
        <v>24000</v>
      </c>
      <c r="L119">
        <f t="shared" si="52"/>
        <v>1</v>
      </c>
      <c r="M119" s="23">
        <f t="shared" si="32"/>
        <v>24000</v>
      </c>
    </row>
    <row r="120" spans="1:13" ht="21" customHeight="1" outlineLevel="1" x14ac:dyDescent="0.25">
      <c r="A120" s="11" t="s">
        <v>287</v>
      </c>
      <c r="B120" s="11"/>
      <c r="C120" s="11"/>
      <c r="D120" s="11"/>
      <c r="E120" s="11"/>
      <c r="F120" s="13"/>
      <c r="G120" s="13">
        <f ca="1">SUBTOTAL(9,G114:G119)</f>
        <v>84636</v>
      </c>
      <c r="H120" s="11"/>
      <c r="I120" s="11"/>
      <c r="J120" s="11"/>
      <c r="K120">
        <v>84636</v>
      </c>
      <c r="L120">
        <f t="shared" si="52"/>
        <v>1</v>
      </c>
      <c r="M120" s="23">
        <f t="shared" ca="1" si="32"/>
        <v>84636</v>
      </c>
    </row>
    <row r="121" spans="1:13" ht="39.75" customHeight="1" outlineLevel="2" x14ac:dyDescent="0.25">
      <c r="A121" s="4" t="str">
        <f>D121</f>
        <v>ЩЭ2 (9 секция)</v>
      </c>
      <c r="B121" s="5"/>
      <c r="C121" s="17"/>
      <c r="D121" s="5" t="s">
        <v>144</v>
      </c>
      <c r="E121" s="7"/>
      <c r="F121" s="7"/>
      <c r="G121" s="8"/>
      <c r="H121" s="9">
        <v>9</v>
      </c>
      <c r="I121" s="10" t="s">
        <v>7</v>
      </c>
      <c r="J121" s="5" t="s">
        <v>9</v>
      </c>
      <c r="L121">
        <f>H121</f>
        <v>9</v>
      </c>
      <c r="M121" s="23">
        <f t="shared" si="32"/>
        <v>0</v>
      </c>
    </row>
    <row r="122" spans="1:13" ht="21" customHeight="1" outlineLevel="2" x14ac:dyDescent="0.25">
      <c r="A122" s="11" t="str">
        <f>A121</f>
        <v>ЩЭ2 (9 секция)</v>
      </c>
      <c r="B122" s="12" t="s">
        <v>8</v>
      </c>
      <c r="C122" s="18" t="s">
        <v>227</v>
      </c>
      <c r="D122" s="11" t="s">
        <v>226</v>
      </c>
      <c r="E122" s="12">
        <v>44500</v>
      </c>
      <c r="F122" s="13">
        <f>0.6*E122</f>
        <v>26700</v>
      </c>
      <c r="G122" s="13">
        <f>H122*F122</f>
        <v>26700</v>
      </c>
      <c r="H122" s="14">
        <v>1</v>
      </c>
      <c r="I122" s="15" t="s">
        <v>13</v>
      </c>
      <c r="J122" s="12" t="s">
        <v>16</v>
      </c>
      <c r="K122">
        <v>26700</v>
      </c>
      <c r="L122">
        <f t="shared" ref="L122:L127" si="57">L121</f>
        <v>9</v>
      </c>
      <c r="M122" s="23">
        <f t="shared" si="32"/>
        <v>240300</v>
      </c>
    </row>
    <row r="123" spans="1:13" ht="21" customHeight="1" outlineLevel="2" x14ac:dyDescent="0.25">
      <c r="A123" s="11" t="str">
        <f t="shared" ref="A123:A126" si="58">A122</f>
        <v>ЩЭ2 (9 секция)</v>
      </c>
      <c r="B123" s="12" t="s">
        <v>64</v>
      </c>
      <c r="C123" s="18">
        <v>193176</v>
      </c>
      <c r="D123" s="11" t="s">
        <v>66</v>
      </c>
      <c r="E123" s="12">
        <v>2093</v>
      </c>
      <c r="F123" s="13">
        <f t="shared" ref="F123:F124" si="59">E123*0.6</f>
        <v>1255.8</v>
      </c>
      <c r="G123" s="13">
        <f>F123*H123</f>
        <v>6279</v>
      </c>
      <c r="H123" s="14">
        <v>5</v>
      </c>
      <c r="I123" s="15" t="s">
        <v>13</v>
      </c>
      <c r="J123" s="12" t="s">
        <v>36</v>
      </c>
      <c r="K123">
        <v>6279</v>
      </c>
      <c r="L123">
        <f t="shared" si="57"/>
        <v>9</v>
      </c>
      <c r="M123" s="23">
        <f t="shared" si="32"/>
        <v>56511</v>
      </c>
    </row>
    <row r="124" spans="1:13" ht="21" customHeight="1" outlineLevel="2" x14ac:dyDescent="0.25">
      <c r="A124" s="11" t="str">
        <f t="shared" si="58"/>
        <v>ЩЭ2 (9 секция)</v>
      </c>
      <c r="B124" s="12" t="s">
        <v>12</v>
      </c>
      <c r="C124" s="18"/>
      <c r="D124" s="11" t="s">
        <v>200</v>
      </c>
      <c r="E124" s="16">
        <v>1922</v>
      </c>
      <c r="F124" s="13">
        <f t="shared" si="59"/>
        <v>1153.2</v>
      </c>
      <c r="G124" s="13">
        <f t="shared" ref="G124" si="60">F124*H124</f>
        <v>5766</v>
      </c>
      <c r="H124" s="14">
        <v>5</v>
      </c>
      <c r="I124" s="15" t="s">
        <v>13</v>
      </c>
      <c r="J124" s="12" t="s">
        <v>36</v>
      </c>
      <c r="K124">
        <v>5766</v>
      </c>
      <c r="L124">
        <f t="shared" si="57"/>
        <v>9</v>
      </c>
      <c r="M124" s="23">
        <f t="shared" si="32"/>
        <v>51894</v>
      </c>
    </row>
    <row r="125" spans="1:13" ht="24" customHeight="1" outlineLevel="2" x14ac:dyDescent="0.25">
      <c r="A125" s="11" t="str">
        <f t="shared" si="58"/>
        <v>ЩЭ2 (9 секция)</v>
      </c>
      <c r="B125" s="11" t="s">
        <v>10</v>
      </c>
      <c r="C125" s="11" t="s">
        <v>10</v>
      </c>
      <c r="D125" s="11" t="s">
        <v>10</v>
      </c>
      <c r="E125" s="11">
        <f ca="1">OFFSET(E125,1,2)</f>
        <v>24000</v>
      </c>
      <c r="F125" s="13">
        <f ca="1">E125</f>
        <v>24000</v>
      </c>
      <c r="G125" s="13">
        <f ca="1">F125*H125</f>
        <v>24000</v>
      </c>
      <c r="H125" s="11">
        <v>1</v>
      </c>
      <c r="I125" s="11" t="s">
        <v>13</v>
      </c>
      <c r="J125" s="11" t="s">
        <v>10</v>
      </c>
      <c r="K125">
        <v>24000</v>
      </c>
      <c r="L125">
        <f t="shared" si="57"/>
        <v>9</v>
      </c>
      <c r="M125" s="23">
        <f t="shared" ca="1" si="32"/>
        <v>216000</v>
      </c>
    </row>
    <row r="126" spans="1:13" ht="21" customHeight="1" outlineLevel="2" x14ac:dyDescent="0.25">
      <c r="A126" s="11" t="str">
        <f t="shared" si="58"/>
        <v>ЩЭ2 (9 секция)</v>
      </c>
      <c r="B126" s="11" t="s">
        <v>11</v>
      </c>
      <c r="C126" s="11" t="s">
        <v>11</v>
      </c>
      <c r="D126" s="11" t="s">
        <v>11</v>
      </c>
      <c r="E126" s="11">
        <v>4</v>
      </c>
      <c r="F126" s="13">
        <v>100</v>
      </c>
      <c r="G126" s="13">
        <f t="shared" ref="G126" si="61">F126*H126</f>
        <v>24000</v>
      </c>
      <c r="H126" s="11">
        <f>60*E126</f>
        <v>240</v>
      </c>
      <c r="I126" s="11" t="s">
        <v>13</v>
      </c>
      <c r="J126" s="11" t="s">
        <v>11</v>
      </c>
      <c r="K126">
        <v>24000</v>
      </c>
      <c r="L126">
        <f t="shared" si="57"/>
        <v>9</v>
      </c>
      <c r="M126" s="23">
        <f t="shared" si="32"/>
        <v>216000</v>
      </c>
    </row>
    <row r="127" spans="1:13" ht="21" customHeight="1" outlineLevel="1" x14ac:dyDescent="0.25">
      <c r="A127" s="11" t="s">
        <v>288</v>
      </c>
      <c r="B127" s="11"/>
      <c r="C127" s="11"/>
      <c r="D127" s="11"/>
      <c r="E127" s="11"/>
      <c r="F127" s="13"/>
      <c r="G127" s="13">
        <f ca="1">SUBTOTAL(9,G121:G126)</f>
        <v>86745</v>
      </c>
      <c r="H127" s="11"/>
      <c r="I127" s="11"/>
      <c r="J127" s="11"/>
      <c r="K127">
        <v>86745</v>
      </c>
      <c r="L127">
        <f t="shared" si="57"/>
        <v>9</v>
      </c>
      <c r="M127" s="23">
        <f t="shared" ca="1" si="32"/>
        <v>780705</v>
      </c>
    </row>
    <row r="128" spans="1:13" ht="39.75" customHeight="1" outlineLevel="2" x14ac:dyDescent="0.25">
      <c r="A128" s="4" t="str">
        <f>D128</f>
        <v>ЩЭ3 (9 секция)</v>
      </c>
      <c r="B128" s="5"/>
      <c r="C128" s="17"/>
      <c r="D128" s="5" t="s">
        <v>145</v>
      </c>
      <c r="E128" s="7"/>
      <c r="F128" s="7"/>
      <c r="G128" s="8"/>
      <c r="H128" s="9">
        <v>8</v>
      </c>
      <c r="I128" s="10" t="s">
        <v>7</v>
      </c>
      <c r="J128" s="5" t="s">
        <v>9</v>
      </c>
      <c r="L128">
        <f>H128</f>
        <v>8</v>
      </c>
      <c r="M128" s="23">
        <f t="shared" si="32"/>
        <v>0</v>
      </c>
    </row>
    <row r="129" spans="1:13" ht="21" customHeight="1" outlineLevel="2" x14ac:dyDescent="0.25">
      <c r="A129" s="11" t="str">
        <f>A128</f>
        <v>ЩЭ3 (9 секция)</v>
      </c>
      <c r="B129" s="12" t="s">
        <v>8</v>
      </c>
      <c r="C129" s="18" t="s">
        <v>231</v>
      </c>
      <c r="D129" s="11" t="s">
        <v>230</v>
      </c>
      <c r="E129" s="12">
        <v>47000</v>
      </c>
      <c r="F129" s="13">
        <f>0.6*E129</f>
        <v>28200</v>
      </c>
      <c r="G129" s="13">
        <f>H129*F129</f>
        <v>28200</v>
      </c>
      <c r="H129" s="14">
        <v>1</v>
      </c>
      <c r="I129" s="15" t="s">
        <v>13</v>
      </c>
      <c r="J129" s="12" t="s">
        <v>16</v>
      </c>
      <c r="K129">
        <v>28200</v>
      </c>
      <c r="L129">
        <f t="shared" ref="L129:L134" si="62">L128</f>
        <v>8</v>
      </c>
      <c r="M129" s="23">
        <f t="shared" si="32"/>
        <v>225600</v>
      </c>
    </row>
    <row r="130" spans="1:13" ht="21" customHeight="1" outlineLevel="2" x14ac:dyDescent="0.25">
      <c r="A130" s="11" t="str">
        <f t="shared" ref="A130:A133" si="63">A129</f>
        <v>ЩЭ3 (9 секция)</v>
      </c>
      <c r="B130" s="12" t="s">
        <v>64</v>
      </c>
      <c r="C130" s="18">
        <v>193176</v>
      </c>
      <c r="D130" s="11" t="s">
        <v>66</v>
      </c>
      <c r="E130" s="12">
        <v>2093</v>
      </c>
      <c r="F130" s="13">
        <f t="shared" ref="F130:F131" si="64">E130*0.6</f>
        <v>1255.8</v>
      </c>
      <c r="G130" s="13">
        <f>F130*H130</f>
        <v>7534.7999999999993</v>
      </c>
      <c r="H130" s="14">
        <v>6</v>
      </c>
      <c r="I130" s="15" t="s">
        <v>13</v>
      </c>
      <c r="J130" s="12" t="s">
        <v>36</v>
      </c>
      <c r="K130">
        <v>7534.7999999999993</v>
      </c>
      <c r="L130">
        <f t="shared" si="62"/>
        <v>8</v>
      </c>
      <c r="M130" s="23">
        <f t="shared" si="32"/>
        <v>60278.399999999994</v>
      </c>
    </row>
    <row r="131" spans="1:13" ht="21" customHeight="1" outlineLevel="2" x14ac:dyDescent="0.25">
      <c r="A131" s="11" t="str">
        <f t="shared" si="63"/>
        <v>ЩЭ3 (9 секция)</v>
      </c>
      <c r="B131" s="12" t="s">
        <v>12</v>
      </c>
      <c r="C131" s="18"/>
      <c r="D131" s="11" t="s">
        <v>200</v>
      </c>
      <c r="E131" s="16">
        <v>1922</v>
      </c>
      <c r="F131" s="13">
        <f t="shared" si="64"/>
        <v>1153.2</v>
      </c>
      <c r="G131" s="13">
        <f t="shared" ref="G131" si="65">F131*H131</f>
        <v>6919.2000000000007</v>
      </c>
      <c r="H131" s="14">
        <v>6</v>
      </c>
      <c r="I131" s="15" t="s">
        <v>13</v>
      </c>
      <c r="J131" s="12" t="s">
        <v>36</v>
      </c>
      <c r="K131">
        <v>6919.2000000000007</v>
      </c>
      <c r="L131">
        <f t="shared" si="62"/>
        <v>8</v>
      </c>
      <c r="M131" s="23">
        <f t="shared" ref="M131:M194" si="66">L131*G131</f>
        <v>55353.600000000006</v>
      </c>
    </row>
    <row r="132" spans="1:13" ht="24" customHeight="1" outlineLevel="2" x14ac:dyDescent="0.25">
      <c r="A132" s="11" t="str">
        <f t="shared" si="63"/>
        <v>ЩЭ3 (9 секция)</v>
      </c>
      <c r="B132" s="11" t="s">
        <v>10</v>
      </c>
      <c r="C132" s="11" t="s">
        <v>10</v>
      </c>
      <c r="D132" s="11" t="s">
        <v>10</v>
      </c>
      <c r="E132" s="11">
        <f ca="1">OFFSET(E132,1,2)</f>
        <v>24000</v>
      </c>
      <c r="F132" s="13">
        <f ca="1">E132</f>
        <v>24000</v>
      </c>
      <c r="G132" s="13">
        <f ca="1">F132*H132</f>
        <v>24000</v>
      </c>
      <c r="H132" s="11">
        <v>1</v>
      </c>
      <c r="I132" s="11" t="s">
        <v>13</v>
      </c>
      <c r="J132" s="11" t="s">
        <v>10</v>
      </c>
      <c r="K132">
        <v>24000</v>
      </c>
      <c r="L132">
        <f t="shared" si="62"/>
        <v>8</v>
      </c>
      <c r="M132" s="23">
        <f t="shared" ca="1" si="66"/>
        <v>192000</v>
      </c>
    </row>
    <row r="133" spans="1:13" ht="21" customHeight="1" outlineLevel="2" x14ac:dyDescent="0.25">
      <c r="A133" s="11" t="str">
        <f t="shared" si="63"/>
        <v>ЩЭ3 (9 секция)</v>
      </c>
      <c r="B133" s="11" t="s">
        <v>11</v>
      </c>
      <c r="C133" s="11" t="s">
        <v>11</v>
      </c>
      <c r="D133" s="11" t="s">
        <v>11</v>
      </c>
      <c r="E133" s="11">
        <v>4</v>
      </c>
      <c r="F133" s="13">
        <v>100</v>
      </c>
      <c r="G133" s="13">
        <f t="shared" ref="G133" si="67">F133*H133</f>
        <v>24000</v>
      </c>
      <c r="H133" s="11">
        <f>60*E133</f>
        <v>240</v>
      </c>
      <c r="I133" s="11" t="s">
        <v>13</v>
      </c>
      <c r="J133" s="11" t="s">
        <v>11</v>
      </c>
      <c r="K133">
        <v>24000</v>
      </c>
      <c r="L133">
        <f t="shared" si="62"/>
        <v>8</v>
      </c>
      <c r="M133" s="23">
        <f t="shared" si="66"/>
        <v>192000</v>
      </c>
    </row>
    <row r="134" spans="1:13" ht="21" customHeight="1" outlineLevel="1" x14ac:dyDescent="0.25">
      <c r="A134" s="11" t="s">
        <v>289</v>
      </c>
      <c r="B134" s="11"/>
      <c r="C134" s="11"/>
      <c r="D134" s="11"/>
      <c r="E134" s="11"/>
      <c r="F134" s="13"/>
      <c r="G134" s="13">
        <f ca="1">SUBTOTAL(9,G128:G133)</f>
        <v>90654</v>
      </c>
      <c r="H134" s="11"/>
      <c r="I134" s="11"/>
      <c r="J134" s="11"/>
      <c r="K134">
        <v>90654</v>
      </c>
      <c r="L134">
        <f t="shared" si="62"/>
        <v>8</v>
      </c>
      <c r="M134" s="23">
        <f t="shared" ca="1" si="66"/>
        <v>725232</v>
      </c>
    </row>
    <row r="135" spans="1:13" ht="39.75" customHeight="1" outlineLevel="2" x14ac:dyDescent="0.25">
      <c r="A135" s="4" t="str">
        <f>D135</f>
        <v>ЩК (9 секция)</v>
      </c>
      <c r="B135" s="5"/>
      <c r="C135" s="17"/>
      <c r="D135" s="5" t="s">
        <v>146</v>
      </c>
      <c r="E135" s="7"/>
      <c r="F135" s="7"/>
      <c r="G135" s="8"/>
      <c r="H135" s="9">
        <v>97</v>
      </c>
      <c r="I135" s="10" t="s">
        <v>7</v>
      </c>
      <c r="J135" s="5" t="s">
        <v>9</v>
      </c>
      <c r="L135">
        <f>H135</f>
        <v>97</v>
      </c>
      <c r="M135" s="23">
        <f t="shared" si="66"/>
        <v>0</v>
      </c>
    </row>
    <row r="136" spans="1:13" ht="21" customHeight="1" outlineLevel="2" x14ac:dyDescent="0.25">
      <c r="A136" s="11" t="str">
        <f>A135</f>
        <v>ЩК (9 секция)</v>
      </c>
      <c r="B136" s="12" t="s">
        <v>8</v>
      </c>
      <c r="C136" s="18" t="s">
        <v>223</v>
      </c>
      <c r="D136" s="11" t="s">
        <v>222</v>
      </c>
      <c r="E136" s="12">
        <v>10050</v>
      </c>
      <c r="F136" s="13">
        <f>E136*0.6</f>
        <v>6030</v>
      </c>
      <c r="G136" s="13">
        <f>H136*F136</f>
        <v>6030</v>
      </c>
      <c r="H136" s="14">
        <v>1</v>
      </c>
      <c r="I136" s="15" t="s">
        <v>13</v>
      </c>
      <c r="J136" s="12" t="s">
        <v>262</v>
      </c>
      <c r="K136">
        <v>6030</v>
      </c>
      <c r="L136">
        <f t="shared" ref="L136:L143" si="68">L135</f>
        <v>97</v>
      </c>
      <c r="M136" s="23">
        <f t="shared" si="66"/>
        <v>584910</v>
      </c>
    </row>
    <row r="137" spans="1:13" ht="21" customHeight="1" outlineLevel="2" x14ac:dyDescent="0.25">
      <c r="A137" s="11" t="str">
        <f t="shared" ref="A137" si="69">A136</f>
        <v>ЩК (9 секция)</v>
      </c>
      <c r="B137" s="12" t="s">
        <v>12</v>
      </c>
      <c r="C137" s="18"/>
      <c r="D137" s="11" t="s">
        <v>199</v>
      </c>
      <c r="E137" s="16">
        <v>1671</v>
      </c>
      <c r="F137" s="13">
        <f t="shared" ref="F137:F140" si="70">E137*0.6</f>
        <v>1002.5999999999999</v>
      </c>
      <c r="G137" s="13">
        <f t="shared" ref="G137" si="71">F137*H137</f>
        <v>1002.5999999999999</v>
      </c>
      <c r="H137" s="14">
        <v>1</v>
      </c>
      <c r="I137" s="15" t="s">
        <v>13</v>
      </c>
      <c r="J137" s="12" t="s">
        <v>36</v>
      </c>
      <c r="K137">
        <v>1002.5999999999999</v>
      </c>
      <c r="L137">
        <f t="shared" si="68"/>
        <v>97</v>
      </c>
      <c r="M137" s="23">
        <f t="shared" si="66"/>
        <v>97252.2</v>
      </c>
    </row>
    <row r="138" spans="1:13" ht="21" customHeight="1" outlineLevel="2" x14ac:dyDescent="0.25">
      <c r="A138" s="11" t="str">
        <f t="shared" ref="A138:A142" si="72">A137</f>
        <v>ЩК (9 секция)</v>
      </c>
      <c r="B138" s="12" t="s">
        <v>12</v>
      </c>
      <c r="C138" s="18"/>
      <c r="D138" s="11" t="s">
        <v>197</v>
      </c>
      <c r="E138" s="12">
        <v>710</v>
      </c>
      <c r="F138" s="13">
        <f t="shared" si="70"/>
        <v>426</v>
      </c>
      <c r="G138" s="13">
        <f t="shared" ref="G138:G139" si="73">F138*H138</f>
        <v>426</v>
      </c>
      <c r="H138" s="14">
        <v>1</v>
      </c>
      <c r="I138" s="15" t="s">
        <v>13</v>
      </c>
      <c r="J138" s="12" t="s">
        <v>36</v>
      </c>
      <c r="K138">
        <v>426</v>
      </c>
      <c r="L138">
        <f t="shared" si="68"/>
        <v>97</v>
      </c>
      <c r="M138" s="23">
        <f t="shared" si="66"/>
        <v>41322</v>
      </c>
    </row>
    <row r="139" spans="1:13" ht="21" customHeight="1" outlineLevel="2" x14ac:dyDescent="0.25">
      <c r="A139" s="11" t="str">
        <f t="shared" si="72"/>
        <v>ЩК (9 секция)</v>
      </c>
      <c r="B139" s="12" t="s">
        <v>18</v>
      </c>
      <c r="C139" s="18">
        <v>105546</v>
      </c>
      <c r="D139" s="11" t="s">
        <v>67</v>
      </c>
      <c r="E139" s="12">
        <v>3513</v>
      </c>
      <c r="F139" s="13">
        <f t="shared" si="70"/>
        <v>2107.7999999999997</v>
      </c>
      <c r="G139" s="13">
        <f t="shared" si="73"/>
        <v>2107.7999999999997</v>
      </c>
      <c r="H139" s="14">
        <v>1</v>
      </c>
      <c r="I139" s="15" t="s">
        <v>13</v>
      </c>
      <c r="J139" s="12" t="s">
        <v>36</v>
      </c>
      <c r="K139">
        <v>2107.7999999999997</v>
      </c>
      <c r="L139">
        <f t="shared" si="68"/>
        <v>97</v>
      </c>
      <c r="M139" s="23">
        <f t="shared" si="66"/>
        <v>204456.59999999998</v>
      </c>
    </row>
    <row r="140" spans="1:13" ht="21" customHeight="1" outlineLevel="2" x14ac:dyDescent="0.25">
      <c r="A140" s="11" t="str">
        <f t="shared" ref="A140" si="74">A139</f>
        <v>ЩК (9 секция)</v>
      </c>
      <c r="B140" s="12" t="s">
        <v>18</v>
      </c>
      <c r="C140" s="18">
        <v>105544</v>
      </c>
      <c r="D140" s="11" t="s">
        <v>68</v>
      </c>
      <c r="E140" s="12">
        <v>3331</v>
      </c>
      <c r="F140" s="13">
        <f t="shared" si="70"/>
        <v>1998.6</v>
      </c>
      <c r="G140" s="13">
        <f t="shared" ref="G140" si="75">F140*H140</f>
        <v>7994.4</v>
      </c>
      <c r="H140" s="14">
        <v>4</v>
      </c>
      <c r="I140" s="15" t="s">
        <v>13</v>
      </c>
      <c r="J140" s="12" t="s">
        <v>36</v>
      </c>
      <c r="K140">
        <v>7994.4</v>
      </c>
      <c r="L140">
        <f t="shared" si="68"/>
        <v>97</v>
      </c>
      <c r="M140" s="23">
        <f t="shared" si="66"/>
        <v>775456.79999999993</v>
      </c>
    </row>
    <row r="141" spans="1:13" ht="24" customHeight="1" outlineLevel="2" x14ac:dyDescent="0.25">
      <c r="A141" s="11" t="str">
        <f>A138</f>
        <v>ЩК (9 секция)</v>
      </c>
      <c r="B141" s="11" t="s">
        <v>10</v>
      </c>
      <c r="C141" s="11" t="s">
        <v>10</v>
      </c>
      <c r="D141" s="11" t="s">
        <v>10</v>
      </c>
      <c r="E141" s="11">
        <f ca="1">OFFSET(E141,1,2)</f>
        <v>6000</v>
      </c>
      <c r="F141" s="13">
        <f ca="1">E141</f>
        <v>6000</v>
      </c>
      <c r="G141" s="13">
        <f ca="1">F141*H141</f>
        <v>6000</v>
      </c>
      <c r="H141" s="11">
        <v>1</v>
      </c>
      <c r="I141" s="11" t="s">
        <v>13</v>
      </c>
      <c r="J141" s="11" t="s">
        <v>10</v>
      </c>
      <c r="K141">
        <v>6000</v>
      </c>
      <c r="L141">
        <f t="shared" si="68"/>
        <v>97</v>
      </c>
      <c r="M141" s="23">
        <f t="shared" ca="1" si="66"/>
        <v>582000</v>
      </c>
    </row>
    <row r="142" spans="1:13" ht="21" customHeight="1" outlineLevel="2" x14ac:dyDescent="0.25">
      <c r="A142" s="11" t="str">
        <f t="shared" si="72"/>
        <v>ЩК (9 секция)</v>
      </c>
      <c r="B142" s="11" t="s">
        <v>11</v>
      </c>
      <c r="C142" s="11" t="s">
        <v>11</v>
      </c>
      <c r="D142" s="11" t="s">
        <v>11</v>
      </c>
      <c r="E142" s="11">
        <v>1</v>
      </c>
      <c r="F142" s="13">
        <v>100</v>
      </c>
      <c r="G142" s="13">
        <f t="shared" ref="G142" si="76">F142*H142</f>
        <v>6000</v>
      </c>
      <c r="H142" s="11">
        <f>60*E142</f>
        <v>60</v>
      </c>
      <c r="I142" s="11" t="s">
        <v>13</v>
      </c>
      <c r="J142" s="11" t="s">
        <v>11</v>
      </c>
      <c r="K142">
        <v>6000</v>
      </c>
      <c r="L142">
        <f t="shared" si="68"/>
        <v>97</v>
      </c>
      <c r="M142" s="23">
        <f t="shared" si="66"/>
        <v>582000</v>
      </c>
    </row>
    <row r="143" spans="1:13" ht="21" customHeight="1" outlineLevel="1" x14ac:dyDescent="0.25">
      <c r="A143" s="11" t="s">
        <v>290</v>
      </c>
      <c r="B143" s="11"/>
      <c r="C143" s="11"/>
      <c r="D143" s="11"/>
      <c r="E143" s="11"/>
      <c r="F143" s="13"/>
      <c r="G143" s="13">
        <f ca="1">SUBTOTAL(9,G135:G142)</f>
        <v>29560.799999999999</v>
      </c>
      <c r="H143" s="11"/>
      <c r="I143" s="11"/>
      <c r="J143" s="11"/>
      <c r="K143">
        <v>29560.799999999999</v>
      </c>
      <c r="L143">
        <f t="shared" si="68"/>
        <v>97</v>
      </c>
      <c r="M143" s="23">
        <f t="shared" ca="1" si="66"/>
        <v>2867397.6</v>
      </c>
    </row>
    <row r="144" spans="1:13" ht="39.75" customHeight="1" outlineLevel="2" x14ac:dyDescent="0.25">
      <c r="A144" s="4" t="str">
        <f>D144</f>
        <v>ЩО1ж; ЩО2ж (9 секция)</v>
      </c>
      <c r="B144" s="5"/>
      <c r="C144" s="17"/>
      <c r="D144" s="5" t="s">
        <v>147</v>
      </c>
      <c r="E144" s="7"/>
      <c r="F144" s="7"/>
      <c r="G144" s="8"/>
      <c r="H144" s="9">
        <v>2</v>
      </c>
      <c r="I144" s="10" t="s">
        <v>7</v>
      </c>
      <c r="J144" s="5" t="s">
        <v>9</v>
      </c>
      <c r="L144">
        <f>H144</f>
        <v>2</v>
      </c>
      <c r="M144" s="23">
        <f t="shared" si="66"/>
        <v>0</v>
      </c>
    </row>
    <row r="145" spans="1:13" ht="21" customHeight="1" outlineLevel="2" x14ac:dyDescent="0.25">
      <c r="A145" s="11" t="str">
        <f>A144</f>
        <v>ЩО1ж; ЩО2ж (9 секция)</v>
      </c>
      <c r="B145" s="12" t="s">
        <v>8</v>
      </c>
      <c r="C145" s="18" t="s">
        <v>254</v>
      </c>
      <c r="D145" s="11" t="s">
        <v>255</v>
      </c>
      <c r="E145" s="12">
        <v>10500</v>
      </c>
      <c r="F145" s="13">
        <f>0.6*E145</f>
        <v>6300</v>
      </c>
      <c r="G145" s="13">
        <f>H145*F145</f>
        <v>6300</v>
      </c>
      <c r="H145" s="14">
        <v>1</v>
      </c>
      <c r="I145" s="15" t="s">
        <v>13</v>
      </c>
      <c r="J145" s="12" t="s">
        <v>16</v>
      </c>
      <c r="K145">
        <v>6300</v>
      </c>
      <c r="L145">
        <f t="shared" ref="L145:L150" si="77">L144</f>
        <v>2</v>
      </c>
      <c r="M145" s="23">
        <f t="shared" si="66"/>
        <v>12600</v>
      </c>
    </row>
    <row r="146" spans="1:13" ht="21" customHeight="1" outlineLevel="2" x14ac:dyDescent="0.25">
      <c r="A146" s="11" t="str">
        <f t="shared" ref="A146:A147" si="78">A145</f>
        <v>ЩО1ж; ЩО2ж (9 секция)</v>
      </c>
      <c r="B146" s="12" t="s">
        <v>64</v>
      </c>
      <c r="C146" s="18">
        <v>193180</v>
      </c>
      <c r="D146" s="11" t="s">
        <v>60</v>
      </c>
      <c r="E146" s="12">
        <v>2493</v>
      </c>
      <c r="F146" s="13">
        <f t="shared" ref="F146:F147" si="79">E146*0.6</f>
        <v>1495.8</v>
      </c>
      <c r="G146" s="13">
        <f t="shared" ref="G146:G147" si="80">F146*H146</f>
        <v>1495.8</v>
      </c>
      <c r="H146" s="14">
        <v>1</v>
      </c>
      <c r="I146" s="15" t="s">
        <v>13</v>
      </c>
      <c r="J146" s="12" t="s">
        <v>36</v>
      </c>
      <c r="K146">
        <v>1495.8</v>
      </c>
      <c r="L146">
        <f t="shared" si="77"/>
        <v>2</v>
      </c>
      <c r="M146" s="23">
        <f t="shared" si="66"/>
        <v>2991.6</v>
      </c>
    </row>
    <row r="147" spans="1:13" ht="21" customHeight="1" outlineLevel="2" x14ac:dyDescent="0.25">
      <c r="A147" s="11" t="str">
        <f t="shared" si="78"/>
        <v>ЩО1ж; ЩО2ж (9 секция)</v>
      </c>
      <c r="B147" s="12" t="s">
        <v>12</v>
      </c>
      <c r="C147" s="18">
        <v>296709</v>
      </c>
      <c r="D147" s="11" t="s">
        <v>196</v>
      </c>
      <c r="E147" s="12">
        <v>699</v>
      </c>
      <c r="F147" s="13">
        <f t="shared" si="79"/>
        <v>419.4</v>
      </c>
      <c r="G147" s="13">
        <f t="shared" si="80"/>
        <v>2516.3999999999996</v>
      </c>
      <c r="H147" s="14">
        <v>6</v>
      </c>
      <c r="I147" s="15" t="s">
        <v>13</v>
      </c>
      <c r="J147" s="12" t="s">
        <v>36</v>
      </c>
      <c r="K147">
        <v>2516.3999999999996</v>
      </c>
      <c r="L147">
        <f t="shared" si="77"/>
        <v>2</v>
      </c>
      <c r="M147" s="23">
        <f t="shared" si="66"/>
        <v>5032.7999999999993</v>
      </c>
    </row>
    <row r="148" spans="1:13" ht="24" customHeight="1" outlineLevel="2" x14ac:dyDescent="0.25">
      <c r="A148" s="11" t="str">
        <f>A147</f>
        <v>ЩО1ж; ЩО2ж (9 секция)</v>
      </c>
      <c r="B148" s="11" t="s">
        <v>10</v>
      </c>
      <c r="C148" s="11" t="s">
        <v>10</v>
      </c>
      <c r="D148" s="11" t="s">
        <v>10</v>
      </c>
      <c r="E148" s="11">
        <f ca="1">OFFSET(E148,1,2)</f>
        <v>6000</v>
      </c>
      <c r="F148" s="13">
        <f ca="1">E148</f>
        <v>6000</v>
      </c>
      <c r="G148" s="13">
        <f ca="1">F148*H148</f>
        <v>6000</v>
      </c>
      <c r="H148" s="11">
        <v>1</v>
      </c>
      <c r="I148" s="11" t="s">
        <v>13</v>
      </c>
      <c r="J148" s="11" t="s">
        <v>10</v>
      </c>
      <c r="K148">
        <v>6000</v>
      </c>
      <c r="L148">
        <f t="shared" si="77"/>
        <v>2</v>
      </c>
      <c r="M148" s="23">
        <f t="shared" ca="1" si="66"/>
        <v>12000</v>
      </c>
    </row>
    <row r="149" spans="1:13" ht="21" customHeight="1" outlineLevel="2" x14ac:dyDescent="0.25">
      <c r="A149" s="11" t="str">
        <f t="shared" ref="A149" si="81">A148</f>
        <v>ЩО1ж; ЩО2ж (9 секция)</v>
      </c>
      <c r="B149" s="11" t="s">
        <v>11</v>
      </c>
      <c r="C149" s="11" t="s">
        <v>11</v>
      </c>
      <c r="D149" s="11" t="s">
        <v>11</v>
      </c>
      <c r="E149" s="11">
        <v>1</v>
      </c>
      <c r="F149" s="13">
        <v>100</v>
      </c>
      <c r="G149" s="13">
        <f t="shared" ref="G149" si="82">F149*H149</f>
        <v>6000</v>
      </c>
      <c r="H149" s="11">
        <f>60*E149</f>
        <v>60</v>
      </c>
      <c r="I149" s="11" t="s">
        <v>13</v>
      </c>
      <c r="J149" s="11" t="s">
        <v>11</v>
      </c>
      <c r="K149">
        <v>6000</v>
      </c>
      <c r="L149">
        <f t="shared" si="77"/>
        <v>2</v>
      </c>
      <c r="M149" s="23">
        <f t="shared" si="66"/>
        <v>12000</v>
      </c>
    </row>
    <row r="150" spans="1:13" ht="21" customHeight="1" outlineLevel="1" x14ac:dyDescent="0.25">
      <c r="A150" s="11" t="s">
        <v>291</v>
      </c>
      <c r="B150" s="11"/>
      <c r="C150" s="11"/>
      <c r="D150" s="11"/>
      <c r="E150" s="11"/>
      <c r="F150" s="13"/>
      <c r="G150" s="13">
        <f ca="1">SUBTOTAL(9,G144:G149)</f>
        <v>22312.2</v>
      </c>
      <c r="H150" s="11"/>
      <c r="I150" s="11"/>
      <c r="J150" s="11"/>
      <c r="K150">
        <v>22312.2</v>
      </c>
      <c r="L150">
        <f t="shared" si="77"/>
        <v>2</v>
      </c>
      <c r="M150" s="23">
        <f t="shared" ca="1" si="66"/>
        <v>44624.4</v>
      </c>
    </row>
    <row r="151" spans="1:13" ht="39.75" customHeight="1" outlineLevel="2" x14ac:dyDescent="0.25">
      <c r="A151" s="4" t="str">
        <f>D151</f>
        <v>ЩАО1ж; ЩАО2ж (9 секция)</v>
      </c>
      <c r="B151" s="5"/>
      <c r="C151" s="17"/>
      <c r="D151" s="5" t="s">
        <v>209</v>
      </c>
      <c r="E151" s="7"/>
      <c r="F151" s="7"/>
      <c r="G151" s="8"/>
      <c r="H151" s="9">
        <v>2</v>
      </c>
      <c r="I151" s="10" t="s">
        <v>7</v>
      </c>
      <c r="J151" s="5" t="s">
        <v>9</v>
      </c>
      <c r="L151">
        <f>H151</f>
        <v>2</v>
      </c>
      <c r="M151" s="23">
        <f t="shared" si="66"/>
        <v>0</v>
      </c>
    </row>
    <row r="152" spans="1:13" ht="21" customHeight="1" outlineLevel="2" x14ac:dyDescent="0.25">
      <c r="A152" s="11" t="str">
        <f>A151</f>
        <v>ЩАО1ж; ЩАО2ж (9 секция)</v>
      </c>
      <c r="B152" s="12" t="s">
        <v>8</v>
      </c>
      <c r="C152" s="18" t="s">
        <v>254</v>
      </c>
      <c r="D152" s="11" t="s">
        <v>255</v>
      </c>
      <c r="E152" s="12">
        <v>10500</v>
      </c>
      <c r="F152" s="13">
        <f>0.6*E152</f>
        <v>6300</v>
      </c>
      <c r="G152" s="13">
        <f>H152*F152</f>
        <v>6300</v>
      </c>
      <c r="H152" s="14">
        <v>1</v>
      </c>
      <c r="I152" s="15" t="s">
        <v>13</v>
      </c>
      <c r="J152" s="12" t="s">
        <v>16</v>
      </c>
      <c r="K152">
        <v>6300</v>
      </c>
      <c r="L152">
        <f t="shared" ref="L152:L157" si="83">L151</f>
        <v>2</v>
      </c>
      <c r="M152" s="23">
        <f t="shared" si="66"/>
        <v>12600</v>
      </c>
    </row>
    <row r="153" spans="1:13" ht="21" customHeight="1" outlineLevel="2" x14ac:dyDescent="0.25">
      <c r="A153" s="11" t="str">
        <f t="shared" ref="A153:A154" si="84">A152</f>
        <v>ЩАО1ж; ЩАО2ж (9 секция)</v>
      </c>
      <c r="B153" s="12" t="s">
        <v>64</v>
      </c>
      <c r="C153" s="18">
        <v>193180</v>
      </c>
      <c r="D153" s="11" t="s">
        <v>60</v>
      </c>
      <c r="E153" s="12">
        <v>2493</v>
      </c>
      <c r="F153" s="13">
        <f t="shared" ref="F153:F154" si="85">E153*0.6</f>
        <v>1495.8</v>
      </c>
      <c r="G153" s="13">
        <f t="shared" ref="G153:G154" si="86">F153*H153</f>
        <v>1495.8</v>
      </c>
      <c r="H153" s="14">
        <v>1</v>
      </c>
      <c r="I153" s="15" t="s">
        <v>13</v>
      </c>
      <c r="J153" s="12" t="s">
        <v>36</v>
      </c>
      <c r="K153">
        <v>1495.8</v>
      </c>
      <c r="L153">
        <f t="shared" si="83"/>
        <v>2</v>
      </c>
      <c r="M153" s="23">
        <f t="shared" si="66"/>
        <v>2991.6</v>
      </c>
    </row>
    <row r="154" spans="1:13" ht="21" customHeight="1" outlineLevel="2" x14ac:dyDescent="0.25">
      <c r="A154" s="11" t="str">
        <f t="shared" si="84"/>
        <v>ЩАО1ж; ЩАО2ж (9 секция)</v>
      </c>
      <c r="B154" s="12" t="s">
        <v>12</v>
      </c>
      <c r="C154" s="18">
        <v>296709</v>
      </c>
      <c r="D154" s="11" t="s">
        <v>196</v>
      </c>
      <c r="E154" s="12">
        <v>699</v>
      </c>
      <c r="F154" s="13">
        <f t="shared" si="85"/>
        <v>419.4</v>
      </c>
      <c r="G154" s="13">
        <f t="shared" si="86"/>
        <v>1677.6</v>
      </c>
      <c r="H154" s="14">
        <v>4</v>
      </c>
      <c r="I154" s="15" t="s">
        <v>13</v>
      </c>
      <c r="J154" s="12" t="s">
        <v>36</v>
      </c>
      <c r="K154">
        <v>1677.6</v>
      </c>
      <c r="L154">
        <f t="shared" si="83"/>
        <v>2</v>
      </c>
      <c r="M154" s="23">
        <f t="shared" si="66"/>
        <v>3355.2</v>
      </c>
    </row>
    <row r="155" spans="1:13" ht="24" customHeight="1" outlineLevel="2" x14ac:dyDescent="0.25">
      <c r="A155" s="11" t="str">
        <f>A154</f>
        <v>ЩАО1ж; ЩАО2ж (9 секция)</v>
      </c>
      <c r="B155" s="11" t="s">
        <v>10</v>
      </c>
      <c r="C155" s="11" t="s">
        <v>10</v>
      </c>
      <c r="D155" s="11" t="s">
        <v>10</v>
      </c>
      <c r="E155" s="11">
        <f ca="1">OFFSET(E155,1,2)</f>
        <v>6000</v>
      </c>
      <c r="F155" s="13">
        <f ca="1">E155</f>
        <v>6000</v>
      </c>
      <c r="G155" s="13">
        <f ca="1">F155*H155</f>
        <v>6000</v>
      </c>
      <c r="H155" s="11">
        <v>1</v>
      </c>
      <c r="I155" s="11" t="s">
        <v>13</v>
      </c>
      <c r="J155" s="11" t="s">
        <v>10</v>
      </c>
      <c r="K155">
        <v>6000</v>
      </c>
      <c r="L155">
        <f t="shared" si="83"/>
        <v>2</v>
      </c>
      <c r="M155" s="23">
        <f t="shared" ca="1" si="66"/>
        <v>12000</v>
      </c>
    </row>
    <row r="156" spans="1:13" ht="21" customHeight="1" outlineLevel="2" x14ac:dyDescent="0.25">
      <c r="A156" s="11" t="str">
        <f t="shared" ref="A156" si="87">A155</f>
        <v>ЩАО1ж; ЩАО2ж (9 секция)</v>
      </c>
      <c r="B156" s="11" t="s">
        <v>11</v>
      </c>
      <c r="C156" s="11" t="s">
        <v>11</v>
      </c>
      <c r="D156" s="11" t="s">
        <v>11</v>
      </c>
      <c r="E156" s="11">
        <v>1</v>
      </c>
      <c r="F156" s="13">
        <v>100</v>
      </c>
      <c r="G156" s="13">
        <f t="shared" ref="G156" si="88">F156*H156</f>
        <v>6000</v>
      </c>
      <c r="H156" s="11">
        <f>60*E156</f>
        <v>60</v>
      </c>
      <c r="I156" s="11" t="s">
        <v>13</v>
      </c>
      <c r="J156" s="11" t="s">
        <v>11</v>
      </c>
      <c r="K156">
        <v>6000</v>
      </c>
      <c r="L156">
        <f t="shared" si="83"/>
        <v>2</v>
      </c>
      <c r="M156" s="23">
        <f t="shared" si="66"/>
        <v>12000</v>
      </c>
    </row>
    <row r="157" spans="1:13" ht="21" customHeight="1" outlineLevel="1" x14ac:dyDescent="0.25">
      <c r="A157" s="11" t="s">
        <v>292</v>
      </c>
      <c r="B157" s="11"/>
      <c r="C157" s="11"/>
      <c r="D157" s="11"/>
      <c r="E157" s="11"/>
      <c r="F157" s="13"/>
      <c r="G157" s="13">
        <f ca="1">SUBTOTAL(9,G151:G156)</f>
        <v>21473.4</v>
      </c>
      <c r="H157" s="11"/>
      <c r="I157" s="11"/>
      <c r="J157" s="11"/>
      <c r="K157">
        <v>21473.4</v>
      </c>
      <c r="L157">
        <f t="shared" si="83"/>
        <v>2</v>
      </c>
      <c r="M157" s="23">
        <f t="shared" ca="1" si="66"/>
        <v>42946.8</v>
      </c>
    </row>
    <row r="158" spans="1:13" ht="39.75" customHeight="1" outlineLevel="2" x14ac:dyDescent="0.25">
      <c r="A158" s="4" t="str">
        <f>D158</f>
        <v>Шкаф ЯРП-Инд (ЯРВ-100А) 460х250х145  IP31</v>
      </c>
      <c r="B158" s="5"/>
      <c r="C158" s="17"/>
      <c r="D158" s="5" t="s">
        <v>210</v>
      </c>
      <c r="E158" s="7"/>
      <c r="F158" s="7"/>
      <c r="G158" s="8"/>
      <c r="H158" s="9">
        <v>1</v>
      </c>
      <c r="I158" s="10" t="s">
        <v>7</v>
      </c>
      <c r="J158" s="5" t="s">
        <v>9</v>
      </c>
      <c r="L158">
        <f>H158</f>
        <v>1</v>
      </c>
      <c r="M158" s="23">
        <f t="shared" si="66"/>
        <v>0</v>
      </c>
    </row>
    <row r="159" spans="1:13" ht="39.75" customHeight="1" outlineLevel="1" x14ac:dyDescent="0.25">
      <c r="A159" s="4" t="s">
        <v>293</v>
      </c>
      <c r="B159" s="5"/>
      <c r="C159" s="17"/>
      <c r="D159" s="5"/>
      <c r="E159" s="7"/>
      <c r="F159" s="7"/>
      <c r="G159" s="8">
        <f>SUBTOTAL(9,G158:G158)</f>
        <v>0</v>
      </c>
      <c r="H159" s="9"/>
      <c r="I159" s="10"/>
      <c r="J159" s="5"/>
      <c r="K159">
        <v>0</v>
      </c>
      <c r="L159">
        <f>L158</f>
        <v>1</v>
      </c>
      <c r="M159" s="23">
        <f t="shared" si="66"/>
        <v>0</v>
      </c>
    </row>
    <row r="160" spans="1:13" ht="39.75" customHeight="1" outlineLevel="2" x14ac:dyDescent="0.25">
      <c r="A160" s="4" t="str">
        <f>D160</f>
        <v>ЩУ-Т1 (9 секция)</v>
      </c>
      <c r="B160" s="5"/>
      <c r="C160" s="17"/>
      <c r="D160" s="5" t="s">
        <v>148</v>
      </c>
      <c r="E160" s="7"/>
      <c r="F160" s="7"/>
      <c r="G160" s="8"/>
      <c r="H160" s="9">
        <v>1</v>
      </c>
      <c r="I160" s="10" t="s">
        <v>7</v>
      </c>
      <c r="J160" s="5" t="s">
        <v>9</v>
      </c>
      <c r="L160">
        <f>H160</f>
        <v>1</v>
      </c>
      <c r="M160" s="23">
        <f t="shared" si="66"/>
        <v>0</v>
      </c>
    </row>
    <row r="161" spans="1:13" ht="21" customHeight="1" outlineLevel="2" x14ac:dyDescent="0.25">
      <c r="A161" s="11" t="str">
        <f>A160</f>
        <v>ЩУ-Т1 (9 секция)</v>
      </c>
      <c r="B161" s="12" t="s">
        <v>8</v>
      </c>
      <c r="C161" s="18" t="s">
        <v>254</v>
      </c>
      <c r="D161" s="11" t="s">
        <v>255</v>
      </c>
      <c r="E161" s="12">
        <v>10500</v>
      </c>
      <c r="F161" s="13">
        <f>0.6*E161</f>
        <v>6300</v>
      </c>
      <c r="G161" s="13">
        <f>H161*F161</f>
        <v>6300</v>
      </c>
      <c r="H161" s="14">
        <v>1</v>
      </c>
      <c r="I161" s="15" t="s">
        <v>13</v>
      </c>
      <c r="J161" s="12" t="s">
        <v>16</v>
      </c>
      <c r="K161">
        <v>6300</v>
      </c>
      <c r="L161">
        <f t="shared" ref="L161:L169" si="89">L160</f>
        <v>1</v>
      </c>
      <c r="M161" s="23">
        <f t="shared" si="66"/>
        <v>6300</v>
      </c>
    </row>
    <row r="162" spans="1:13" ht="21" customHeight="1" outlineLevel="2" x14ac:dyDescent="0.25">
      <c r="A162" s="11" t="str">
        <f t="shared" ref="A162" si="90">A161</f>
        <v>ЩУ-Т1 (9 секция)</v>
      </c>
      <c r="B162" s="12" t="s">
        <v>18</v>
      </c>
      <c r="C162" s="18">
        <v>105542</v>
      </c>
      <c r="D162" s="11" t="s">
        <v>65</v>
      </c>
      <c r="E162" s="12">
        <v>3513</v>
      </c>
      <c r="F162" s="13">
        <f t="shared" ref="F162:F165" si="91">E162*0.6</f>
        <v>2107.7999999999997</v>
      </c>
      <c r="G162" s="13">
        <f t="shared" ref="G162" si="92">F162*H162</f>
        <v>2107.7999999999997</v>
      </c>
      <c r="H162" s="14">
        <v>1</v>
      </c>
      <c r="I162" s="15" t="s">
        <v>13</v>
      </c>
      <c r="J162" s="12" t="s">
        <v>36</v>
      </c>
      <c r="K162">
        <v>2107.7999999999997</v>
      </c>
      <c r="L162">
        <f t="shared" si="89"/>
        <v>1</v>
      </c>
      <c r="M162" s="23">
        <f t="shared" si="66"/>
        <v>2107.7999999999997</v>
      </c>
    </row>
    <row r="163" spans="1:13" ht="21" customHeight="1" outlineLevel="2" x14ac:dyDescent="0.25">
      <c r="A163" s="11" t="str">
        <f t="shared" ref="A163" si="93">A162</f>
        <v>ЩУ-Т1 (9 секция)</v>
      </c>
      <c r="B163" s="12" t="s">
        <v>12</v>
      </c>
      <c r="C163" s="18"/>
      <c r="D163" s="11" t="s">
        <v>198</v>
      </c>
      <c r="E163" s="16">
        <v>1660</v>
      </c>
      <c r="F163" s="13">
        <f t="shared" si="91"/>
        <v>996</v>
      </c>
      <c r="G163" s="13">
        <f t="shared" ref="G163" si="94">F163*H163</f>
        <v>996</v>
      </c>
      <c r="H163" s="14">
        <v>1</v>
      </c>
      <c r="I163" s="15" t="s">
        <v>13</v>
      </c>
      <c r="J163" s="12" t="s">
        <v>36</v>
      </c>
      <c r="K163">
        <v>996</v>
      </c>
      <c r="L163">
        <f t="shared" si="89"/>
        <v>1</v>
      </c>
      <c r="M163" s="23">
        <f t="shared" si="66"/>
        <v>996</v>
      </c>
    </row>
    <row r="164" spans="1:13" ht="21" customHeight="1" outlineLevel="2" x14ac:dyDescent="0.25">
      <c r="A164" s="11" t="str">
        <f t="shared" ref="A164" si="95">A163</f>
        <v>ЩУ-Т1 (9 секция)</v>
      </c>
      <c r="B164" s="12" t="s">
        <v>12</v>
      </c>
      <c r="C164" s="18">
        <v>296708</v>
      </c>
      <c r="D164" s="11" t="s">
        <v>31</v>
      </c>
      <c r="E164" s="12">
        <v>828</v>
      </c>
      <c r="F164" s="13">
        <f t="shared" si="91"/>
        <v>496.79999999999995</v>
      </c>
      <c r="G164" s="13">
        <f t="shared" ref="G164" si="96">F164*H164</f>
        <v>496.79999999999995</v>
      </c>
      <c r="H164" s="14">
        <v>1</v>
      </c>
      <c r="I164" s="15" t="s">
        <v>13</v>
      </c>
      <c r="J164" s="12" t="s">
        <v>36</v>
      </c>
      <c r="K164">
        <v>496.79999999999995</v>
      </c>
      <c r="L164">
        <f t="shared" si="89"/>
        <v>1</v>
      </c>
      <c r="M164" s="23">
        <f t="shared" si="66"/>
        <v>496.79999999999995</v>
      </c>
    </row>
    <row r="165" spans="1:13" ht="21" customHeight="1" outlineLevel="2" x14ac:dyDescent="0.25">
      <c r="A165" s="11" t="str">
        <f t="shared" ref="A165" si="97">A164</f>
        <v>ЩУ-Т1 (9 секция)</v>
      </c>
      <c r="B165" s="12" t="s">
        <v>21</v>
      </c>
      <c r="C165" s="18" t="s">
        <v>70</v>
      </c>
      <c r="D165" s="11" t="s">
        <v>69</v>
      </c>
      <c r="E165" s="12">
        <v>3505</v>
      </c>
      <c r="F165" s="13">
        <f t="shared" si="91"/>
        <v>2103</v>
      </c>
      <c r="G165" s="13">
        <f t="shared" ref="G165:G166" si="98">F165*H165</f>
        <v>2103</v>
      </c>
      <c r="H165" s="14">
        <v>1</v>
      </c>
      <c r="I165" s="15" t="s">
        <v>13</v>
      </c>
      <c r="J165" s="12" t="s">
        <v>36</v>
      </c>
      <c r="K165">
        <v>2103</v>
      </c>
      <c r="L165">
        <f t="shared" si="89"/>
        <v>1</v>
      </c>
      <c r="M165" s="23">
        <f t="shared" si="66"/>
        <v>2103</v>
      </c>
    </row>
    <row r="166" spans="1:13" ht="21" customHeight="1" outlineLevel="2" x14ac:dyDescent="0.25">
      <c r="A166" s="11" t="str">
        <f>A162</f>
        <v>ЩУ-Т1 (9 секция)</v>
      </c>
      <c r="B166" s="12" t="s">
        <v>71</v>
      </c>
      <c r="C166" s="18" t="s">
        <v>264</v>
      </c>
      <c r="D166" s="11" t="s">
        <v>263</v>
      </c>
      <c r="E166" s="16">
        <v>19505</v>
      </c>
      <c r="F166" s="13">
        <f>E166</f>
        <v>19505</v>
      </c>
      <c r="G166" s="13">
        <f t="shared" si="98"/>
        <v>19505</v>
      </c>
      <c r="H166" s="14">
        <v>1</v>
      </c>
      <c r="I166" s="15" t="s">
        <v>13</v>
      </c>
      <c r="J166" s="12" t="s">
        <v>20</v>
      </c>
      <c r="K166">
        <v>19505</v>
      </c>
      <c r="L166">
        <f t="shared" si="89"/>
        <v>1</v>
      </c>
      <c r="M166" s="23">
        <f t="shared" si="66"/>
        <v>19505</v>
      </c>
    </row>
    <row r="167" spans="1:13" ht="24" customHeight="1" outlineLevel="2" x14ac:dyDescent="0.25">
      <c r="A167" s="11" t="str">
        <f>A163</f>
        <v>ЩУ-Т1 (9 секция)</v>
      </c>
      <c r="B167" s="11" t="s">
        <v>10</v>
      </c>
      <c r="C167" s="11" t="s">
        <v>10</v>
      </c>
      <c r="D167" s="11" t="s">
        <v>10</v>
      </c>
      <c r="E167" s="11">
        <f ca="1">OFFSET(E167,1,2)</f>
        <v>6000</v>
      </c>
      <c r="F167" s="13">
        <f ca="1">E167</f>
        <v>6000</v>
      </c>
      <c r="G167" s="13">
        <f ca="1">F167*H167</f>
        <v>6000</v>
      </c>
      <c r="H167" s="11">
        <v>1</v>
      </c>
      <c r="I167" s="11" t="s">
        <v>13</v>
      </c>
      <c r="J167" s="11" t="s">
        <v>10</v>
      </c>
      <c r="K167">
        <v>6000</v>
      </c>
      <c r="L167">
        <f t="shared" si="89"/>
        <v>1</v>
      </c>
      <c r="M167" s="23">
        <f t="shared" ca="1" si="66"/>
        <v>6000</v>
      </c>
    </row>
    <row r="168" spans="1:13" ht="21" customHeight="1" outlineLevel="2" x14ac:dyDescent="0.25">
      <c r="A168" s="11" t="str">
        <f t="shared" ref="A168" si="99">A167</f>
        <v>ЩУ-Т1 (9 секция)</v>
      </c>
      <c r="B168" s="11" t="s">
        <v>11</v>
      </c>
      <c r="C168" s="11" t="s">
        <v>11</v>
      </c>
      <c r="D168" s="11" t="s">
        <v>11</v>
      </c>
      <c r="E168" s="11">
        <v>1</v>
      </c>
      <c r="F168" s="13">
        <v>100</v>
      </c>
      <c r="G168" s="13">
        <f t="shared" ref="G168" si="100">F168*H168</f>
        <v>6000</v>
      </c>
      <c r="H168" s="11">
        <f>60*E168</f>
        <v>60</v>
      </c>
      <c r="I168" s="11" t="s">
        <v>13</v>
      </c>
      <c r="J168" s="11" t="s">
        <v>11</v>
      </c>
      <c r="K168">
        <v>6000</v>
      </c>
      <c r="L168">
        <f t="shared" si="89"/>
        <v>1</v>
      </c>
      <c r="M168" s="23">
        <f t="shared" si="66"/>
        <v>6000</v>
      </c>
    </row>
    <row r="169" spans="1:13" ht="21" customHeight="1" outlineLevel="1" x14ac:dyDescent="0.25">
      <c r="A169" s="11" t="s">
        <v>294</v>
      </c>
      <c r="B169" s="11"/>
      <c r="C169" s="11"/>
      <c r="D169" s="11"/>
      <c r="E169" s="11"/>
      <c r="F169" s="13"/>
      <c r="G169" s="13">
        <f ca="1">SUBTOTAL(9,G160:G168)</f>
        <v>43508.6</v>
      </c>
      <c r="H169" s="11"/>
      <c r="I169" s="11"/>
      <c r="J169" s="11"/>
      <c r="K169">
        <v>43508.6</v>
      </c>
      <c r="L169">
        <f t="shared" si="89"/>
        <v>1</v>
      </c>
      <c r="M169" s="23">
        <f t="shared" ca="1" si="66"/>
        <v>43508.6</v>
      </c>
    </row>
    <row r="170" spans="1:13" ht="39.75" customHeight="1" outlineLevel="2" x14ac:dyDescent="0.25">
      <c r="A170" s="4" t="str">
        <f>D170</f>
        <v>ЩЭ1 (10 секция)</v>
      </c>
      <c r="B170" s="5"/>
      <c r="C170" s="17"/>
      <c r="D170" s="5" t="s">
        <v>149</v>
      </c>
      <c r="E170" s="7"/>
      <c r="F170" s="7"/>
      <c r="G170" s="8"/>
      <c r="H170" s="9">
        <v>1</v>
      </c>
      <c r="I170" s="10" t="s">
        <v>7</v>
      </c>
      <c r="J170" s="5" t="s">
        <v>9</v>
      </c>
      <c r="L170">
        <f>H170</f>
        <v>1</v>
      </c>
      <c r="M170" s="23">
        <f t="shared" si="66"/>
        <v>0</v>
      </c>
    </row>
    <row r="171" spans="1:13" ht="21" customHeight="1" outlineLevel="2" x14ac:dyDescent="0.25">
      <c r="A171" s="11" t="str">
        <f>A170</f>
        <v>ЩЭ1 (10 секция)</v>
      </c>
      <c r="B171" s="12" t="s">
        <v>8</v>
      </c>
      <c r="C171" s="18" t="s">
        <v>225</v>
      </c>
      <c r="D171" s="11" t="s">
        <v>224</v>
      </c>
      <c r="E171" s="12">
        <v>45000</v>
      </c>
      <c r="F171" s="13">
        <f>0.6*E171</f>
        <v>27000</v>
      </c>
      <c r="G171" s="13">
        <f>H171*F171</f>
        <v>27000</v>
      </c>
      <c r="H171" s="14">
        <v>1</v>
      </c>
      <c r="I171" s="15" t="s">
        <v>13</v>
      </c>
      <c r="J171" s="12" t="s">
        <v>16</v>
      </c>
      <c r="K171">
        <v>27000</v>
      </c>
      <c r="L171">
        <f t="shared" ref="L171:L176" si="101">L170</f>
        <v>1</v>
      </c>
      <c r="M171" s="23">
        <f t="shared" si="66"/>
        <v>27000</v>
      </c>
    </row>
    <row r="172" spans="1:13" ht="21" customHeight="1" outlineLevel="2" x14ac:dyDescent="0.25">
      <c r="A172" s="11" t="str">
        <f t="shared" ref="A172:A175" si="102">A171</f>
        <v>ЩЭ1 (10 секция)</v>
      </c>
      <c r="B172" s="12" t="s">
        <v>64</v>
      </c>
      <c r="C172" s="18">
        <v>193176</v>
      </c>
      <c r="D172" s="11" t="s">
        <v>66</v>
      </c>
      <c r="E172" s="12">
        <v>2093</v>
      </c>
      <c r="F172" s="13">
        <f t="shared" ref="F172:F173" si="103">E172*0.6</f>
        <v>1255.8</v>
      </c>
      <c r="G172" s="13">
        <f>F172*H172</f>
        <v>5023.2</v>
      </c>
      <c r="H172" s="14">
        <v>4</v>
      </c>
      <c r="I172" s="15" t="s">
        <v>13</v>
      </c>
      <c r="J172" s="12" t="s">
        <v>36</v>
      </c>
      <c r="K172">
        <v>5023.2</v>
      </c>
      <c r="L172">
        <f t="shared" si="101"/>
        <v>1</v>
      </c>
      <c r="M172" s="23">
        <f t="shared" si="66"/>
        <v>5023.2</v>
      </c>
    </row>
    <row r="173" spans="1:13" ht="21" customHeight="1" outlineLevel="2" x14ac:dyDescent="0.25">
      <c r="A173" s="11" t="str">
        <f t="shared" si="102"/>
        <v>ЩЭ1 (10 секция)</v>
      </c>
      <c r="B173" s="12" t="s">
        <v>12</v>
      </c>
      <c r="C173" s="18"/>
      <c r="D173" s="11" t="s">
        <v>200</v>
      </c>
      <c r="E173" s="16">
        <v>1922</v>
      </c>
      <c r="F173" s="13">
        <f t="shared" si="103"/>
        <v>1153.2</v>
      </c>
      <c r="G173" s="13">
        <f t="shared" ref="G173" si="104">F173*H173</f>
        <v>4612.8</v>
      </c>
      <c r="H173" s="14">
        <v>4</v>
      </c>
      <c r="I173" s="15" t="s">
        <v>13</v>
      </c>
      <c r="J173" s="12" t="s">
        <v>36</v>
      </c>
      <c r="K173">
        <v>4612.8</v>
      </c>
      <c r="L173">
        <f t="shared" si="101"/>
        <v>1</v>
      </c>
      <c r="M173" s="23">
        <f t="shared" si="66"/>
        <v>4612.8</v>
      </c>
    </row>
    <row r="174" spans="1:13" ht="24" customHeight="1" outlineLevel="2" x14ac:dyDescent="0.25">
      <c r="A174" s="11" t="str">
        <f t="shared" si="102"/>
        <v>ЩЭ1 (10 секция)</v>
      </c>
      <c r="B174" s="11" t="s">
        <v>10</v>
      </c>
      <c r="C174" s="11" t="s">
        <v>10</v>
      </c>
      <c r="D174" s="11" t="s">
        <v>10</v>
      </c>
      <c r="E174" s="11">
        <f ca="1">OFFSET(E174,1,2)</f>
        <v>24000</v>
      </c>
      <c r="F174" s="13">
        <f ca="1">E174</f>
        <v>24000</v>
      </c>
      <c r="G174" s="13">
        <f ca="1">F174*H174</f>
        <v>24000</v>
      </c>
      <c r="H174" s="11">
        <v>1</v>
      </c>
      <c r="I174" s="11" t="s">
        <v>13</v>
      </c>
      <c r="J174" s="11" t="s">
        <v>10</v>
      </c>
      <c r="K174">
        <v>24000</v>
      </c>
      <c r="L174">
        <f t="shared" si="101"/>
        <v>1</v>
      </c>
      <c r="M174" s="23">
        <f t="shared" ca="1" si="66"/>
        <v>24000</v>
      </c>
    </row>
    <row r="175" spans="1:13" ht="21" customHeight="1" outlineLevel="2" x14ac:dyDescent="0.25">
      <c r="A175" s="11" t="str">
        <f t="shared" si="102"/>
        <v>ЩЭ1 (10 секция)</v>
      </c>
      <c r="B175" s="11" t="s">
        <v>11</v>
      </c>
      <c r="C175" s="11" t="s">
        <v>11</v>
      </c>
      <c r="D175" s="11" t="s">
        <v>11</v>
      </c>
      <c r="E175" s="11">
        <v>4</v>
      </c>
      <c r="F175" s="13">
        <v>100</v>
      </c>
      <c r="G175" s="13">
        <f t="shared" ref="G175" si="105">F175*H175</f>
        <v>24000</v>
      </c>
      <c r="H175" s="11">
        <f>60*E175</f>
        <v>240</v>
      </c>
      <c r="I175" s="11" t="s">
        <v>13</v>
      </c>
      <c r="J175" s="11" t="s">
        <v>11</v>
      </c>
      <c r="K175">
        <v>24000</v>
      </c>
      <c r="L175">
        <f t="shared" si="101"/>
        <v>1</v>
      </c>
      <c r="M175" s="23">
        <f t="shared" si="66"/>
        <v>24000</v>
      </c>
    </row>
    <row r="176" spans="1:13" ht="21" customHeight="1" outlineLevel="1" x14ac:dyDescent="0.25">
      <c r="A176" s="11" t="s">
        <v>295</v>
      </c>
      <c r="B176" s="11"/>
      <c r="C176" s="11"/>
      <c r="D176" s="11"/>
      <c r="E176" s="11"/>
      <c r="F176" s="13"/>
      <c r="G176" s="13">
        <f ca="1">SUBTOTAL(9,G170:G175)</f>
        <v>84636</v>
      </c>
      <c r="H176" s="11"/>
      <c r="I176" s="11"/>
      <c r="J176" s="11"/>
      <c r="K176">
        <v>84636</v>
      </c>
      <c r="L176">
        <f t="shared" si="101"/>
        <v>1</v>
      </c>
      <c r="M176" s="23">
        <f t="shared" ca="1" si="66"/>
        <v>84636</v>
      </c>
    </row>
    <row r="177" spans="1:13" ht="39.75" customHeight="1" outlineLevel="2" x14ac:dyDescent="0.25">
      <c r="A177" s="4" t="str">
        <f>D177</f>
        <v>ЩЭ2 (10 секция)</v>
      </c>
      <c r="B177" s="5"/>
      <c r="C177" s="17"/>
      <c r="D177" s="5" t="s">
        <v>211</v>
      </c>
      <c r="E177" s="7"/>
      <c r="F177" s="7"/>
      <c r="G177" s="8"/>
      <c r="H177" s="9">
        <v>8</v>
      </c>
      <c r="I177" s="10" t="s">
        <v>7</v>
      </c>
      <c r="J177" s="5" t="s">
        <v>9</v>
      </c>
      <c r="L177">
        <f>H177</f>
        <v>8</v>
      </c>
      <c r="M177" s="23">
        <f t="shared" si="66"/>
        <v>0</v>
      </c>
    </row>
    <row r="178" spans="1:13" ht="21" customHeight="1" outlineLevel="2" x14ac:dyDescent="0.25">
      <c r="A178" s="11" t="str">
        <f>A177</f>
        <v>ЩЭ2 (10 секция)</v>
      </c>
      <c r="B178" s="12" t="s">
        <v>8</v>
      </c>
      <c r="C178" s="18" t="s">
        <v>227</v>
      </c>
      <c r="D178" s="11" t="s">
        <v>226</v>
      </c>
      <c r="E178" s="12">
        <v>44500</v>
      </c>
      <c r="F178" s="13">
        <f>0.6*E178</f>
        <v>26700</v>
      </c>
      <c r="G178" s="13">
        <f>H178*F178</f>
        <v>26700</v>
      </c>
      <c r="H178" s="14">
        <v>1</v>
      </c>
      <c r="I178" s="15" t="s">
        <v>13</v>
      </c>
      <c r="J178" s="12" t="s">
        <v>16</v>
      </c>
      <c r="K178">
        <v>26700</v>
      </c>
      <c r="L178">
        <f t="shared" ref="L178:L183" si="106">L177</f>
        <v>8</v>
      </c>
      <c r="M178" s="23">
        <f t="shared" si="66"/>
        <v>213600</v>
      </c>
    </row>
    <row r="179" spans="1:13" ht="21" customHeight="1" outlineLevel="2" x14ac:dyDescent="0.25">
      <c r="A179" s="11" t="str">
        <f t="shared" ref="A179:A182" si="107">A178</f>
        <v>ЩЭ2 (10 секция)</v>
      </c>
      <c r="B179" s="12" t="s">
        <v>64</v>
      </c>
      <c r="C179" s="18">
        <v>193176</v>
      </c>
      <c r="D179" s="11" t="s">
        <v>66</v>
      </c>
      <c r="E179" s="12">
        <v>2093</v>
      </c>
      <c r="F179" s="13">
        <f t="shared" ref="F179:F180" si="108">E179*0.6</f>
        <v>1255.8</v>
      </c>
      <c r="G179" s="13">
        <f>F179*H179</f>
        <v>6279</v>
      </c>
      <c r="H179" s="14">
        <v>5</v>
      </c>
      <c r="I179" s="15" t="s">
        <v>13</v>
      </c>
      <c r="J179" s="12" t="s">
        <v>36</v>
      </c>
      <c r="K179">
        <v>6279</v>
      </c>
      <c r="L179">
        <f t="shared" si="106"/>
        <v>8</v>
      </c>
      <c r="M179" s="23">
        <f t="shared" si="66"/>
        <v>50232</v>
      </c>
    </row>
    <row r="180" spans="1:13" ht="21" customHeight="1" outlineLevel="2" x14ac:dyDescent="0.25">
      <c r="A180" s="11" t="str">
        <f t="shared" si="107"/>
        <v>ЩЭ2 (10 секция)</v>
      </c>
      <c r="B180" s="12" t="s">
        <v>12</v>
      </c>
      <c r="C180" s="18"/>
      <c r="D180" s="11" t="s">
        <v>200</v>
      </c>
      <c r="E180" s="16">
        <v>1922</v>
      </c>
      <c r="F180" s="13">
        <f t="shared" si="108"/>
        <v>1153.2</v>
      </c>
      <c r="G180" s="13">
        <f t="shared" ref="G180" si="109">F180*H180</f>
        <v>5766</v>
      </c>
      <c r="H180" s="14">
        <v>5</v>
      </c>
      <c r="I180" s="15" t="s">
        <v>13</v>
      </c>
      <c r="J180" s="12" t="s">
        <v>36</v>
      </c>
      <c r="K180">
        <v>5766</v>
      </c>
      <c r="L180">
        <f t="shared" si="106"/>
        <v>8</v>
      </c>
      <c r="M180" s="23">
        <f t="shared" si="66"/>
        <v>46128</v>
      </c>
    </row>
    <row r="181" spans="1:13" ht="24" customHeight="1" outlineLevel="2" x14ac:dyDescent="0.25">
      <c r="A181" s="11" t="str">
        <f t="shared" si="107"/>
        <v>ЩЭ2 (10 секция)</v>
      </c>
      <c r="B181" s="11" t="s">
        <v>10</v>
      </c>
      <c r="C181" s="11" t="s">
        <v>10</v>
      </c>
      <c r="D181" s="11" t="s">
        <v>10</v>
      </c>
      <c r="E181" s="11">
        <f ca="1">OFFSET(E181,1,2)</f>
        <v>24000</v>
      </c>
      <c r="F181" s="13">
        <f ca="1">E181</f>
        <v>24000</v>
      </c>
      <c r="G181" s="13">
        <f ca="1">F181*H181</f>
        <v>24000</v>
      </c>
      <c r="H181" s="11">
        <v>1</v>
      </c>
      <c r="I181" s="11" t="s">
        <v>13</v>
      </c>
      <c r="J181" s="11" t="s">
        <v>10</v>
      </c>
      <c r="K181">
        <v>24000</v>
      </c>
      <c r="L181">
        <f t="shared" si="106"/>
        <v>8</v>
      </c>
      <c r="M181" s="23">
        <f t="shared" ca="1" si="66"/>
        <v>192000</v>
      </c>
    </row>
    <row r="182" spans="1:13" ht="21" customHeight="1" outlineLevel="2" x14ac:dyDescent="0.25">
      <c r="A182" s="11" t="str">
        <f t="shared" si="107"/>
        <v>ЩЭ2 (10 секция)</v>
      </c>
      <c r="B182" s="11" t="s">
        <v>11</v>
      </c>
      <c r="C182" s="11" t="s">
        <v>11</v>
      </c>
      <c r="D182" s="11" t="s">
        <v>11</v>
      </c>
      <c r="E182" s="11">
        <v>4</v>
      </c>
      <c r="F182" s="13">
        <v>100</v>
      </c>
      <c r="G182" s="13">
        <f t="shared" ref="G182" si="110">F182*H182</f>
        <v>24000</v>
      </c>
      <c r="H182" s="11">
        <f>60*E182</f>
        <v>240</v>
      </c>
      <c r="I182" s="11" t="s">
        <v>13</v>
      </c>
      <c r="J182" s="11" t="s">
        <v>11</v>
      </c>
      <c r="K182">
        <v>24000</v>
      </c>
      <c r="L182">
        <f t="shared" si="106"/>
        <v>8</v>
      </c>
      <c r="M182" s="23">
        <f t="shared" si="66"/>
        <v>192000</v>
      </c>
    </row>
    <row r="183" spans="1:13" ht="21" customHeight="1" outlineLevel="1" x14ac:dyDescent="0.25">
      <c r="A183" s="11" t="s">
        <v>296</v>
      </c>
      <c r="B183" s="11"/>
      <c r="C183" s="11"/>
      <c r="D183" s="11"/>
      <c r="E183" s="11"/>
      <c r="F183" s="13"/>
      <c r="G183" s="13">
        <f ca="1">SUBTOTAL(9,G177:G182)</f>
        <v>86745</v>
      </c>
      <c r="H183" s="11"/>
      <c r="I183" s="11"/>
      <c r="J183" s="11"/>
      <c r="K183">
        <v>86745</v>
      </c>
      <c r="L183">
        <f t="shared" si="106"/>
        <v>8</v>
      </c>
      <c r="M183" s="23">
        <f t="shared" ca="1" si="66"/>
        <v>693960</v>
      </c>
    </row>
    <row r="184" spans="1:13" ht="39.75" customHeight="1" outlineLevel="2" x14ac:dyDescent="0.25">
      <c r="A184" s="4" t="str">
        <f>D184</f>
        <v>ЩК (10 секция)</v>
      </c>
      <c r="B184" s="5"/>
      <c r="C184" s="17"/>
      <c r="D184" s="5" t="s">
        <v>212</v>
      </c>
      <c r="E184" s="7"/>
      <c r="F184" s="7"/>
      <c r="G184" s="8"/>
      <c r="H184" s="9">
        <v>44</v>
      </c>
      <c r="I184" s="10" t="s">
        <v>7</v>
      </c>
      <c r="J184" s="5" t="s">
        <v>9</v>
      </c>
      <c r="L184">
        <f>H184</f>
        <v>44</v>
      </c>
      <c r="M184" s="23">
        <f t="shared" si="66"/>
        <v>0</v>
      </c>
    </row>
    <row r="185" spans="1:13" ht="21" customHeight="1" outlineLevel="2" x14ac:dyDescent="0.25">
      <c r="A185" s="11" t="str">
        <f>A184</f>
        <v>ЩК (10 секция)</v>
      </c>
      <c r="B185" s="12" t="s">
        <v>8</v>
      </c>
      <c r="C185" s="18" t="s">
        <v>223</v>
      </c>
      <c r="D185" s="11" t="s">
        <v>222</v>
      </c>
      <c r="E185" s="12">
        <v>10050</v>
      </c>
      <c r="F185" s="13">
        <f>E185*0.6</f>
        <v>6030</v>
      </c>
      <c r="G185" s="13">
        <f>H185*F185</f>
        <v>6030</v>
      </c>
      <c r="H185" s="14">
        <v>1</v>
      </c>
      <c r="I185" s="15" t="s">
        <v>13</v>
      </c>
      <c r="J185" s="12" t="s">
        <v>262</v>
      </c>
      <c r="K185">
        <v>6030</v>
      </c>
      <c r="L185">
        <f t="shared" ref="L185:L192" si="111">L184</f>
        <v>44</v>
      </c>
      <c r="M185" s="23">
        <f t="shared" si="66"/>
        <v>265320</v>
      </c>
    </row>
    <row r="186" spans="1:13" ht="21" customHeight="1" outlineLevel="2" x14ac:dyDescent="0.25">
      <c r="A186" s="11" t="str">
        <f t="shared" ref="A186:A189" si="112">A185</f>
        <v>ЩК (10 секция)</v>
      </c>
      <c r="B186" s="12" t="s">
        <v>12</v>
      </c>
      <c r="C186" s="18"/>
      <c r="D186" s="11" t="s">
        <v>199</v>
      </c>
      <c r="E186" s="16">
        <v>1671</v>
      </c>
      <c r="F186" s="13">
        <f t="shared" ref="F186:F189" si="113">E186*0.6</f>
        <v>1002.5999999999999</v>
      </c>
      <c r="G186" s="13">
        <f t="shared" ref="G186:G189" si="114">F186*H186</f>
        <v>1002.5999999999999</v>
      </c>
      <c r="H186" s="14">
        <v>1</v>
      </c>
      <c r="I186" s="15" t="s">
        <v>13</v>
      </c>
      <c r="J186" s="12" t="s">
        <v>36</v>
      </c>
      <c r="K186">
        <v>1002.5999999999999</v>
      </c>
      <c r="L186">
        <f t="shared" si="111"/>
        <v>44</v>
      </c>
      <c r="M186" s="23">
        <f t="shared" si="66"/>
        <v>44114.399999999994</v>
      </c>
    </row>
    <row r="187" spans="1:13" ht="21" customHeight="1" outlineLevel="2" x14ac:dyDescent="0.25">
      <c r="A187" s="11" t="str">
        <f t="shared" si="112"/>
        <v>ЩК (10 секция)</v>
      </c>
      <c r="B187" s="12" t="s">
        <v>12</v>
      </c>
      <c r="C187" s="18"/>
      <c r="D187" s="11" t="s">
        <v>197</v>
      </c>
      <c r="E187" s="12">
        <v>710</v>
      </c>
      <c r="F187" s="13">
        <f t="shared" si="113"/>
        <v>426</v>
      </c>
      <c r="G187" s="13">
        <f t="shared" si="114"/>
        <v>426</v>
      </c>
      <c r="H187" s="14">
        <v>1</v>
      </c>
      <c r="I187" s="15" t="s">
        <v>13</v>
      </c>
      <c r="J187" s="12" t="s">
        <v>36</v>
      </c>
      <c r="K187">
        <v>426</v>
      </c>
      <c r="L187">
        <f t="shared" si="111"/>
        <v>44</v>
      </c>
      <c r="M187" s="23">
        <f t="shared" si="66"/>
        <v>18744</v>
      </c>
    </row>
    <row r="188" spans="1:13" ht="21" customHeight="1" outlineLevel="2" x14ac:dyDescent="0.25">
      <c r="A188" s="11" t="str">
        <f t="shared" si="112"/>
        <v>ЩК (10 секция)</v>
      </c>
      <c r="B188" s="12" t="s">
        <v>18</v>
      </c>
      <c r="C188" s="18">
        <v>105546</v>
      </c>
      <c r="D188" s="11" t="s">
        <v>67</v>
      </c>
      <c r="E188" s="12">
        <v>3513</v>
      </c>
      <c r="F188" s="13">
        <f t="shared" si="113"/>
        <v>2107.7999999999997</v>
      </c>
      <c r="G188" s="13">
        <f t="shared" si="114"/>
        <v>2107.7999999999997</v>
      </c>
      <c r="H188" s="14">
        <v>1</v>
      </c>
      <c r="I188" s="15" t="s">
        <v>13</v>
      </c>
      <c r="J188" s="12" t="s">
        <v>36</v>
      </c>
      <c r="K188">
        <v>2107.7999999999997</v>
      </c>
      <c r="L188">
        <f t="shared" si="111"/>
        <v>44</v>
      </c>
      <c r="M188" s="23">
        <f t="shared" si="66"/>
        <v>92743.199999999983</v>
      </c>
    </row>
    <row r="189" spans="1:13" ht="21" customHeight="1" outlineLevel="2" x14ac:dyDescent="0.25">
      <c r="A189" s="11" t="str">
        <f t="shared" si="112"/>
        <v>ЩК (10 секция)</v>
      </c>
      <c r="B189" s="12" t="s">
        <v>18</v>
      </c>
      <c r="C189" s="18">
        <v>105544</v>
      </c>
      <c r="D189" s="11" t="s">
        <v>68</v>
      </c>
      <c r="E189" s="12">
        <v>3331</v>
      </c>
      <c r="F189" s="13">
        <f t="shared" si="113"/>
        <v>1998.6</v>
      </c>
      <c r="G189" s="13">
        <f t="shared" si="114"/>
        <v>7994.4</v>
      </c>
      <c r="H189" s="14">
        <v>4</v>
      </c>
      <c r="I189" s="15" t="s">
        <v>13</v>
      </c>
      <c r="J189" s="12" t="s">
        <v>36</v>
      </c>
      <c r="K189">
        <v>7994.4</v>
      </c>
      <c r="L189">
        <f t="shared" si="111"/>
        <v>44</v>
      </c>
      <c r="M189" s="23">
        <f t="shared" si="66"/>
        <v>351753.6</v>
      </c>
    </row>
    <row r="190" spans="1:13" ht="24" customHeight="1" outlineLevel="2" x14ac:dyDescent="0.25">
      <c r="A190" s="11" t="str">
        <f>A187</f>
        <v>ЩК (10 секция)</v>
      </c>
      <c r="B190" s="11" t="s">
        <v>10</v>
      </c>
      <c r="C190" s="11" t="s">
        <v>10</v>
      </c>
      <c r="D190" s="11" t="s">
        <v>10</v>
      </c>
      <c r="E190" s="11">
        <f ca="1">OFFSET(E190,1,2)</f>
        <v>6000</v>
      </c>
      <c r="F190" s="13">
        <f ca="1">E190</f>
        <v>6000</v>
      </c>
      <c r="G190" s="13">
        <f ca="1">F190*H190</f>
        <v>6000</v>
      </c>
      <c r="H190" s="11">
        <v>1</v>
      </c>
      <c r="I190" s="11" t="s">
        <v>13</v>
      </c>
      <c r="J190" s="11" t="s">
        <v>10</v>
      </c>
      <c r="K190">
        <v>6000</v>
      </c>
      <c r="L190">
        <f t="shared" si="111"/>
        <v>44</v>
      </c>
      <c r="M190" s="23">
        <f t="shared" ca="1" si="66"/>
        <v>264000</v>
      </c>
    </row>
    <row r="191" spans="1:13" ht="21" customHeight="1" outlineLevel="2" x14ac:dyDescent="0.25">
      <c r="A191" s="11" t="str">
        <f t="shared" ref="A191" si="115">A190</f>
        <v>ЩК (10 секция)</v>
      </c>
      <c r="B191" s="11" t="s">
        <v>11</v>
      </c>
      <c r="C191" s="11" t="s">
        <v>11</v>
      </c>
      <c r="D191" s="11" t="s">
        <v>11</v>
      </c>
      <c r="E191" s="11">
        <v>1</v>
      </c>
      <c r="F191" s="13">
        <v>100</v>
      </c>
      <c r="G191" s="13">
        <f t="shared" ref="G191" si="116">F191*H191</f>
        <v>6000</v>
      </c>
      <c r="H191" s="11">
        <f>60*E191</f>
        <v>60</v>
      </c>
      <c r="I191" s="11" t="s">
        <v>13</v>
      </c>
      <c r="J191" s="11" t="s">
        <v>11</v>
      </c>
      <c r="K191">
        <v>6000</v>
      </c>
      <c r="L191">
        <f t="shared" si="111"/>
        <v>44</v>
      </c>
      <c r="M191" s="23">
        <f t="shared" si="66"/>
        <v>264000</v>
      </c>
    </row>
    <row r="192" spans="1:13" ht="21" customHeight="1" outlineLevel="1" x14ac:dyDescent="0.25">
      <c r="A192" s="11" t="s">
        <v>297</v>
      </c>
      <c r="B192" s="11"/>
      <c r="C192" s="11"/>
      <c r="D192" s="11"/>
      <c r="E192" s="11"/>
      <c r="F192" s="13"/>
      <c r="G192" s="13">
        <f ca="1">SUBTOTAL(9,G184:G191)</f>
        <v>29560.799999999999</v>
      </c>
      <c r="H192" s="11"/>
      <c r="I192" s="11"/>
      <c r="J192" s="11"/>
      <c r="K192">
        <v>29560.799999999999</v>
      </c>
      <c r="L192">
        <f t="shared" si="111"/>
        <v>44</v>
      </c>
      <c r="M192" s="23">
        <f t="shared" ca="1" si="66"/>
        <v>1300675.2</v>
      </c>
    </row>
    <row r="193" spans="1:13" ht="39.75" customHeight="1" outlineLevel="2" x14ac:dyDescent="0.25">
      <c r="A193" s="4" t="str">
        <f>D193</f>
        <v>ЩО3ж (10 секция)</v>
      </c>
      <c r="B193" s="5"/>
      <c r="C193" s="17"/>
      <c r="D193" s="5" t="s">
        <v>150</v>
      </c>
      <c r="E193" s="7"/>
      <c r="F193" s="7"/>
      <c r="G193" s="8"/>
      <c r="H193" s="9">
        <v>1</v>
      </c>
      <c r="I193" s="10" t="s">
        <v>7</v>
      </c>
      <c r="J193" s="5" t="s">
        <v>9</v>
      </c>
      <c r="L193">
        <f>H193</f>
        <v>1</v>
      </c>
      <c r="M193" s="23">
        <f t="shared" si="66"/>
        <v>0</v>
      </c>
    </row>
    <row r="194" spans="1:13" ht="21" customHeight="1" outlineLevel="2" x14ac:dyDescent="0.25">
      <c r="A194" s="11" t="str">
        <f>A193</f>
        <v>ЩО3ж (10 секция)</v>
      </c>
      <c r="B194" s="12" t="s">
        <v>8</v>
      </c>
      <c r="C194" s="18" t="s">
        <v>254</v>
      </c>
      <c r="D194" s="11" t="s">
        <v>255</v>
      </c>
      <c r="E194" s="12">
        <v>10500</v>
      </c>
      <c r="F194" s="13">
        <f>0.6*E194</f>
        <v>6300</v>
      </c>
      <c r="G194" s="13">
        <f>H194*F194</f>
        <v>6300</v>
      </c>
      <c r="H194" s="14">
        <v>1</v>
      </c>
      <c r="I194" s="15" t="s">
        <v>13</v>
      </c>
      <c r="J194" s="12" t="s">
        <v>16</v>
      </c>
      <c r="K194">
        <v>6300</v>
      </c>
      <c r="L194">
        <f t="shared" ref="L194:L199" si="117">L193</f>
        <v>1</v>
      </c>
      <c r="M194" s="23">
        <f t="shared" si="66"/>
        <v>6300</v>
      </c>
    </row>
    <row r="195" spans="1:13" ht="21" customHeight="1" outlineLevel="2" x14ac:dyDescent="0.25">
      <c r="A195" s="11" t="str">
        <f t="shared" ref="A195:A196" si="118">A194</f>
        <v>ЩО3ж (10 секция)</v>
      </c>
      <c r="B195" s="12" t="s">
        <v>64</v>
      </c>
      <c r="C195" s="18">
        <v>193180</v>
      </c>
      <c r="D195" s="11" t="s">
        <v>60</v>
      </c>
      <c r="E195" s="12">
        <v>2493</v>
      </c>
      <c r="F195" s="13">
        <f t="shared" ref="F195:F196" si="119">E195*0.6</f>
        <v>1495.8</v>
      </c>
      <c r="G195" s="13">
        <f t="shared" ref="G195:G196" si="120">F195*H195</f>
        <v>1495.8</v>
      </c>
      <c r="H195" s="14">
        <v>1</v>
      </c>
      <c r="I195" s="15" t="s">
        <v>13</v>
      </c>
      <c r="J195" s="12" t="s">
        <v>36</v>
      </c>
      <c r="K195">
        <v>1495.8</v>
      </c>
      <c r="L195">
        <f t="shared" si="117"/>
        <v>1</v>
      </c>
      <c r="M195" s="23">
        <f t="shared" ref="M195:M258" si="121">L195*G195</f>
        <v>1495.8</v>
      </c>
    </row>
    <row r="196" spans="1:13" ht="21" customHeight="1" outlineLevel="2" x14ac:dyDescent="0.25">
      <c r="A196" s="11" t="str">
        <f t="shared" si="118"/>
        <v>ЩО3ж (10 секция)</v>
      </c>
      <c r="B196" s="12" t="s">
        <v>12</v>
      </c>
      <c r="C196" s="18">
        <v>296709</v>
      </c>
      <c r="D196" s="11" t="s">
        <v>196</v>
      </c>
      <c r="E196" s="12">
        <v>699</v>
      </c>
      <c r="F196" s="13">
        <f t="shared" si="119"/>
        <v>419.4</v>
      </c>
      <c r="G196" s="13">
        <f t="shared" si="120"/>
        <v>2516.3999999999996</v>
      </c>
      <c r="H196" s="14">
        <v>6</v>
      </c>
      <c r="I196" s="15" t="s">
        <v>13</v>
      </c>
      <c r="J196" s="12" t="s">
        <v>36</v>
      </c>
      <c r="K196">
        <v>2516.3999999999996</v>
      </c>
      <c r="L196">
        <f t="shared" si="117"/>
        <v>1</v>
      </c>
      <c r="M196" s="23">
        <f t="shared" si="121"/>
        <v>2516.3999999999996</v>
      </c>
    </row>
    <row r="197" spans="1:13" ht="24" customHeight="1" outlineLevel="2" x14ac:dyDescent="0.25">
      <c r="A197" s="11" t="str">
        <f>A196</f>
        <v>ЩО3ж (10 секция)</v>
      </c>
      <c r="B197" s="11" t="s">
        <v>10</v>
      </c>
      <c r="C197" s="11" t="s">
        <v>10</v>
      </c>
      <c r="D197" s="11" t="s">
        <v>10</v>
      </c>
      <c r="E197" s="11">
        <f ca="1">OFFSET(E197,1,2)</f>
        <v>6000</v>
      </c>
      <c r="F197" s="13">
        <f ca="1">E197</f>
        <v>6000</v>
      </c>
      <c r="G197" s="13">
        <f ca="1">F197*H197</f>
        <v>6000</v>
      </c>
      <c r="H197" s="11">
        <v>1</v>
      </c>
      <c r="I197" s="11" t="s">
        <v>13</v>
      </c>
      <c r="J197" s="11" t="s">
        <v>10</v>
      </c>
      <c r="K197">
        <v>6000</v>
      </c>
      <c r="L197">
        <f t="shared" si="117"/>
        <v>1</v>
      </c>
      <c r="M197" s="23">
        <f t="shared" ca="1" si="121"/>
        <v>6000</v>
      </c>
    </row>
    <row r="198" spans="1:13" ht="21" customHeight="1" outlineLevel="2" x14ac:dyDescent="0.25">
      <c r="A198" s="11" t="str">
        <f t="shared" ref="A198" si="122">A197</f>
        <v>ЩО3ж (10 секция)</v>
      </c>
      <c r="B198" s="11" t="s">
        <v>11</v>
      </c>
      <c r="C198" s="11" t="s">
        <v>11</v>
      </c>
      <c r="D198" s="11" t="s">
        <v>11</v>
      </c>
      <c r="E198" s="11">
        <v>1</v>
      </c>
      <c r="F198" s="13">
        <v>100</v>
      </c>
      <c r="G198" s="13">
        <f t="shared" ref="G198" si="123">F198*H198</f>
        <v>6000</v>
      </c>
      <c r="H198" s="11">
        <f>60*E198</f>
        <v>60</v>
      </c>
      <c r="I198" s="11" t="s">
        <v>13</v>
      </c>
      <c r="J198" s="11" t="s">
        <v>11</v>
      </c>
      <c r="K198">
        <v>6000</v>
      </c>
      <c r="L198">
        <f t="shared" si="117"/>
        <v>1</v>
      </c>
      <c r="M198" s="23">
        <f t="shared" si="121"/>
        <v>6000</v>
      </c>
    </row>
    <row r="199" spans="1:13" ht="21" customHeight="1" outlineLevel="1" x14ac:dyDescent="0.25">
      <c r="A199" s="11" t="s">
        <v>298</v>
      </c>
      <c r="B199" s="11"/>
      <c r="C199" s="11"/>
      <c r="D199" s="11"/>
      <c r="E199" s="11"/>
      <c r="F199" s="13"/>
      <c r="G199" s="13">
        <f ca="1">SUBTOTAL(9,G193:G198)</f>
        <v>22312.2</v>
      </c>
      <c r="H199" s="11"/>
      <c r="I199" s="11"/>
      <c r="J199" s="11"/>
      <c r="K199">
        <v>22312.2</v>
      </c>
      <c r="L199">
        <f t="shared" si="117"/>
        <v>1</v>
      </c>
      <c r="M199" s="23">
        <f t="shared" ca="1" si="121"/>
        <v>22312.2</v>
      </c>
    </row>
    <row r="200" spans="1:13" ht="39.75" customHeight="1" outlineLevel="2" x14ac:dyDescent="0.25">
      <c r="A200" s="4" t="str">
        <f>D200</f>
        <v>ЩАО3ж (10 секция)</v>
      </c>
      <c r="B200" s="5"/>
      <c r="C200" s="17"/>
      <c r="D200" s="5" t="s">
        <v>151</v>
      </c>
      <c r="E200" s="7"/>
      <c r="F200" s="7"/>
      <c r="G200" s="8"/>
      <c r="H200" s="9">
        <v>1</v>
      </c>
      <c r="I200" s="10" t="s">
        <v>7</v>
      </c>
      <c r="J200" s="5" t="s">
        <v>9</v>
      </c>
      <c r="L200">
        <f>H200</f>
        <v>1</v>
      </c>
      <c r="M200" s="23">
        <f t="shared" si="121"/>
        <v>0</v>
      </c>
    </row>
    <row r="201" spans="1:13" ht="21" customHeight="1" outlineLevel="2" x14ac:dyDescent="0.25">
      <c r="A201" s="11" t="str">
        <f>A200</f>
        <v>ЩАО3ж (10 секция)</v>
      </c>
      <c r="B201" s="12" t="s">
        <v>8</v>
      </c>
      <c r="C201" s="18" t="s">
        <v>254</v>
      </c>
      <c r="D201" s="11" t="s">
        <v>255</v>
      </c>
      <c r="E201" s="12">
        <v>10500</v>
      </c>
      <c r="F201" s="13">
        <f>0.6*E201</f>
        <v>6300</v>
      </c>
      <c r="G201" s="13">
        <f>H201*F201</f>
        <v>6300</v>
      </c>
      <c r="H201" s="14">
        <v>1</v>
      </c>
      <c r="I201" s="15" t="s">
        <v>13</v>
      </c>
      <c r="J201" s="12" t="s">
        <v>16</v>
      </c>
      <c r="K201">
        <v>6300</v>
      </c>
      <c r="L201">
        <f t="shared" ref="L201:L206" si="124">L200</f>
        <v>1</v>
      </c>
      <c r="M201" s="23">
        <f t="shared" si="121"/>
        <v>6300</v>
      </c>
    </row>
    <row r="202" spans="1:13" ht="21" customHeight="1" outlineLevel="2" x14ac:dyDescent="0.25">
      <c r="A202" s="11" t="str">
        <f t="shared" ref="A202:A203" si="125">A201</f>
        <v>ЩАО3ж (10 секция)</v>
      </c>
      <c r="B202" s="12" t="s">
        <v>64</v>
      </c>
      <c r="C202" s="18">
        <v>193180</v>
      </c>
      <c r="D202" s="11" t="s">
        <v>60</v>
      </c>
      <c r="E202" s="12">
        <v>2493</v>
      </c>
      <c r="F202" s="13">
        <f t="shared" ref="F202:F203" si="126">E202*0.6</f>
        <v>1495.8</v>
      </c>
      <c r="G202" s="13">
        <f t="shared" ref="G202:G203" si="127">F202*H202</f>
        <v>1495.8</v>
      </c>
      <c r="H202" s="14">
        <v>1</v>
      </c>
      <c r="I202" s="15" t="s">
        <v>13</v>
      </c>
      <c r="J202" s="12" t="s">
        <v>36</v>
      </c>
      <c r="K202">
        <v>1495.8</v>
      </c>
      <c r="L202">
        <f t="shared" si="124"/>
        <v>1</v>
      </c>
      <c r="M202" s="23">
        <f t="shared" si="121"/>
        <v>1495.8</v>
      </c>
    </row>
    <row r="203" spans="1:13" ht="21" customHeight="1" outlineLevel="2" x14ac:dyDescent="0.25">
      <c r="A203" s="11" t="str">
        <f t="shared" si="125"/>
        <v>ЩАО3ж (10 секция)</v>
      </c>
      <c r="B203" s="12" t="s">
        <v>12</v>
      </c>
      <c r="C203" s="18">
        <v>296709</v>
      </c>
      <c r="D203" s="11" t="s">
        <v>196</v>
      </c>
      <c r="E203" s="12">
        <v>699</v>
      </c>
      <c r="F203" s="13">
        <f t="shared" si="126"/>
        <v>419.4</v>
      </c>
      <c r="G203" s="13">
        <f t="shared" si="127"/>
        <v>1258.1999999999998</v>
      </c>
      <c r="H203" s="14">
        <v>3</v>
      </c>
      <c r="I203" s="15" t="s">
        <v>13</v>
      </c>
      <c r="J203" s="12" t="s">
        <v>36</v>
      </c>
      <c r="K203">
        <v>1258.1999999999998</v>
      </c>
      <c r="L203">
        <f t="shared" si="124"/>
        <v>1</v>
      </c>
      <c r="M203" s="23">
        <f t="shared" si="121"/>
        <v>1258.1999999999998</v>
      </c>
    </row>
    <row r="204" spans="1:13" ht="24" customHeight="1" outlineLevel="2" x14ac:dyDescent="0.25">
      <c r="A204" s="11" t="str">
        <f>A203</f>
        <v>ЩАО3ж (10 секция)</v>
      </c>
      <c r="B204" s="11" t="s">
        <v>10</v>
      </c>
      <c r="C204" s="11" t="s">
        <v>10</v>
      </c>
      <c r="D204" s="11" t="s">
        <v>10</v>
      </c>
      <c r="E204" s="11">
        <f ca="1">OFFSET(E204,1,2)</f>
        <v>6000</v>
      </c>
      <c r="F204" s="13">
        <f ca="1">E204</f>
        <v>6000</v>
      </c>
      <c r="G204" s="13">
        <f ca="1">F204*H204</f>
        <v>6000</v>
      </c>
      <c r="H204" s="11">
        <v>1</v>
      </c>
      <c r="I204" s="11" t="s">
        <v>13</v>
      </c>
      <c r="J204" s="11" t="s">
        <v>10</v>
      </c>
      <c r="K204">
        <v>6000</v>
      </c>
      <c r="L204">
        <f t="shared" si="124"/>
        <v>1</v>
      </c>
      <c r="M204" s="23">
        <f t="shared" ca="1" si="121"/>
        <v>6000</v>
      </c>
    </row>
    <row r="205" spans="1:13" ht="21" customHeight="1" outlineLevel="2" x14ac:dyDescent="0.25">
      <c r="A205" s="11" t="str">
        <f t="shared" ref="A205" si="128">A204</f>
        <v>ЩАО3ж (10 секция)</v>
      </c>
      <c r="B205" s="11" t="s">
        <v>11</v>
      </c>
      <c r="C205" s="11" t="s">
        <v>11</v>
      </c>
      <c r="D205" s="11" t="s">
        <v>11</v>
      </c>
      <c r="E205" s="11">
        <v>1</v>
      </c>
      <c r="F205" s="13">
        <v>100</v>
      </c>
      <c r="G205" s="13">
        <f t="shared" ref="G205" si="129">F205*H205</f>
        <v>6000</v>
      </c>
      <c r="H205" s="11">
        <f>60*E205</f>
        <v>60</v>
      </c>
      <c r="I205" s="11" t="s">
        <v>13</v>
      </c>
      <c r="J205" s="11" t="s">
        <v>11</v>
      </c>
      <c r="K205">
        <v>6000</v>
      </c>
      <c r="L205">
        <f t="shared" si="124"/>
        <v>1</v>
      </c>
      <c r="M205" s="23">
        <f t="shared" si="121"/>
        <v>6000</v>
      </c>
    </row>
    <row r="206" spans="1:13" ht="21" customHeight="1" outlineLevel="1" x14ac:dyDescent="0.25">
      <c r="A206" s="11" t="s">
        <v>299</v>
      </c>
      <c r="B206" s="11"/>
      <c r="C206" s="11"/>
      <c r="D206" s="11"/>
      <c r="E206" s="11"/>
      <c r="F206" s="13"/>
      <c r="G206" s="13">
        <f ca="1">SUBTOTAL(9,G200:G205)</f>
        <v>21054</v>
      </c>
      <c r="H206" s="11"/>
      <c r="I206" s="11"/>
      <c r="J206" s="11"/>
      <c r="K206">
        <v>21054</v>
      </c>
      <c r="L206">
        <f t="shared" si="124"/>
        <v>1</v>
      </c>
      <c r="M206" s="23">
        <f t="shared" ca="1" si="121"/>
        <v>21054</v>
      </c>
    </row>
    <row r="207" spans="1:13" ht="39.75" customHeight="1" outlineLevel="2" x14ac:dyDescent="0.25">
      <c r="A207" s="4" t="str">
        <f>D207</f>
        <v>Шкаф ЯРП-Инд (ЯРВ-100А) 460х250х145  IP31 (10 секция)</v>
      </c>
      <c r="B207" s="5"/>
      <c r="C207" s="17"/>
      <c r="D207" s="5" t="s">
        <v>152</v>
      </c>
      <c r="E207" s="7"/>
      <c r="F207" s="7"/>
      <c r="G207" s="8"/>
      <c r="H207" s="9">
        <v>1</v>
      </c>
      <c r="I207" s="10" t="s">
        <v>7</v>
      </c>
      <c r="J207" s="5" t="s">
        <v>9</v>
      </c>
      <c r="L207">
        <f>H207</f>
        <v>1</v>
      </c>
      <c r="M207" s="23">
        <f t="shared" si="121"/>
        <v>0</v>
      </c>
    </row>
    <row r="208" spans="1:13" ht="39.75" customHeight="1" outlineLevel="1" x14ac:dyDescent="0.25">
      <c r="A208" s="4" t="s">
        <v>300</v>
      </c>
      <c r="B208" s="5"/>
      <c r="C208" s="17"/>
      <c r="D208" s="5"/>
      <c r="E208" s="7"/>
      <c r="F208" s="7"/>
      <c r="G208" s="8">
        <f>SUBTOTAL(9,G207:G207)</f>
        <v>0</v>
      </c>
      <c r="H208" s="9"/>
      <c r="I208" s="10"/>
      <c r="J208" s="5"/>
      <c r="K208">
        <v>0</v>
      </c>
      <c r="L208">
        <f>L207</f>
        <v>1</v>
      </c>
      <c r="M208" s="23">
        <f t="shared" si="121"/>
        <v>0</v>
      </c>
    </row>
    <row r="209" spans="1:13" ht="39.75" customHeight="1" outlineLevel="2" x14ac:dyDescent="0.25">
      <c r="A209" s="4" t="str">
        <f>D209</f>
        <v>ЩУ-Т1 (10 секция)</v>
      </c>
      <c r="B209" s="5"/>
      <c r="C209" s="17"/>
      <c r="D209" s="5" t="s">
        <v>153</v>
      </c>
      <c r="E209" s="7"/>
      <c r="F209" s="7"/>
      <c r="G209" s="8"/>
      <c r="H209" s="9">
        <v>1</v>
      </c>
      <c r="I209" s="10" t="s">
        <v>7</v>
      </c>
      <c r="J209" s="5" t="s">
        <v>9</v>
      </c>
      <c r="L209">
        <f>H209</f>
        <v>1</v>
      </c>
      <c r="M209" s="23">
        <f t="shared" si="121"/>
        <v>0</v>
      </c>
    </row>
    <row r="210" spans="1:13" ht="21" customHeight="1" outlineLevel="2" x14ac:dyDescent="0.25">
      <c r="A210" s="11" t="str">
        <f>A209</f>
        <v>ЩУ-Т1 (10 секция)</v>
      </c>
      <c r="B210" s="12" t="s">
        <v>8</v>
      </c>
      <c r="C210" s="18" t="s">
        <v>254</v>
      </c>
      <c r="D210" s="11" t="s">
        <v>255</v>
      </c>
      <c r="E210" s="12">
        <v>10500</v>
      </c>
      <c r="F210" s="13">
        <f>0.6*E210</f>
        <v>6300</v>
      </c>
      <c r="G210" s="13">
        <f>H210*F210</f>
        <v>6300</v>
      </c>
      <c r="H210" s="14">
        <v>1</v>
      </c>
      <c r="I210" s="15" t="s">
        <v>13</v>
      </c>
      <c r="J210" s="12" t="s">
        <v>16</v>
      </c>
      <c r="K210">
        <v>6300</v>
      </c>
      <c r="L210">
        <f t="shared" ref="L210:L218" si="130">L209</f>
        <v>1</v>
      </c>
      <c r="M210" s="23">
        <f t="shared" si="121"/>
        <v>6300</v>
      </c>
    </row>
    <row r="211" spans="1:13" ht="21" customHeight="1" outlineLevel="2" x14ac:dyDescent="0.25">
      <c r="A211" s="11" t="str">
        <f t="shared" ref="A211:A214" si="131">A210</f>
        <v>ЩУ-Т1 (10 секция)</v>
      </c>
      <c r="B211" s="12" t="s">
        <v>18</v>
      </c>
      <c r="C211" s="18">
        <v>105542</v>
      </c>
      <c r="D211" s="11" t="s">
        <v>65</v>
      </c>
      <c r="E211" s="12">
        <v>3513</v>
      </c>
      <c r="F211" s="13">
        <f t="shared" ref="F211:F214" si="132">E211*0.6</f>
        <v>2107.7999999999997</v>
      </c>
      <c r="G211" s="13">
        <f t="shared" ref="G211:G215" si="133">F211*H211</f>
        <v>2107.7999999999997</v>
      </c>
      <c r="H211" s="14">
        <v>1</v>
      </c>
      <c r="I211" s="15" t="s">
        <v>13</v>
      </c>
      <c r="J211" s="12" t="s">
        <v>36</v>
      </c>
      <c r="K211">
        <v>2107.7999999999997</v>
      </c>
      <c r="L211">
        <f t="shared" si="130"/>
        <v>1</v>
      </c>
      <c r="M211" s="23">
        <f t="shared" si="121"/>
        <v>2107.7999999999997</v>
      </c>
    </row>
    <row r="212" spans="1:13" ht="21" customHeight="1" outlineLevel="2" x14ac:dyDescent="0.25">
      <c r="A212" s="11" t="str">
        <f t="shared" si="131"/>
        <v>ЩУ-Т1 (10 секция)</v>
      </c>
      <c r="B212" s="12" t="s">
        <v>12</v>
      </c>
      <c r="C212" s="18"/>
      <c r="D212" s="11" t="s">
        <v>198</v>
      </c>
      <c r="E212" s="16">
        <v>1660</v>
      </c>
      <c r="F212" s="13">
        <f t="shared" si="132"/>
        <v>996</v>
      </c>
      <c r="G212" s="13">
        <f t="shared" si="133"/>
        <v>996</v>
      </c>
      <c r="H212" s="14">
        <v>1</v>
      </c>
      <c r="I212" s="15" t="s">
        <v>13</v>
      </c>
      <c r="J212" s="12" t="s">
        <v>36</v>
      </c>
      <c r="K212">
        <v>996</v>
      </c>
      <c r="L212">
        <f t="shared" si="130"/>
        <v>1</v>
      </c>
      <c r="M212" s="23">
        <f t="shared" si="121"/>
        <v>996</v>
      </c>
    </row>
    <row r="213" spans="1:13" ht="21" customHeight="1" outlineLevel="2" x14ac:dyDescent="0.25">
      <c r="A213" s="11" t="str">
        <f t="shared" si="131"/>
        <v>ЩУ-Т1 (10 секция)</v>
      </c>
      <c r="B213" s="12" t="s">
        <v>12</v>
      </c>
      <c r="C213" s="18">
        <v>296708</v>
      </c>
      <c r="D213" s="11" t="s">
        <v>31</v>
      </c>
      <c r="E213" s="12">
        <v>828</v>
      </c>
      <c r="F213" s="13">
        <f t="shared" si="132"/>
        <v>496.79999999999995</v>
      </c>
      <c r="G213" s="13">
        <f t="shared" si="133"/>
        <v>496.79999999999995</v>
      </c>
      <c r="H213" s="14">
        <v>1</v>
      </c>
      <c r="I213" s="15" t="s">
        <v>13</v>
      </c>
      <c r="J213" s="12" t="s">
        <v>36</v>
      </c>
      <c r="K213">
        <v>496.79999999999995</v>
      </c>
      <c r="L213">
        <f t="shared" si="130"/>
        <v>1</v>
      </c>
      <c r="M213" s="23">
        <f t="shared" si="121"/>
        <v>496.79999999999995</v>
      </c>
    </row>
    <row r="214" spans="1:13" ht="21" customHeight="1" outlineLevel="2" x14ac:dyDescent="0.25">
      <c r="A214" s="11" t="str">
        <f t="shared" si="131"/>
        <v>ЩУ-Т1 (10 секция)</v>
      </c>
      <c r="B214" s="12" t="s">
        <v>21</v>
      </c>
      <c r="C214" s="18" t="s">
        <v>70</v>
      </c>
      <c r="D214" s="11" t="s">
        <v>69</v>
      </c>
      <c r="E214" s="12">
        <v>3505</v>
      </c>
      <c r="F214" s="13">
        <f t="shared" si="132"/>
        <v>2103</v>
      </c>
      <c r="G214" s="13">
        <f t="shared" si="133"/>
        <v>2103</v>
      </c>
      <c r="H214" s="14">
        <v>1</v>
      </c>
      <c r="I214" s="15" t="s">
        <v>13</v>
      </c>
      <c r="J214" s="12" t="s">
        <v>36</v>
      </c>
      <c r="K214">
        <v>2103</v>
      </c>
      <c r="L214">
        <f t="shared" si="130"/>
        <v>1</v>
      </c>
      <c r="M214" s="23">
        <f t="shared" si="121"/>
        <v>2103</v>
      </c>
    </row>
    <row r="215" spans="1:13" ht="21" customHeight="1" outlineLevel="2" x14ac:dyDescent="0.25">
      <c r="A215" s="11" t="str">
        <f>A211</f>
        <v>ЩУ-Т1 (10 секция)</v>
      </c>
      <c r="B215" s="12" t="s">
        <v>71</v>
      </c>
      <c r="C215" s="18" t="s">
        <v>264</v>
      </c>
      <c r="D215" s="11" t="s">
        <v>263</v>
      </c>
      <c r="E215" s="16">
        <v>19505</v>
      </c>
      <c r="F215" s="13">
        <f>E215</f>
        <v>19505</v>
      </c>
      <c r="G215" s="13">
        <f t="shared" si="133"/>
        <v>19505</v>
      </c>
      <c r="H215" s="14">
        <v>1</v>
      </c>
      <c r="I215" s="15" t="s">
        <v>13</v>
      </c>
      <c r="J215" s="12" t="s">
        <v>20</v>
      </c>
      <c r="K215">
        <v>19505</v>
      </c>
      <c r="L215">
        <f t="shared" si="130"/>
        <v>1</v>
      </c>
      <c r="M215" s="23">
        <f t="shared" si="121"/>
        <v>19505</v>
      </c>
    </row>
    <row r="216" spans="1:13" ht="24" customHeight="1" outlineLevel="2" x14ac:dyDescent="0.25">
      <c r="A216" s="11" t="str">
        <f>A212</f>
        <v>ЩУ-Т1 (10 секция)</v>
      </c>
      <c r="B216" s="11" t="s">
        <v>10</v>
      </c>
      <c r="C216" s="11" t="s">
        <v>10</v>
      </c>
      <c r="D216" s="11" t="s">
        <v>10</v>
      </c>
      <c r="E216" s="11">
        <f ca="1">OFFSET(E216,1,2)</f>
        <v>6000</v>
      </c>
      <c r="F216" s="13">
        <f ca="1">E216</f>
        <v>6000</v>
      </c>
      <c r="G216" s="13">
        <f ca="1">F216*H216</f>
        <v>6000</v>
      </c>
      <c r="H216" s="11">
        <v>1</v>
      </c>
      <c r="I216" s="11" t="s">
        <v>13</v>
      </c>
      <c r="J216" s="11" t="s">
        <v>10</v>
      </c>
      <c r="K216">
        <v>6000</v>
      </c>
      <c r="L216">
        <f t="shared" si="130"/>
        <v>1</v>
      </c>
      <c r="M216" s="23">
        <f t="shared" ca="1" si="121"/>
        <v>6000</v>
      </c>
    </row>
    <row r="217" spans="1:13" ht="21" customHeight="1" outlineLevel="2" x14ac:dyDescent="0.25">
      <c r="A217" s="11" t="str">
        <f t="shared" ref="A217" si="134">A216</f>
        <v>ЩУ-Т1 (10 секция)</v>
      </c>
      <c r="B217" s="11" t="s">
        <v>11</v>
      </c>
      <c r="C217" s="11" t="s">
        <v>11</v>
      </c>
      <c r="D217" s="11" t="s">
        <v>11</v>
      </c>
      <c r="E217" s="11">
        <v>1</v>
      </c>
      <c r="F217" s="13">
        <v>100</v>
      </c>
      <c r="G217" s="13">
        <f t="shared" ref="G217" si="135">F217*H217</f>
        <v>6000</v>
      </c>
      <c r="H217" s="11">
        <f>60*E217</f>
        <v>60</v>
      </c>
      <c r="I217" s="11" t="s">
        <v>13</v>
      </c>
      <c r="J217" s="11" t="s">
        <v>11</v>
      </c>
      <c r="K217">
        <v>6000</v>
      </c>
      <c r="L217">
        <f t="shared" si="130"/>
        <v>1</v>
      </c>
      <c r="M217" s="23">
        <f t="shared" si="121"/>
        <v>6000</v>
      </c>
    </row>
    <row r="218" spans="1:13" ht="21" customHeight="1" outlineLevel="1" x14ac:dyDescent="0.25">
      <c r="A218" s="11" t="s">
        <v>301</v>
      </c>
      <c r="B218" s="11"/>
      <c r="C218" s="11"/>
      <c r="D218" s="11"/>
      <c r="E218" s="11"/>
      <c r="F218" s="13"/>
      <c r="G218" s="13">
        <f ca="1">SUBTOTAL(9,G209:G217)</f>
        <v>43508.6</v>
      </c>
      <c r="H218" s="11"/>
      <c r="I218" s="11"/>
      <c r="J218" s="11"/>
      <c r="K218">
        <v>43508.6</v>
      </c>
      <c r="L218">
        <f t="shared" si="130"/>
        <v>1</v>
      </c>
      <c r="M218" s="23">
        <f t="shared" ca="1" si="121"/>
        <v>43508.6</v>
      </c>
    </row>
    <row r="219" spans="1:13" ht="39.75" customHeight="1" outlineLevel="2" x14ac:dyDescent="0.25">
      <c r="A219" s="4" t="str">
        <f>D219</f>
        <v>ВЩж-11 (ВРУ1-13-20УХЛ) (11 секция)</v>
      </c>
      <c r="B219" s="5"/>
      <c r="C219" s="17"/>
      <c r="D219" s="5" t="s">
        <v>154</v>
      </c>
      <c r="E219" s="7"/>
      <c r="F219" s="7"/>
      <c r="G219" s="8"/>
      <c r="H219" s="9">
        <v>1</v>
      </c>
      <c r="I219" s="10" t="s">
        <v>7</v>
      </c>
      <c r="J219" s="5" t="s">
        <v>9</v>
      </c>
      <c r="L219">
        <f>H219</f>
        <v>1</v>
      </c>
      <c r="M219" s="23">
        <f t="shared" si="121"/>
        <v>0</v>
      </c>
    </row>
    <row r="220" spans="1:13" ht="21" customHeight="1" outlineLevel="2" x14ac:dyDescent="0.25">
      <c r="A220" s="11" t="str">
        <f>A219</f>
        <v>ВЩж-11 (ВРУ1-13-20УХЛ) (11 секция)</v>
      </c>
      <c r="B220" s="12" t="s">
        <v>8</v>
      </c>
      <c r="C220" s="18" t="s">
        <v>250</v>
      </c>
      <c r="D220" s="11" t="s">
        <v>251</v>
      </c>
      <c r="E220" s="12">
        <v>160000</v>
      </c>
      <c r="F220" s="13">
        <f>0.6*E220</f>
        <v>96000</v>
      </c>
      <c r="G220" s="13">
        <f>H220*F220</f>
        <v>96000</v>
      </c>
      <c r="H220" s="14">
        <v>1</v>
      </c>
      <c r="I220" s="15" t="s">
        <v>13</v>
      </c>
      <c r="J220" s="12" t="s">
        <v>16</v>
      </c>
      <c r="K220">
        <v>96000</v>
      </c>
      <c r="L220">
        <f t="shared" ref="L220:L229" si="136">L219</f>
        <v>1</v>
      </c>
      <c r="M220" s="23">
        <f t="shared" si="121"/>
        <v>96000</v>
      </c>
    </row>
    <row r="221" spans="1:13" ht="21" customHeight="1" outlineLevel="2" x14ac:dyDescent="0.25">
      <c r="A221" s="11" t="str">
        <f t="shared" ref="A221:A228" si="137">A220</f>
        <v>ВЩж-11 (ВРУ1-13-20УХЛ) (11 секция)</v>
      </c>
      <c r="B221" s="12" t="s">
        <v>43</v>
      </c>
      <c r="C221" s="18" t="s">
        <v>41</v>
      </c>
      <c r="D221" s="11" t="s">
        <v>42</v>
      </c>
      <c r="E221" s="12">
        <v>29135</v>
      </c>
      <c r="F221" s="13">
        <f t="shared" ref="F221:F222" si="138">E221</f>
        <v>29135</v>
      </c>
      <c r="G221" s="13">
        <f>F221*H221</f>
        <v>58270</v>
      </c>
      <c r="H221" s="14">
        <v>2</v>
      </c>
      <c r="I221" s="15" t="s">
        <v>13</v>
      </c>
      <c r="J221" s="12" t="s">
        <v>20</v>
      </c>
      <c r="K221">
        <v>58270</v>
      </c>
      <c r="L221">
        <f t="shared" si="136"/>
        <v>1</v>
      </c>
      <c r="M221" s="23">
        <f t="shared" si="121"/>
        <v>58270</v>
      </c>
    </row>
    <row r="222" spans="1:13" ht="21" customHeight="1" outlineLevel="2" x14ac:dyDescent="0.25">
      <c r="A222" s="11" t="str">
        <f t="shared" si="137"/>
        <v>ВЩж-11 (ВРУ1-13-20УХЛ) (11 секция)</v>
      </c>
      <c r="B222" s="12" t="s">
        <v>44</v>
      </c>
      <c r="C222" s="18" t="s">
        <v>265</v>
      </c>
      <c r="D222" s="11" t="s">
        <v>266</v>
      </c>
      <c r="E222" s="12">
        <v>6500</v>
      </c>
      <c r="F222" s="13">
        <f t="shared" si="138"/>
        <v>6500</v>
      </c>
      <c r="G222" s="13">
        <f t="shared" ref="G222:G226" si="139">F222*H222</f>
        <v>39000</v>
      </c>
      <c r="H222" s="14">
        <v>6</v>
      </c>
      <c r="I222" s="15" t="s">
        <v>13</v>
      </c>
      <c r="J222" s="12" t="s">
        <v>20</v>
      </c>
      <c r="K222">
        <v>39000</v>
      </c>
      <c r="L222">
        <f t="shared" si="136"/>
        <v>1</v>
      </c>
      <c r="M222" s="23">
        <f t="shared" si="121"/>
        <v>39000</v>
      </c>
    </row>
    <row r="223" spans="1:13" ht="21" customHeight="1" outlineLevel="2" x14ac:dyDescent="0.25">
      <c r="A223" s="11" t="str">
        <f t="shared" si="137"/>
        <v>ВЩж-11 (ВРУ1-13-20УХЛ) (11 секция)</v>
      </c>
      <c r="B223" s="12" t="s">
        <v>134</v>
      </c>
      <c r="C223" s="18" t="s">
        <v>155</v>
      </c>
      <c r="D223" s="11" t="s">
        <v>156</v>
      </c>
      <c r="E223" s="12">
        <v>3302</v>
      </c>
      <c r="F223" s="13">
        <f t="shared" ref="F223:F224" si="140">E223*0.6</f>
        <v>1981.1999999999998</v>
      </c>
      <c r="G223" s="13">
        <f t="shared" si="139"/>
        <v>11887.199999999999</v>
      </c>
      <c r="H223" s="14">
        <v>6</v>
      </c>
      <c r="I223" s="15" t="s">
        <v>13</v>
      </c>
      <c r="J223" s="12" t="s">
        <v>206</v>
      </c>
      <c r="K223">
        <v>11887.199999999999</v>
      </c>
      <c r="L223">
        <f t="shared" si="136"/>
        <v>1</v>
      </c>
      <c r="M223" s="23">
        <f t="shared" si="121"/>
        <v>11887.199999999999</v>
      </c>
    </row>
    <row r="224" spans="1:13" ht="21" customHeight="1" outlineLevel="2" x14ac:dyDescent="0.25">
      <c r="A224" s="11" t="str">
        <f t="shared" si="137"/>
        <v>ВЩж-11 (ВРУ1-13-20УХЛ) (11 секция)</v>
      </c>
      <c r="B224" s="12" t="s">
        <v>134</v>
      </c>
      <c r="C224" s="18" t="s">
        <v>157</v>
      </c>
      <c r="D224" s="11" t="s">
        <v>158</v>
      </c>
      <c r="E224" s="12">
        <v>4750</v>
      </c>
      <c r="F224" s="13">
        <f t="shared" si="140"/>
        <v>2850</v>
      </c>
      <c r="G224" s="13">
        <f t="shared" ref="G224" si="141">F224*H224</f>
        <v>17100</v>
      </c>
      <c r="H224" s="14">
        <v>6</v>
      </c>
      <c r="I224" s="15" t="s">
        <v>13</v>
      </c>
      <c r="J224" s="12" t="s">
        <v>206</v>
      </c>
      <c r="K224">
        <v>17100</v>
      </c>
      <c r="L224">
        <f t="shared" si="136"/>
        <v>1</v>
      </c>
      <c r="M224" s="23">
        <f t="shared" si="121"/>
        <v>17100</v>
      </c>
    </row>
    <row r="225" spans="1:13" ht="21" customHeight="1" outlineLevel="2" x14ac:dyDescent="0.25">
      <c r="A225" s="11" t="str">
        <f>A223</f>
        <v>ВЩж-11 (ВРУ1-13-20УХЛ) (11 секция)</v>
      </c>
      <c r="B225" s="12" t="s">
        <v>45</v>
      </c>
      <c r="C225" s="18" t="s">
        <v>241</v>
      </c>
      <c r="D225" s="11" t="s">
        <v>242</v>
      </c>
      <c r="E225" s="12">
        <v>290</v>
      </c>
      <c r="F225" s="13">
        <f>E225*0.6</f>
        <v>174</v>
      </c>
      <c r="G225" s="13">
        <f t="shared" si="139"/>
        <v>348</v>
      </c>
      <c r="H225" s="14">
        <v>2</v>
      </c>
      <c r="I225" s="15" t="s">
        <v>13</v>
      </c>
      <c r="J225" s="12" t="s">
        <v>236</v>
      </c>
      <c r="K225">
        <v>348</v>
      </c>
      <c r="L225">
        <f t="shared" si="136"/>
        <v>1</v>
      </c>
      <c r="M225" s="23">
        <f t="shared" si="121"/>
        <v>348</v>
      </c>
    </row>
    <row r="226" spans="1:13" ht="21" customHeight="1" outlineLevel="2" x14ac:dyDescent="0.25">
      <c r="A226" s="11" t="str">
        <f>A222</f>
        <v>ВЩж-11 (ВРУ1-13-20УХЛ) (11 секция)</v>
      </c>
      <c r="B226" s="12" t="s">
        <v>47</v>
      </c>
      <c r="C226" s="18" t="s">
        <v>233</v>
      </c>
      <c r="D226" s="11" t="s">
        <v>234</v>
      </c>
      <c r="E226" s="12">
        <v>664</v>
      </c>
      <c r="F226" s="13">
        <f>E226</f>
        <v>664</v>
      </c>
      <c r="G226" s="13">
        <f t="shared" si="139"/>
        <v>3984</v>
      </c>
      <c r="H226" s="14">
        <v>6</v>
      </c>
      <c r="I226" s="15" t="s">
        <v>235</v>
      </c>
      <c r="J226" s="12" t="s">
        <v>20</v>
      </c>
      <c r="K226">
        <v>3984</v>
      </c>
      <c r="L226">
        <f t="shared" si="136"/>
        <v>1</v>
      </c>
      <c r="M226" s="23">
        <f t="shared" si="121"/>
        <v>3984</v>
      </c>
    </row>
    <row r="227" spans="1:13" ht="24" customHeight="1" outlineLevel="2" x14ac:dyDescent="0.25">
      <c r="A227" s="11" t="str">
        <f>A225</f>
        <v>ВЩж-11 (ВРУ1-13-20УХЛ) (11 секция)</v>
      </c>
      <c r="B227" s="11" t="s">
        <v>10</v>
      </c>
      <c r="C227" s="11" t="s">
        <v>10</v>
      </c>
      <c r="D227" s="11" t="s">
        <v>10</v>
      </c>
      <c r="E227" s="11">
        <f ca="1">OFFSET(E227,1,2)</f>
        <v>30000</v>
      </c>
      <c r="F227" s="13">
        <f ca="1">E227</f>
        <v>30000</v>
      </c>
      <c r="G227" s="13">
        <f ca="1">F227*H227</f>
        <v>30000</v>
      </c>
      <c r="H227" s="11">
        <v>1</v>
      </c>
      <c r="I227" s="11" t="s">
        <v>13</v>
      </c>
      <c r="J227" s="11" t="s">
        <v>10</v>
      </c>
      <c r="K227">
        <v>30000</v>
      </c>
      <c r="L227">
        <f t="shared" si="136"/>
        <v>1</v>
      </c>
      <c r="M227" s="23">
        <f t="shared" ca="1" si="121"/>
        <v>30000</v>
      </c>
    </row>
    <row r="228" spans="1:13" ht="21" customHeight="1" outlineLevel="2" x14ac:dyDescent="0.25">
      <c r="A228" s="11" t="str">
        <f t="shared" si="137"/>
        <v>ВЩж-11 (ВРУ1-13-20УХЛ) (11 секция)</v>
      </c>
      <c r="B228" s="11" t="s">
        <v>11</v>
      </c>
      <c r="C228" s="11" t="s">
        <v>11</v>
      </c>
      <c r="D228" s="11" t="s">
        <v>11</v>
      </c>
      <c r="E228" s="11">
        <v>5</v>
      </c>
      <c r="F228" s="13">
        <v>100</v>
      </c>
      <c r="G228" s="13">
        <f t="shared" ref="G228" si="142">F228*H228</f>
        <v>30000</v>
      </c>
      <c r="H228" s="11">
        <f>60*E228</f>
        <v>300</v>
      </c>
      <c r="I228" s="11" t="s">
        <v>13</v>
      </c>
      <c r="J228" s="11" t="s">
        <v>11</v>
      </c>
      <c r="K228">
        <v>30000</v>
      </c>
      <c r="L228">
        <f t="shared" si="136"/>
        <v>1</v>
      </c>
      <c r="M228" s="23">
        <f t="shared" si="121"/>
        <v>30000</v>
      </c>
    </row>
    <row r="229" spans="1:13" ht="21" customHeight="1" outlineLevel="1" x14ac:dyDescent="0.25">
      <c r="A229" s="11" t="s">
        <v>302</v>
      </c>
      <c r="B229" s="11"/>
      <c r="C229" s="11"/>
      <c r="D229" s="11"/>
      <c r="E229" s="11"/>
      <c r="F229" s="13"/>
      <c r="G229" s="13">
        <f ca="1">SUBTOTAL(9,G219:G228)</f>
        <v>286589.2</v>
      </c>
      <c r="H229" s="11"/>
      <c r="I229" s="11"/>
      <c r="J229" s="11"/>
      <c r="K229">
        <v>286589.2</v>
      </c>
      <c r="L229">
        <f t="shared" si="136"/>
        <v>1</v>
      </c>
      <c r="M229" s="23">
        <f t="shared" ca="1" si="121"/>
        <v>286589.2</v>
      </c>
    </row>
    <row r="230" spans="1:13" ht="39.75" customHeight="1" outlineLevel="2" x14ac:dyDescent="0.25">
      <c r="A230" s="4" t="str">
        <f>D230</f>
        <v>РЩж-11 (ВРУ1-13-20УХЛ) (11 секция)</v>
      </c>
      <c r="B230" s="5"/>
      <c r="C230" s="17"/>
      <c r="D230" s="5" t="s">
        <v>159</v>
      </c>
      <c r="E230" s="7"/>
      <c r="F230" s="7"/>
      <c r="G230" s="8"/>
      <c r="H230" s="9">
        <v>1</v>
      </c>
      <c r="I230" s="10" t="s">
        <v>7</v>
      </c>
      <c r="J230" s="5" t="s">
        <v>9</v>
      </c>
      <c r="L230">
        <f>H230</f>
        <v>1</v>
      </c>
      <c r="M230" s="23">
        <f t="shared" si="121"/>
        <v>0</v>
      </c>
    </row>
    <row r="231" spans="1:13" ht="21" customHeight="1" outlineLevel="2" x14ac:dyDescent="0.25">
      <c r="A231" s="11" t="str">
        <f>A230</f>
        <v>РЩж-11 (ВРУ1-13-20УХЛ) (11 секция)</v>
      </c>
      <c r="B231" s="12" t="s">
        <v>8</v>
      </c>
      <c r="C231" s="18" t="s">
        <v>250</v>
      </c>
      <c r="D231" s="11" t="s">
        <v>251</v>
      </c>
      <c r="E231" s="12">
        <v>170000</v>
      </c>
      <c r="F231" s="13">
        <f>0.6*E231</f>
        <v>102000</v>
      </c>
      <c r="G231" s="13">
        <f>H231*F231</f>
        <v>102000</v>
      </c>
      <c r="H231" s="14">
        <v>1</v>
      </c>
      <c r="I231" s="15" t="s">
        <v>13</v>
      </c>
      <c r="J231" s="12" t="s">
        <v>16</v>
      </c>
      <c r="K231">
        <v>102000</v>
      </c>
      <c r="L231">
        <f t="shared" ref="L231:L242" si="143">L230</f>
        <v>1</v>
      </c>
      <c r="M231" s="23">
        <f t="shared" si="121"/>
        <v>102000</v>
      </c>
    </row>
    <row r="232" spans="1:13" ht="21" customHeight="1" outlineLevel="2" x14ac:dyDescent="0.25">
      <c r="A232" s="11" t="str">
        <f>A230</f>
        <v>РЩж-11 (ВРУ1-13-20УХЛ) (11 секция)</v>
      </c>
      <c r="B232" s="12" t="s">
        <v>134</v>
      </c>
      <c r="C232" s="18" t="s">
        <v>160</v>
      </c>
      <c r="D232" s="11" t="s">
        <v>161</v>
      </c>
      <c r="E232" s="12">
        <v>2225</v>
      </c>
      <c r="F232" s="13">
        <f t="shared" ref="F232:F238" si="144">E232*0.6</f>
        <v>1335</v>
      </c>
      <c r="G232" s="13">
        <f t="shared" ref="G232" si="145">F232*H232</f>
        <v>4005</v>
      </c>
      <c r="H232" s="14">
        <v>3</v>
      </c>
      <c r="I232" s="15" t="s">
        <v>13</v>
      </c>
      <c r="J232" s="12" t="s">
        <v>206</v>
      </c>
      <c r="K232">
        <v>4005</v>
      </c>
      <c r="L232">
        <f t="shared" si="143"/>
        <v>1</v>
      </c>
      <c r="M232" s="23">
        <f t="shared" si="121"/>
        <v>4005</v>
      </c>
    </row>
    <row r="233" spans="1:13" ht="21" customHeight="1" outlineLevel="2" x14ac:dyDescent="0.25">
      <c r="A233" s="11" t="str">
        <f>A231</f>
        <v>РЩж-11 (ВРУ1-13-20УХЛ) (11 секция)</v>
      </c>
      <c r="B233" s="12" t="s">
        <v>134</v>
      </c>
      <c r="C233" s="18" t="s">
        <v>128</v>
      </c>
      <c r="D233" s="11" t="s">
        <v>129</v>
      </c>
      <c r="E233" s="12">
        <v>2225</v>
      </c>
      <c r="F233" s="13">
        <f t="shared" si="144"/>
        <v>1335</v>
      </c>
      <c r="G233" s="13">
        <f t="shared" ref="G233:G239" si="146">F233*H233</f>
        <v>8010</v>
      </c>
      <c r="H233" s="14">
        <v>6</v>
      </c>
      <c r="I233" s="15" t="s">
        <v>13</v>
      </c>
      <c r="J233" s="12" t="s">
        <v>206</v>
      </c>
      <c r="K233">
        <v>8010</v>
      </c>
      <c r="L233">
        <f t="shared" si="143"/>
        <v>1</v>
      </c>
      <c r="M233" s="23">
        <f t="shared" si="121"/>
        <v>8010</v>
      </c>
    </row>
    <row r="234" spans="1:13" ht="21" customHeight="1" outlineLevel="2" x14ac:dyDescent="0.25">
      <c r="A234" s="11" t="str">
        <f t="shared" ref="A234:A241" si="147">A233</f>
        <v>РЩж-11 (ВРУ1-13-20УХЛ) (11 секция)</v>
      </c>
      <c r="B234" s="12" t="s">
        <v>134</v>
      </c>
      <c r="C234" s="18" t="s">
        <v>130</v>
      </c>
      <c r="D234" s="11" t="s">
        <v>131</v>
      </c>
      <c r="E234" s="12">
        <v>2210</v>
      </c>
      <c r="F234" s="13">
        <f t="shared" si="144"/>
        <v>1326</v>
      </c>
      <c r="G234" s="13">
        <f t="shared" si="146"/>
        <v>3978</v>
      </c>
      <c r="H234" s="14">
        <v>3</v>
      </c>
      <c r="I234" s="15" t="s">
        <v>13</v>
      </c>
      <c r="J234" s="12" t="s">
        <v>206</v>
      </c>
      <c r="K234">
        <v>3978</v>
      </c>
      <c r="L234">
        <f t="shared" si="143"/>
        <v>1</v>
      </c>
      <c r="M234" s="23">
        <f t="shared" si="121"/>
        <v>3978</v>
      </c>
    </row>
    <row r="235" spans="1:13" ht="21" customHeight="1" outlineLevel="2" x14ac:dyDescent="0.25">
      <c r="A235" s="11" t="str">
        <f t="shared" si="147"/>
        <v>РЩж-11 (ВРУ1-13-20УХЛ) (11 секция)</v>
      </c>
      <c r="B235" s="12" t="s">
        <v>134</v>
      </c>
      <c r="C235" s="18" t="s">
        <v>162</v>
      </c>
      <c r="D235" s="11" t="s">
        <v>163</v>
      </c>
      <c r="E235" s="12">
        <v>2175</v>
      </c>
      <c r="F235" s="13">
        <f t="shared" si="144"/>
        <v>1305</v>
      </c>
      <c r="G235" s="13">
        <f t="shared" si="146"/>
        <v>3915</v>
      </c>
      <c r="H235" s="14">
        <v>3</v>
      </c>
      <c r="I235" s="15" t="s">
        <v>13</v>
      </c>
      <c r="J235" s="12" t="s">
        <v>206</v>
      </c>
      <c r="K235">
        <v>3915</v>
      </c>
      <c r="L235">
        <f t="shared" si="143"/>
        <v>1</v>
      </c>
      <c r="M235" s="23">
        <f t="shared" si="121"/>
        <v>3915</v>
      </c>
    </row>
    <row r="236" spans="1:13" ht="21" customHeight="1" outlineLevel="2" x14ac:dyDescent="0.25">
      <c r="A236" s="11" t="str">
        <f t="shared" si="147"/>
        <v>РЩж-11 (ВРУ1-13-20УХЛ) (11 секция)</v>
      </c>
      <c r="B236" s="12" t="s">
        <v>134</v>
      </c>
      <c r="C236" s="18" t="s">
        <v>132</v>
      </c>
      <c r="D236" s="11" t="s">
        <v>133</v>
      </c>
      <c r="E236" s="12">
        <v>1510</v>
      </c>
      <c r="F236" s="13">
        <f t="shared" si="144"/>
        <v>906</v>
      </c>
      <c r="G236" s="13">
        <f t="shared" ref="G236:G237" si="148">F236*H236</f>
        <v>8154</v>
      </c>
      <c r="H236" s="14">
        <v>9</v>
      </c>
      <c r="I236" s="15" t="s">
        <v>13</v>
      </c>
      <c r="J236" s="12" t="s">
        <v>206</v>
      </c>
      <c r="K236">
        <v>8154</v>
      </c>
      <c r="L236">
        <f t="shared" si="143"/>
        <v>1</v>
      </c>
      <c r="M236" s="23">
        <f t="shared" si="121"/>
        <v>8154</v>
      </c>
    </row>
    <row r="237" spans="1:13" ht="21" customHeight="1" outlineLevel="2" x14ac:dyDescent="0.25">
      <c r="A237" s="11" t="str">
        <f t="shared" si="147"/>
        <v>РЩж-11 (ВРУ1-13-20УХЛ) (11 секция)</v>
      </c>
      <c r="B237" s="12" t="s">
        <v>134</v>
      </c>
      <c r="C237" s="18" t="s">
        <v>135</v>
      </c>
      <c r="D237" s="11" t="s">
        <v>136</v>
      </c>
      <c r="E237" s="12">
        <v>3100</v>
      </c>
      <c r="F237" s="13">
        <f t="shared" si="144"/>
        <v>1860</v>
      </c>
      <c r="G237" s="13">
        <f t="shared" si="148"/>
        <v>27900</v>
      </c>
      <c r="H237" s="14">
        <v>15</v>
      </c>
      <c r="I237" s="15" t="s">
        <v>13</v>
      </c>
      <c r="J237" s="12" t="s">
        <v>206</v>
      </c>
      <c r="K237">
        <v>27900</v>
      </c>
      <c r="L237">
        <f t="shared" si="143"/>
        <v>1</v>
      </c>
      <c r="M237" s="23">
        <f t="shared" si="121"/>
        <v>27900</v>
      </c>
    </row>
    <row r="238" spans="1:13" ht="21" customHeight="1" outlineLevel="2" x14ac:dyDescent="0.25">
      <c r="A238" s="11" t="str">
        <f t="shared" si="147"/>
        <v>РЩж-11 (ВРУ1-13-20УХЛ) (11 секция)</v>
      </c>
      <c r="B238" s="12" t="s">
        <v>134</v>
      </c>
      <c r="C238" s="18" t="s">
        <v>137</v>
      </c>
      <c r="D238" s="11" t="s">
        <v>138</v>
      </c>
      <c r="E238" s="12">
        <v>2038</v>
      </c>
      <c r="F238" s="13">
        <f t="shared" si="144"/>
        <v>1222.8</v>
      </c>
      <c r="G238" s="13">
        <f t="shared" ref="G238" si="149">F238*H238</f>
        <v>11005.199999999999</v>
      </c>
      <c r="H238" s="14">
        <v>9</v>
      </c>
      <c r="I238" s="15" t="s">
        <v>13</v>
      </c>
      <c r="J238" s="12" t="s">
        <v>206</v>
      </c>
      <c r="K238">
        <v>11005.199999999999</v>
      </c>
      <c r="L238">
        <f t="shared" si="143"/>
        <v>1</v>
      </c>
      <c r="M238" s="23">
        <f t="shared" si="121"/>
        <v>11005.199999999999</v>
      </c>
    </row>
    <row r="239" spans="1:13" ht="21" customHeight="1" outlineLevel="2" x14ac:dyDescent="0.25">
      <c r="A239" s="11" t="str">
        <f>A235</f>
        <v>РЩж-11 (ВРУ1-13-20УХЛ) (11 секция)</v>
      </c>
      <c r="B239" s="12" t="s">
        <v>47</v>
      </c>
      <c r="C239" s="18" t="s">
        <v>233</v>
      </c>
      <c r="D239" s="11" t="s">
        <v>234</v>
      </c>
      <c r="E239" s="12">
        <v>664</v>
      </c>
      <c r="F239" s="13">
        <f>E239</f>
        <v>664</v>
      </c>
      <c r="G239" s="13">
        <f t="shared" si="146"/>
        <v>2656</v>
      </c>
      <c r="H239" s="14">
        <v>4</v>
      </c>
      <c r="I239" s="15" t="s">
        <v>235</v>
      </c>
      <c r="J239" s="12" t="s">
        <v>20</v>
      </c>
      <c r="K239">
        <v>2656</v>
      </c>
      <c r="L239">
        <f t="shared" si="143"/>
        <v>1</v>
      </c>
      <c r="M239" s="23">
        <f t="shared" si="121"/>
        <v>2656</v>
      </c>
    </row>
    <row r="240" spans="1:13" ht="24" customHeight="1" outlineLevel="2" x14ac:dyDescent="0.25">
      <c r="A240" s="11" t="str">
        <f t="shared" si="147"/>
        <v>РЩж-11 (ВРУ1-13-20УХЛ) (11 секция)</v>
      </c>
      <c r="B240" s="11" t="s">
        <v>10</v>
      </c>
      <c r="C240" s="11" t="s">
        <v>10</v>
      </c>
      <c r="D240" s="11" t="s">
        <v>10</v>
      </c>
      <c r="E240" s="11">
        <f ca="1">OFFSET(E240,1,2)</f>
        <v>30000</v>
      </c>
      <c r="F240" s="13">
        <f ca="1">E240</f>
        <v>30000</v>
      </c>
      <c r="G240" s="13">
        <f ca="1">F240*H240</f>
        <v>30000</v>
      </c>
      <c r="H240" s="11">
        <v>1</v>
      </c>
      <c r="I240" s="11" t="s">
        <v>13</v>
      </c>
      <c r="J240" s="11" t="s">
        <v>10</v>
      </c>
      <c r="K240">
        <v>30000</v>
      </c>
      <c r="L240">
        <f t="shared" si="143"/>
        <v>1</v>
      </c>
      <c r="M240" s="23">
        <f t="shared" ca="1" si="121"/>
        <v>30000</v>
      </c>
    </row>
    <row r="241" spans="1:13" ht="21" customHeight="1" outlineLevel="2" x14ac:dyDescent="0.25">
      <c r="A241" s="11" t="str">
        <f t="shared" si="147"/>
        <v>РЩж-11 (ВРУ1-13-20УХЛ) (11 секция)</v>
      </c>
      <c r="B241" s="11" t="s">
        <v>11</v>
      </c>
      <c r="C241" s="11" t="s">
        <v>11</v>
      </c>
      <c r="D241" s="11" t="s">
        <v>11</v>
      </c>
      <c r="E241" s="11">
        <v>5</v>
      </c>
      <c r="F241" s="13">
        <v>100</v>
      </c>
      <c r="G241" s="13">
        <f t="shared" ref="G241" si="150">F241*H241</f>
        <v>30000</v>
      </c>
      <c r="H241" s="11">
        <f>60*E241</f>
        <v>300</v>
      </c>
      <c r="I241" s="11" t="s">
        <v>13</v>
      </c>
      <c r="J241" s="11" t="s">
        <v>11</v>
      </c>
      <c r="K241">
        <v>30000</v>
      </c>
      <c r="L241">
        <f t="shared" si="143"/>
        <v>1</v>
      </c>
      <c r="M241" s="23">
        <f t="shared" si="121"/>
        <v>30000</v>
      </c>
    </row>
    <row r="242" spans="1:13" ht="21" customHeight="1" outlineLevel="1" x14ac:dyDescent="0.25">
      <c r="A242" s="11" t="s">
        <v>303</v>
      </c>
      <c r="B242" s="11"/>
      <c r="C242" s="11"/>
      <c r="D242" s="11"/>
      <c r="E242" s="11"/>
      <c r="F242" s="13"/>
      <c r="G242" s="13">
        <f ca="1">SUBTOTAL(9,G230:G241)</f>
        <v>231623.2</v>
      </c>
      <c r="H242" s="11"/>
      <c r="I242" s="11"/>
      <c r="J242" s="11"/>
      <c r="K242">
        <v>231623.2</v>
      </c>
      <c r="L242">
        <f t="shared" si="143"/>
        <v>1</v>
      </c>
      <c r="M242" s="23">
        <f t="shared" ca="1" si="121"/>
        <v>231623.2</v>
      </c>
    </row>
    <row r="243" spans="1:13" ht="39.75" customHeight="1" outlineLevel="2" x14ac:dyDescent="0.25">
      <c r="A243" s="4" t="str">
        <f>D243</f>
        <v>АВР-3-1 100А (11 секция)</v>
      </c>
      <c r="B243" s="5"/>
      <c r="C243" s="17"/>
      <c r="D243" s="5" t="s">
        <v>164</v>
      </c>
      <c r="E243" s="7"/>
      <c r="F243" s="7"/>
      <c r="G243" s="8"/>
      <c r="H243" s="9">
        <v>1</v>
      </c>
      <c r="I243" s="10" t="s">
        <v>7</v>
      </c>
      <c r="J243" s="5" t="s">
        <v>9</v>
      </c>
      <c r="L243">
        <f>H243</f>
        <v>1</v>
      </c>
      <c r="M243" s="23">
        <f t="shared" si="121"/>
        <v>0</v>
      </c>
    </row>
    <row r="244" spans="1:13" ht="21" customHeight="1" outlineLevel="2" x14ac:dyDescent="0.25">
      <c r="A244" s="11" t="str">
        <f>A243</f>
        <v>АВР-3-1 100А (11 секция)</v>
      </c>
      <c r="B244" s="12" t="s">
        <v>8</v>
      </c>
      <c r="C244" s="18" t="s">
        <v>250</v>
      </c>
      <c r="D244" s="11" t="s">
        <v>251</v>
      </c>
      <c r="E244" s="12">
        <v>170000</v>
      </c>
      <c r="F244" s="13">
        <f>0.6*E244</f>
        <v>102000</v>
      </c>
      <c r="G244" s="13">
        <f>H244*F244</f>
        <v>102000</v>
      </c>
      <c r="H244" s="14">
        <v>1</v>
      </c>
      <c r="I244" s="15" t="s">
        <v>13</v>
      </c>
      <c r="J244" s="12" t="s">
        <v>16</v>
      </c>
      <c r="K244">
        <v>102000</v>
      </c>
      <c r="L244">
        <f t="shared" ref="L244:L263" si="151">L243</f>
        <v>1</v>
      </c>
      <c r="M244" s="23">
        <f t="shared" si="121"/>
        <v>102000</v>
      </c>
    </row>
    <row r="245" spans="1:13" ht="21" customHeight="1" outlineLevel="2" x14ac:dyDescent="0.25">
      <c r="A245" s="11" t="str">
        <f t="shared" ref="A245:A262" si="152">A244</f>
        <v>АВР-3-1 100А (11 секция)</v>
      </c>
      <c r="B245" s="12" t="s">
        <v>46</v>
      </c>
      <c r="C245" s="18">
        <v>126511</v>
      </c>
      <c r="D245" s="11" t="s">
        <v>48</v>
      </c>
      <c r="E245" s="12">
        <v>28665</v>
      </c>
      <c r="F245" s="13">
        <f t="shared" ref="F245:F247" si="153">E245*0.6</f>
        <v>17199</v>
      </c>
      <c r="G245" s="13">
        <f t="shared" ref="G245:G260" si="154">F245*H245</f>
        <v>51597</v>
      </c>
      <c r="H245" s="14">
        <v>3</v>
      </c>
      <c r="I245" s="15" t="s">
        <v>13</v>
      </c>
      <c r="J245" s="12" t="s">
        <v>36</v>
      </c>
      <c r="K245">
        <v>51597</v>
      </c>
      <c r="L245">
        <f t="shared" si="151"/>
        <v>1</v>
      </c>
      <c r="M245" s="23">
        <f t="shared" si="121"/>
        <v>51597</v>
      </c>
    </row>
    <row r="246" spans="1:13" ht="21" customHeight="1" outlineLevel="2" x14ac:dyDescent="0.25">
      <c r="A246" s="11" t="str">
        <f>A244</f>
        <v>АВР-3-1 100А (11 секция)</v>
      </c>
      <c r="B246" s="12" t="s">
        <v>12</v>
      </c>
      <c r="C246" s="18">
        <v>296825</v>
      </c>
      <c r="D246" s="11" t="s">
        <v>50</v>
      </c>
      <c r="E246" s="12">
        <v>2457</v>
      </c>
      <c r="F246" s="13">
        <f t="shared" si="153"/>
        <v>1474.2</v>
      </c>
      <c r="G246" s="13">
        <f t="shared" si="154"/>
        <v>4422.6000000000004</v>
      </c>
      <c r="H246" s="14">
        <v>3</v>
      </c>
      <c r="I246" s="15" t="s">
        <v>13</v>
      </c>
      <c r="J246" s="12" t="s">
        <v>36</v>
      </c>
      <c r="K246">
        <v>4422.6000000000004</v>
      </c>
      <c r="L246">
        <f t="shared" si="151"/>
        <v>1</v>
      </c>
      <c r="M246" s="23">
        <f t="shared" si="121"/>
        <v>4422.6000000000004</v>
      </c>
    </row>
    <row r="247" spans="1:13" ht="21" customHeight="1" outlineLevel="2" x14ac:dyDescent="0.25">
      <c r="A247" s="11" t="str">
        <f>A245</f>
        <v>АВР-3-1 100А (11 секция)</v>
      </c>
      <c r="B247" s="12" t="s">
        <v>12</v>
      </c>
      <c r="C247" s="18">
        <v>296708</v>
      </c>
      <c r="D247" s="11" t="s">
        <v>31</v>
      </c>
      <c r="E247" s="12">
        <v>828</v>
      </c>
      <c r="F247" s="13">
        <f t="shared" si="153"/>
        <v>496.79999999999995</v>
      </c>
      <c r="G247" s="13">
        <f t="shared" si="154"/>
        <v>1490.3999999999999</v>
      </c>
      <c r="H247" s="14">
        <v>3</v>
      </c>
      <c r="I247" s="15" t="s">
        <v>13</v>
      </c>
      <c r="J247" s="12" t="s">
        <v>36</v>
      </c>
      <c r="K247">
        <v>1490.3999999999999</v>
      </c>
      <c r="L247">
        <f t="shared" si="151"/>
        <v>1</v>
      </c>
      <c r="M247" s="23">
        <f t="shared" si="121"/>
        <v>1490.3999999999999</v>
      </c>
    </row>
    <row r="248" spans="1:13" ht="21" customHeight="1" outlineLevel="2" x14ac:dyDescent="0.25">
      <c r="A248" s="11" t="str">
        <f>A245</f>
        <v>АВР-3-1 100А (11 секция)</v>
      </c>
      <c r="B248" s="12" t="s">
        <v>44</v>
      </c>
      <c r="C248" s="18" t="s">
        <v>265</v>
      </c>
      <c r="D248" s="11" t="s">
        <v>266</v>
      </c>
      <c r="E248" s="12">
        <v>6500</v>
      </c>
      <c r="F248" s="13">
        <f>E248</f>
        <v>6500</v>
      </c>
      <c r="G248" s="13">
        <f t="shared" si="154"/>
        <v>19500</v>
      </c>
      <c r="H248" s="14">
        <v>3</v>
      </c>
      <c r="I248" s="15" t="s">
        <v>13</v>
      </c>
      <c r="J248" s="12" t="s">
        <v>20</v>
      </c>
      <c r="K248">
        <v>19500</v>
      </c>
      <c r="L248">
        <f t="shared" si="151"/>
        <v>1</v>
      </c>
      <c r="M248" s="23">
        <f t="shared" si="121"/>
        <v>19500</v>
      </c>
    </row>
    <row r="249" spans="1:13" ht="21" customHeight="1" outlineLevel="2" x14ac:dyDescent="0.25">
      <c r="A249" s="11" t="str">
        <f>A245</f>
        <v>АВР-3-1 100А (11 секция)</v>
      </c>
      <c r="B249" s="12" t="s">
        <v>22</v>
      </c>
      <c r="C249" s="18">
        <v>285448</v>
      </c>
      <c r="D249" s="11" t="s">
        <v>54</v>
      </c>
      <c r="E249" s="12">
        <v>1763</v>
      </c>
      <c r="F249" s="13">
        <f t="shared" ref="F249:F253" si="155">E249*0.6</f>
        <v>1057.8</v>
      </c>
      <c r="G249" s="13">
        <f t="shared" si="154"/>
        <v>3173.3999999999996</v>
      </c>
      <c r="H249" s="14">
        <v>3</v>
      </c>
      <c r="I249" s="15" t="s">
        <v>13</v>
      </c>
      <c r="J249" s="12" t="s">
        <v>36</v>
      </c>
      <c r="K249">
        <v>3173.3999999999996</v>
      </c>
      <c r="L249">
        <f t="shared" si="151"/>
        <v>1</v>
      </c>
      <c r="M249" s="23">
        <f t="shared" si="121"/>
        <v>3173.3999999999996</v>
      </c>
    </row>
    <row r="250" spans="1:13" ht="21" customHeight="1" outlineLevel="2" x14ac:dyDescent="0.25">
      <c r="A250" s="11" t="str">
        <f>A246</f>
        <v>АВР-3-1 100А (11 секция)</v>
      </c>
      <c r="B250" s="12" t="s">
        <v>221</v>
      </c>
      <c r="C250" s="18">
        <v>285981</v>
      </c>
      <c r="D250" s="11" t="s">
        <v>55</v>
      </c>
      <c r="E250" s="12">
        <v>1937</v>
      </c>
      <c r="F250" s="13">
        <f t="shared" si="155"/>
        <v>1162.2</v>
      </c>
      <c r="G250" s="13">
        <f t="shared" si="154"/>
        <v>3486.6000000000004</v>
      </c>
      <c r="H250" s="14">
        <v>3</v>
      </c>
      <c r="I250" s="15" t="s">
        <v>13</v>
      </c>
      <c r="J250" s="12" t="s">
        <v>36</v>
      </c>
      <c r="K250">
        <v>3486.6000000000004</v>
      </c>
      <c r="L250">
        <f t="shared" si="151"/>
        <v>1</v>
      </c>
      <c r="M250" s="23">
        <f t="shared" si="121"/>
        <v>3486.6000000000004</v>
      </c>
    </row>
    <row r="251" spans="1:13" ht="21" customHeight="1" outlineLevel="2" x14ac:dyDescent="0.25">
      <c r="A251" s="11" t="str">
        <f>A247</f>
        <v>АВР-3-1 100А (11 секция)</v>
      </c>
      <c r="B251" s="12" t="s">
        <v>22</v>
      </c>
      <c r="C251" s="18" t="s">
        <v>53</v>
      </c>
      <c r="D251" s="11" t="s">
        <v>52</v>
      </c>
      <c r="E251" s="12">
        <v>5305</v>
      </c>
      <c r="F251" s="13">
        <f t="shared" si="155"/>
        <v>3183</v>
      </c>
      <c r="G251" s="13">
        <f t="shared" si="154"/>
        <v>9549</v>
      </c>
      <c r="H251" s="14">
        <v>3</v>
      </c>
      <c r="I251" s="15" t="s">
        <v>13</v>
      </c>
      <c r="J251" s="12" t="s">
        <v>36</v>
      </c>
      <c r="K251">
        <v>9549</v>
      </c>
      <c r="L251">
        <f t="shared" si="151"/>
        <v>1</v>
      </c>
      <c r="M251" s="23">
        <f t="shared" si="121"/>
        <v>9549</v>
      </c>
    </row>
    <row r="252" spans="1:13" ht="21" customHeight="1" outlineLevel="2" x14ac:dyDescent="0.25">
      <c r="A252" s="11" t="str">
        <f>A248</f>
        <v>АВР-3-1 100А (11 секция)</v>
      </c>
      <c r="B252" s="12" t="s">
        <v>21</v>
      </c>
      <c r="C252" s="18">
        <v>836824</v>
      </c>
      <c r="D252" s="11" t="s">
        <v>51</v>
      </c>
      <c r="E252" s="12">
        <v>53690</v>
      </c>
      <c r="F252" s="13">
        <f t="shared" si="155"/>
        <v>32214</v>
      </c>
      <c r="G252" s="13">
        <f t="shared" si="154"/>
        <v>96642</v>
      </c>
      <c r="H252" s="14">
        <v>3</v>
      </c>
      <c r="I252" s="15" t="s">
        <v>13</v>
      </c>
      <c r="J252" s="12" t="s">
        <v>36</v>
      </c>
      <c r="K252">
        <v>96642</v>
      </c>
      <c r="L252">
        <f t="shared" si="151"/>
        <v>1</v>
      </c>
      <c r="M252" s="23">
        <f t="shared" si="121"/>
        <v>96642</v>
      </c>
    </row>
    <row r="253" spans="1:13" ht="32.25" customHeight="1" outlineLevel="2" x14ac:dyDescent="0.25">
      <c r="A253" s="11" t="str">
        <f t="shared" ref="A253" si="156">A252</f>
        <v>АВР-3-1 100А (11 секция)</v>
      </c>
      <c r="B253" s="12" t="s">
        <v>22</v>
      </c>
      <c r="C253" s="18">
        <v>257987</v>
      </c>
      <c r="D253" s="11" t="s">
        <v>49</v>
      </c>
      <c r="E253" s="12">
        <v>9868</v>
      </c>
      <c r="F253" s="13">
        <f t="shared" si="155"/>
        <v>5920.8</v>
      </c>
      <c r="G253" s="13">
        <f t="shared" si="154"/>
        <v>17762.400000000001</v>
      </c>
      <c r="H253" s="14">
        <v>3</v>
      </c>
      <c r="I253" s="15" t="s">
        <v>13</v>
      </c>
      <c r="J253" s="12" t="s">
        <v>36</v>
      </c>
      <c r="K253">
        <v>17762.400000000001</v>
      </c>
      <c r="L253">
        <f t="shared" si="151"/>
        <v>1</v>
      </c>
      <c r="M253" s="23">
        <f t="shared" si="121"/>
        <v>17762.400000000001</v>
      </c>
    </row>
    <row r="254" spans="1:13" ht="21" customHeight="1" outlineLevel="2" x14ac:dyDescent="0.25">
      <c r="A254" s="11" t="str">
        <f>A252</f>
        <v>АВР-3-1 100А (11 секция)</v>
      </c>
      <c r="B254" s="12" t="s">
        <v>45</v>
      </c>
      <c r="C254" s="18" t="s">
        <v>241</v>
      </c>
      <c r="D254" s="11" t="s">
        <v>242</v>
      </c>
      <c r="E254" s="12">
        <v>290</v>
      </c>
      <c r="F254" s="13">
        <f>E254*0.6</f>
        <v>174</v>
      </c>
      <c r="G254" s="13">
        <f t="shared" si="154"/>
        <v>348</v>
      </c>
      <c r="H254" s="14">
        <v>2</v>
      </c>
      <c r="I254" s="15" t="s">
        <v>13</v>
      </c>
      <c r="J254" s="12" t="s">
        <v>236</v>
      </c>
      <c r="K254">
        <v>348</v>
      </c>
      <c r="L254">
        <f t="shared" si="151"/>
        <v>1</v>
      </c>
      <c r="M254" s="23">
        <f t="shared" si="121"/>
        <v>348</v>
      </c>
    </row>
    <row r="255" spans="1:13" ht="21" customHeight="1" outlineLevel="2" x14ac:dyDescent="0.25">
      <c r="A255" s="11" t="str">
        <f t="shared" ref="A255:A260" si="157">A254</f>
        <v>АВР-3-1 100А (11 секция)</v>
      </c>
      <c r="B255" s="12" t="s">
        <v>24</v>
      </c>
      <c r="C255" s="18">
        <v>574842</v>
      </c>
      <c r="D255" s="11" t="s">
        <v>34</v>
      </c>
      <c r="E255" s="12">
        <v>960</v>
      </c>
      <c r="F255" s="13">
        <f t="shared" ref="F255:F260" si="158">E255*0.6</f>
        <v>576</v>
      </c>
      <c r="G255" s="13">
        <f t="shared" si="154"/>
        <v>1728</v>
      </c>
      <c r="H255" s="14">
        <v>3</v>
      </c>
      <c r="I255" s="15" t="s">
        <v>19</v>
      </c>
      <c r="J255" s="12" t="s">
        <v>36</v>
      </c>
      <c r="K255">
        <v>1728</v>
      </c>
      <c r="L255">
        <f t="shared" si="151"/>
        <v>1</v>
      </c>
      <c r="M255" s="23">
        <f t="shared" si="121"/>
        <v>1728</v>
      </c>
    </row>
    <row r="256" spans="1:13" ht="21" customHeight="1" outlineLevel="2" x14ac:dyDescent="0.25">
      <c r="A256" s="11" t="str">
        <f t="shared" si="157"/>
        <v>АВР-3-1 100А (11 секция)</v>
      </c>
      <c r="B256" s="12" t="s">
        <v>24</v>
      </c>
      <c r="C256" s="18">
        <v>574843</v>
      </c>
      <c r="D256" s="11" t="s">
        <v>35</v>
      </c>
      <c r="E256" s="12">
        <v>960</v>
      </c>
      <c r="F256" s="13">
        <f t="shared" si="158"/>
        <v>576</v>
      </c>
      <c r="G256" s="13">
        <f t="shared" si="154"/>
        <v>1728</v>
      </c>
      <c r="H256" s="14">
        <v>3</v>
      </c>
      <c r="I256" s="15" t="s">
        <v>19</v>
      </c>
      <c r="J256" s="12" t="s">
        <v>36</v>
      </c>
      <c r="K256">
        <v>1728</v>
      </c>
      <c r="L256">
        <f t="shared" si="151"/>
        <v>1</v>
      </c>
      <c r="M256" s="23">
        <f t="shared" si="121"/>
        <v>1728</v>
      </c>
    </row>
    <row r="257" spans="1:13" ht="22.5" customHeight="1" outlineLevel="2" x14ac:dyDescent="0.25">
      <c r="A257" s="11" t="str">
        <f t="shared" si="157"/>
        <v>АВР-3-1 100А (11 секция)</v>
      </c>
      <c r="B257" s="12" t="s">
        <v>17</v>
      </c>
      <c r="C257" s="11">
        <v>574822</v>
      </c>
      <c r="D257" s="11" t="s">
        <v>32</v>
      </c>
      <c r="E257" s="11">
        <v>934</v>
      </c>
      <c r="F257" s="13">
        <f t="shared" si="158"/>
        <v>560.4</v>
      </c>
      <c r="G257" s="13">
        <f t="shared" si="154"/>
        <v>560.4</v>
      </c>
      <c r="H257" s="11">
        <v>1</v>
      </c>
      <c r="I257" s="11" t="s">
        <v>13</v>
      </c>
      <c r="J257" s="12" t="s">
        <v>36</v>
      </c>
      <c r="K257">
        <v>560.4</v>
      </c>
      <c r="L257">
        <f t="shared" si="151"/>
        <v>1</v>
      </c>
      <c r="M257" s="23">
        <f t="shared" si="121"/>
        <v>560.4</v>
      </c>
    </row>
    <row r="258" spans="1:13" ht="22.5" customHeight="1" outlineLevel="2" x14ac:dyDescent="0.25">
      <c r="A258" s="11" t="str">
        <f t="shared" si="157"/>
        <v>АВР-3-1 100А (11 секция)</v>
      </c>
      <c r="B258" s="12" t="s">
        <v>23</v>
      </c>
      <c r="C258" s="11" t="s">
        <v>244</v>
      </c>
      <c r="D258" s="11" t="s">
        <v>243</v>
      </c>
      <c r="E258" s="11">
        <v>140</v>
      </c>
      <c r="F258" s="13">
        <f>E258*0.6</f>
        <v>84</v>
      </c>
      <c r="G258" s="13">
        <f t="shared" si="154"/>
        <v>252</v>
      </c>
      <c r="H258" s="11">
        <v>3</v>
      </c>
      <c r="I258" s="11" t="s">
        <v>13</v>
      </c>
      <c r="J258" s="12" t="s">
        <v>236</v>
      </c>
      <c r="K258">
        <v>252</v>
      </c>
      <c r="L258">
        <f t="shared" si="151"/>
        <v>1</v>
      </c>
      <c r="M258" s="23">
        <f t="shared" si="121"/>
        <v>252</v>
      </c>
    </row>
    <row r="259" spans="1:13" ht="21" customHeight="1" outlineLevel="2" x14ac:dyDescent="0.25">
      <c r="A259" s="11" t="str">
        <f t="shared" si="157"/>
        <v>АВР-3-1 100А (11 секция)</v>
      </c>
      <c r="B259" s="12" t="s">
        <v>39</v>
      </c>
      <c r="C259" s="18">
        <v>593071</v>
      </c>
      <c r="D259" s="11" t="s">
        <v>56</v>
      </c>
      <c r="E259" s="12">
        <v>439</v>
      </c>
      <c r="F259" s="13">
        <f t="shared" si="158"/>
        <v>263.39999999999998</v>
      </c>
      <c r="G259" s="13">
        <f t="shared" si="154"/>
        <v>263.39999999999998</v>
      </c>
      <c r="H259" s="14">
        <v>1</v>
      </c>
      <c r="I259" s="15" t="s">
        <v>19</v>
      </c>
      <c r="J259" s="12" t="s">
        <v>36</v>
      </c>
      <c r="K259">
        <v>263.39999999999998</v>
      </c>
      <c r="L259">
        <f t="shared" si="151"/>
        <v>1</v>
      </c>
      <c r="M259" s="23">
        <f t="shared" ref="M259:M322" si="159">L259*G259</f>
        <v>263.39999999999998</v>
      </c>
    </row>
    <row r="260" spans="1:13" ht="21" customHeight="1" outlineLevel="2" x14ac:dyDescent="0.25">
      <c r="A260" s="11" t="str">
        <f t="shared" si="157"/>
        <v>АВР-3-1 100А (11 секция)</v>
      </c>
      <c r="B260" s="12" t="s">
        <v>57</v>
      </c>
      <c r="C260" s="18">
        <v>576728</v>
      </c>
      <c r="D260" s="11" t="s">
        <v>58</v>
      </c>
      <c r="E260" s="12">
        <v>272</v>
      </c>
      <c r="F260" s="13">
        <f t="shared" si="158"/>
        <v>163.19999999999999</v>
      </c>
      <c r="G260" s="13">
        <f t="shared" si="154"/>
        <v>652.79999999999995</v>
      </c>
      <c r="H260" s="14">
        <v>4</v>
      </c>
      <c r="I260" s="15" t="s">
        <v>19</v>
      </c>
      <c r="J260" s="12" t="s">
        <v>36</v>
      </c>
      <c r="K260">
        <v>652.79999999999995</v>
      </c>
      <c r="L260">
        <f t="shared" si="151"/>
        <v>1</v>
      </c>
      <c r="M260" s="23">
        <f t="shared" si="159"/>
        <v>652.79999999999995</v>
      </c>
    </row>
    <row r="261" spans="1:13" ht="24" customHeight="1" outlineLevel="2" x14ac:dyDescent="0.25">
      <c r="A261" s="11" t="str">
        <f>A257</f>
        <v>АВР-3-1 100А (11 секция)</v>
      </c>
      <c r="B261" s="11" t="s">
        <v>10</v>
      </c>
      <c r="C261" s="11" t="s">
        <v>10</v>
      </c>
      <c r="D261" s="11" t="s">
        <v>10</v>
      </c>
      <c r="E261" s="11">
        <f ca="1">OFFSET(E261,1,2)</f>
        <v>48000</v>
      </c>
      <c r="F261" s="13">
        <f ca="1">E261</f>
        <v>48000</v>
      </c>
      <c r="G261" s="13">
        <f ca="1">F261*H261</f>
        <v>48000</v>
      </c>
      <c r="H261" s="11">
        <v>1</v>
      </c>
      <c r="I261" s="11" t="s">
        <v>13</v>
      </c>
      <c r="J261" s="11" t="s">
        <v>10</v>
      </c>
      <c r="K261">
        <v>48000</v>
      </c>
      <c r="L261">
        <f t="shared" si="151"/>
        <v>1</v>
      </c>
      <c r="M261" s="23">
        <f t="shared" ca="1" si="159"/>
        <v>48000</v>
      </c>
    </row>
    <row r="262" spans="1:13" ht="21" customHeight="1" outlineLevel="2" x14ac:dyDescent="0.25">
      <c r="A262" s="11" t="str">
        <f t="shared" si="152"/>
        <v>АВР-3-1 100А (11 секция)</v>
      </c>
      <c r="B262" s="11" t="s">
        <v>11</v>
      </c>
      <c r="C262" s="11" t="s">
        <v>11</v>
      </c>
      <c r="D262" s="11" t="s">
        <v>11</v>
      </c>
      <c r="E262" s="11">
        <v>8</v>
      </c>
      <c r="F262" s="13">
        <v>100</v>
      </c>
      <c r="G262" s="13">
        <f t="shared" ref="G262" si="160">F262*H262</f>
        <v>48000</v>
      </c>
      <c r="H262" s="11">
        <f>60*E262</f>
        <v>480</v>
      </c>
      <c r="I262" s="11" t="s">
        <v>13</v>
      </c>
      <c r="J262" s="11" t="s">
        <v>11</v>
      </c>
      <c r="K262">
        <v>48000</v>
      </c>
      <c r="L262">
        <f t="shared" si="151"/>
        <v>1</v>
      </c>
      <c r="M262" s="23">
        <f t="shared" si="159"/>
        <v>48000</v>
      </c>
    </row>
    <row r="263" spans="1:13" ht="21" customHeight="1" outlineLevel="1" x14ac:dyDescent="0.25">
      <c r="A263" s="11" t="s">
        <v>304</v>
      </c>
      <c r="B263" s="11"/>
      <c r="C263" s="11"/>
      <c r="D263" s="11"/>
      <c r="E263" s="11"/>
      <c r="F263" s="13"/>
      <c r="G263" s="13">
        <f ca="1">SUBTOTAL(9,G243:G262)</f>
        <v>411156.00000000006</v>
      </c>
      <c r="H263" s="11"/>
      <c r="I263" s="11"/>
      <c r="J263" s="11"/>
      <c r="K263">
        <v>411156.00000000006</v>
      </c>
      <c r="L263">
        <f t="shared" si="151"/>
        <v>1</v>
      </c>
      <c r="M263" s="23">
        <f t="shared" ca="1" si="159"/>
        <v>411156.00000000006</v>
      </c>
    </row>
    <row r="264" spans="1:13" ht="39.75" customHeight="1" outlineLevel="2" x14ac:dyDescent="0.25">
      <c r="A264" s="4" t="str">
        <f>D264</f>
        <v>ВРУ-Инд. (ЩСП-11 Секция-1) (ЩСП-11 Секция-2)  (11 секция)</v>
      </c>
      <c r="B264" s="5"/>
      <c r="C264" s="17"/>
      <c r="D264" s="5" t="s">
        <v>165</v>
      </c>
      <c r="E264" s="7"/>
      <c r="F264" s="7"/>
      <c r="G264" s="8"/>
      <c r="H264" s="9">
        <v>1</v>
      </c>
      <c r="I264" s="10" t="s">
        <v>7</v>
      </c>
      <c r="J264" s="5" t="s">
        <v>9</v>
      </c>
      <c r="L264">
        <f>H264</f>
        <v>1</v>
      </c>
      <c r="M264" s="23">
        <f t="shared" si="159"/>
        <v>0</v>
      </c>
    </row>
    <row r="265" spans="1:13" ht="21" customHeight="1" outlineLevel="2" x14ac:dyDescent="0.25">
      <c r="A265" s="11" t="str">
        <f>A264</f>
        <v>ВРУ-Инд. (ЩСП-11 Секция-1) (ЩСП-11 Секция-2)  (11 секция)</v>
      </c>
      <c r="B265" s="12" t="s">
        <v>8</v>
      </c>
      <c r="C265" s="18" t="s">
        <v>252</v>
      </c>
      <c r="D265" s="11" t="s">
        <v>274</v>
      </c>
      <c r="E265" s="12">
        <v>160000</v>
      </c>
      <c r="F265" s="13">
        <f>0.6*E265</f>
        <v>96000</v>
      </c>
      <c r="G265" s="13">
        <f>H265*F265</f>
        <v>96000</v>
      </c>
      <c r="H265" s="14">
        <v>1</v>
      </c>
      <c r="I265" s="15" t="s">
        <v>13</v>
      </c>
      <c r="J265" s="12" t="s">
        <v>16</v>
      </c>
      <c r="K265">
        <v>96000</v>
      </c>
      <c r="L265">
        <f t="shared" ref="L265:L273" si="161">L264</f>
        <v>1</v>
      </c>
      <c r="M265" s="23">
        <f t="shared" si="159"/>
        <v>96000</v>
      </c>
    </row>
    <row r="266" spans="1:13" ht="21" customHeight="1" outlineLevel="2" x14ac:dyDescent="0.25">
      <c r="A266" s="11" t="str">
        <f t="shared" ref="A266:A272" si="162">A265</f>
        <v>ВРУ-Инд. (ЩСП-11 Секция-1) (ЩСП-11 Секция-2)  (11 секция)</v>
      </c>
      <c r="B266" s="12" t="s">
        <v>64</v>
      </c>
      <c r="C266" s="18">
        <v>193180</v>
      </c>
      <c r="D266" s="11" t="s">
        <v>60</v>
      </c>
      <c r="E266" s="12">
        <v>2493</v>
      </c>
      <c r="F266" s="13">
        <f t="shared" ref="F266:F270" si="163">E266*0.6</f>
        <v>1495.8</v>
      </c>
      <c r="G266" s="13">
        <f>F266*H266</f>
        <v>11966.4</v>
      </c>
      <c r="H266" s="14">
        <v>8</v>
      </c>
      <c r="I266" s="15" t="s">
        <v>13</v>
      </c>
      <c r="J266" s="12" t="s">
        <v>36</v>
      </c>
      <c r="K266">
        <v>11966.4</v>
      </c>
      <c r="L266">
        <f t="shared" si="161"/>
        <v>1</v>
      </c>
      <c r="M266" s="23">
        <f t="shared" si="159"/>
        <v>11966.4</v>
      </c>
    </row>
    <row r="267" spans="1:13" ht="21" customHeight="1" outlineLevel="2" x14ac:dyDescent="0.25">
      <c r="A267" s="11" t="str">
        <f t="shared" si="162"/>
        <v>ВРУ-Инд. (ЩСП-11 Секция-1) (ЩСП-11 Секция-2)  (11 секция)</v>
      </c>
      <c r="B267" s="12" t="s">
        <v>64</v>
      </c>
      <c r="C267" s="18">
        <v>398044</v>
      </c>
      <c r="D267" s="11" t="s">
        <v>61</v>
      </c>
      <c r="E267" s="12">
        <v>3112</v>
      </c>
      <c r="F267" s="13">
        <f t="shared" si="163"/>
        <v>1867.1999999999998</v>
      </c>
      <c r="G267" s="13">
        <f t="shared" ref="G267:G270" si="164">F267*H267</f>
        <v>5601.5999999999995</v>
      </c>
      <c r="H267" s="14">
        <v>3</v>
      </c>
      <c r="I267" s="15" t="s">
        <v>13</v>
      </c>
      <c r="J267" s="12" t="s">
        <v>36</v>
      </c>
      <c r="K267">
        <v>5601.5999999999995</v>
      </c>
      <c r="L267">
        <f t="shared" si="161"/>
        <v>1</v>
      </c>
      <c r="M267" s="23">
        <f t="shared" si="159"/>
        <v>5601.5999999999995</v>
      </c>
    </row>
    <row r="268" spans="1:13" ht="21" customHeight="1" outlineLevel="2" x14ac:dyDescent="0.25">
      <c r="A268" s="11" t="str">
        <f t="shared" si="162"/>
        <v>ВРУ-Инд. (ЩСП-11 Секция-1) (ЩСП-11 Секция-2)  (11 секция)</v>
      </c>
      <c r="B268" s="12" t="s">
        <v>12</v>
      </c>
      <c r="C268" s="18"/>
      <c r="D268" s="11" t="s">
        <v>62</v>
      </c>
      <c r="E268" s="12">
        <v>9555</v>
      </c>
      <c r="F268" s="13">
        <f t="shared" si="163"/>
        <v>5733</v>
      </c>
      <c r="G268" s="13">
        <f t="shared" si="164"/>
        <v>5733</v>
      </c>
      <c r="H268" s="14">
        <v>1</v>
      </c>
      <c r="I268" s="15" t="s">
        <v>13</v>
      </c>
      <c r="J268" s="12" t="s">
        <v>36</v>
      </c>
      <c r="K268">
        <v>5733</v>
      </c>
      <c r="L268">
        <f t="shared" si="161"/>
        <v>1</v>
      </c>
      <c r="M268" s="23">
        <f t="shared" si="159"/>
        <v>5733</v>
      </c>
    </row>
    <row r="269" spans="1:13" ht="21" customHeight="1" outlineLevel="2" x14ac:dyDescent="0.25">
      <c r="A269" s="11" t="str">
        <f t="shared" si="162"/>
        <v>ВРУ-Инд. (ЩСП-11 Секция-1) (ЩСП-11 Секция-2)  (11 секция)</v>
      </c>
      <c r="B269" s="12" t="s">
        <v>12</v>
      </c>
      <c r="C269" s="18"/>
      <c r="D269" s="11" t="s">
        <v>203</v>
      </c>
      <c r="E269" s="16">
        <v>2916</v>
      </c>
      <c r="F269" s="13">
        <f t="shared" si="163"/>
        <v>1749.6</v>
      </c>
      <c r="G269" s="13">
        <f t="shared" si="164"/>
        <v>5248.7999999999993</v>
      </c>
      <c r="H269" s="14">
        <v>3</v>
      </c>
      <c r="I269" s="15" t="s">
        <v>13</v>
      </c>
      <c r="J269" s="12" t="s">
        <v>36</v>
      </c>
      <c r="K269">
        <v>5248.7999999999993</v>
      </c>
      <c r="L269">
        <f t="shared" si="161"/>
        <v>1</v>
      </c>
      <c r="M269" s="23">
        <f t="shared" si="159"/>
        <v>5248.7999999999993</v>
      </c>
    </row>
    <row r="270" spans="1:13" ht="21" customHeight="1" outlineLevel="2" x14ac:dyDescent="0.25">
      <c r="A270" s="11" t="str">
        <f t="shared" si="162"/>
        <v>ВРУ-Инд. (ЩСП-11 Секция-1) (ЩСП-11 Секция-2)  (11 секция)</v>
      </c>
      <c r="B270" s="12" t="s">
        <v>12</v>
      </c>
      <c r="C270" s="18"/>
      <c r="D270" s="11" t="s">
        <v>195</v>
      </c>
      <c r="E270" s="16">
        <v>2785</v>
      </c>
      <c r="F270" s="13">
        <f t="shared" si="163"/>
        <v>1671</v>
      </c>
      <c r="G270" s="13">
        <f t="shared" si="164"/>
        <v>11697</v>
      </c>
      <c r="H270" s="14">
        <v>7</v>
      </c>
      <c r="I270" s="15" t="s">
        <v>13</v>
      </c>
      <c r="J270" s="12" t="s">
        <v>36</v>
      </c>
      <c r="K270">
        <v>11697</v>
      </c>
      <c r="L270">
        <f t="shared" si="161"/>
        <v>1</v>
      </c>
      <c r="M270" s="23">
        <f t="shared" si="159"/>
        <v>11697</v>
      </c>
    </row>
    <row r="271" spans="1:13" ht="24" customHeight="1" outlineLevel="2" x14ac:dyDescent="0.25">
      <c r="A271" s="11" t="str">
        <f t="shared" si="162"/>
        <v>ВРУ-Инд. (ЩСП-11 Секция-1) (ЩСП-11 Секция-2)  (11 секция)</v>
      </c>
      <c r="B271" s="11" t="s">
        <v>10</v>
      </c>
      <c r="C271" s="11" t="s">
        <v>10</v>
      </c>
      <c r="D271" s="11" t="s">
        <v>10</v>
      </c>
      <c r="E271" s="11">
        <f ca="1">OFFSET(E271,1,2)</f>
        <v>30000</v>
      </c>
      <c r="F271" s="13">
        <f ca="1">E271</f>
        <v>30000</v>
      </c>
      <c r="G271" s="13">
        <f ca="1">F271*H271</f>
        <v>30000</v>
      </c>
      <c r="H271" s="11">
        <v>1</v>
      </c>
      <c r="I271" s="11" t="s">
        <v>13</v>
      </c>
      <c r="J271" s="11" t="s">
        <v>10</v>
      </c>
      <c r="K271">
        <v>30000</v>
      </c>
      <c r="L271">
        <f t="shared" si="161"/>
        <v>1</v>
      </c>
      <c r="M271" s="23">
        <f t="shared" ca="1" si="159"/>
        <v>30000</v>
      </c>
    </row>
    <row r="272" spans="1:13" ht="21" customHeight="1" outlineLevel="2" x14ac:dyDescent="0.25">
      <c r="A272" s="11" t="str">
        <f t="shared" si="162"/>
        <v>ВРУ-Инд. (ЩСП-11 Секция-1) (ЩСП-11 Секция-2)  (11 секция)</v>
      </c>
      <c r="B272" s="11" t="s">
        <v>11</v>
      </c>
      <c r="C272" s="11" t="s">
        <v>11</v>
      </c>
      <c r="D272" s="11" t="s">
        <v>11</v>
      </c>
      <c r="E272" s="11">
        <v>5</v>
      </c>
      <c r="F272" s="13">
        <v>100</v>
      </c>
      <c r="G272" s="13">
        <f t="shared" ref="G272" si="165">F272*H272</f>
        <v>30000</v>
      </c>
      <c r="H272" s="11">
        <f>60*E272</f>
        <v>300</v>
      </c>
      <c r="I272" s="11" t="s">
        <v>13</v>
      </c>
      <c r="J272" s="11" t="s">
        <v>11</v>
      </c>
      <c r="K272">
        <v>30000</v>
      </c>
      <c r="L272">
        <f t="shared" si="161"/>
        <v>1</v>
      </c>
      <c r="M272" s="23">
        <f t="shared" si="159"/>
        <v>30000</v>
      </c>
    </row>
    <row r="273" spans="1:13" ht="21" customHeight="1" outlineLevel="1" x14ac:dyDescent="0.25">
      <c r="A273" s="11" t="s">
        <v>305</v>
      </c>
      <c r="B273" s="11"/>
      <c r="C273" s="11"/>
      <c r="D273" s="11"/>
      <c r="E273" s="11"/>
      <c r="F273" s="13"/>
      <c r="G273" s="13">
        <f ca="1">SUBTOTAL(9,G264:G272)</f>
        <v>196246.8</v>
      </c>
      <c r="H273" s="11"/>
      <c r="I273" s="11"/>
      <c r="J273" s="11"/>
      <c r="K273">
        <v>196246.8</v>
      </c>
      <c r="L273">
        <f t="shared" si="161"/>
        <v>1</v>
      </c>
      <c r="M273" s="23">
        <f t="shared" ca="1" si="159"/>
        <v>196246.8</v>
      </c>
    </row>
    <row r="274" spans="1:13" ht="39.75" customHeight="1" outlineLevel="2" x14ac:dyDescent="0.25">
      <c r="A274" s="4" t="str">
        <f>D274</f>
        <v>ПР-инд (УКРМ-0,4-10 У3)  10 кВар 5х5 секция 11</v>
      </c>
      <c r="B274" s="5"/>
      <c r="C274" s="17"/>
      <c r="D274" s="5" t="s">
        <v>72</v>
      </c>
      <c r="E274" s="7"/>
      <c r="F274" s="7"/>
      <c r="G274" s="8"/>
      <c r="H274" s="9">
        <v>1</v>
      </c>
      <c r="I274" s="10" t="s">
        <v>7</v>
      </c>
      <c r="J274" s="5" t="s">
        <v>9</v>
      </c>
      <c r="L274">
        <f>H274</f>
        <v>1</v>
      </c>
      <c r="M274" s="23">
        <f t="shared" si="159"/>
        <v>0</v>
      </c>
    </row>
    <row r="275" spans="1:13" ht="39.75" customHeight="1" outlineLevel="1" x14ac:dyDescent="0.25">
      <c r="A275" s="4" t="s">
        <v>306</v>
      </c>
      <c r="B275" s="5"/>
      <c r="C275" s="17"/>
      <c r="D275" s="5"/>
      <c r="E275" s="7"/>
      <c r="F275" s="7"/>
      <c r="G275" s="8">
        <f>SUBTOTAL(9,G274:G274)</f>
        <v>0</v>
      </c>
      <c r="H275" s="9"/>
      <c r="I275" s="10"/>
      <c r="J275" s="5"/>
      <c r="K275">
        <v>0</v>
      </c>
      <c r="L275">
        <f>L274</f>
        <v>1</v>
      </c>
      <c r="M275" s="23">
        <f t="shared" si="159"/>
        <v>0</v>
      </c>
    </row>
    <row r="276" spans="1:13" ht="39.75" customHeight="1" outlineLevel="2" x14ac:dyDescent="0.25">
      <c r="A276" s="4" t="str">
        <f>D276</f>
        <v>Щит освещения (ПР 11)  (11 секция)</v>
      </c>
      <c r="B276" s="5"/>
      <c r="C276" s="17"/>
      <c r="D276" s="5" t="s">
        <v>166</v>
      </c>
      <c r="E276" s="7"/>
      <c r="F276" s="7"/>
      <c r="G276" s="8"/>
      <c r="H276" s="9">
        <v>1</v>
      </c>
      <c r="I276" s="10" t="s">
        <v>7</v>
      </c>
      <c r="J276" s="5" t="s">
        <v>9</v>
      </c>
      <c r="L276">
        <f>H276</f>
        <v>1</v>
      </c>
      <c r="M276" s="23">
        <f t="shared" si="159"/>
        <v>0</v>
      </c>
    </row>
    <row r="277" spans="1:13" ht="21" customHeight="1" outlineLevel="2" x14ac:dyDescent="0.25">
      <c r="A277" s="11" t="str">
        <f>A276</f>
        <v>Щит освещения (ПР 11)  (11 секция)</v>
      </c>
      <c r="B277" s="12" t="s">
        <v>8</v>
      </c>
      <c r="C277" s="18" t="s">
        <v>253</v>
      </c>
      <c r="D277" s="11" t="s">
        <v>88</v>
      </c>
      <c r="E277" s="12">
        <v>30500</v>
      </c>
      <c r="F277" s="13">
        <f>0.6*E277</f>
        <v>18300</v>
      </c>
      <c r="G277" s="13">
        <f>H277*F277</f>
        <v>18300</v>
      </c>
      <c r="H277" s="14">
        <v>1</v>
      </c>
      <c r="I277" s="15" t="s">
        <v>13</v>
      </c>
      <c r="J277" s="12" t="s">
        <v>16</v>
      </c>
      <c r="K277">
        <v>18300</v>
      </c>
      <c r="L277">
        <f t="shared" ref="L277:L285" si="166">L276</f>
        <v>1</v>
      </c>
      <c r="M277" s="23">
        <f t="shared" si="159"/>
        <v>18300</v>
      </c>
    </row>
    <row r="278" spans="1:13" ht="21" customHeight="1" outlineLevel="2" x14ac:dyDescent="0.25">
      <c r="A278" s="11" t="str">
        <f t="shared" ref="A278:A284" si="167">A277</f>
        <v>Щит освещения (ПР 11)  (11 секция)</v>
      </c>
      <c r="B278" s="12" t="s">
        <v>64</v>
      </c>
      <c r="C278" s="18">
        <v>398043</v>
      </c>
      <c r="D278" s="11" t="s">
        <v>63</v>
      </c>
      <c r="E278" s="12">
        <v>2493</v>
      </c>
      <c r="F278" s="13">
        <f t="shared" ref="F278:F282" si="168">E278*0.6</f>
        <v>1495.8</v>
      </c>
      <c r="G278" s="13">
        <f>F278*H278</f>
        <v>1495.8</v>
      </c>
      <c r="H278" s="14">
        <v>1</v>
      </c>
      <c r="I278" s="15" t="s">
        <v>13</v>
      </c>
      <c r="J278" s="12" t="s">
        <v>36</v>
      </c>
      <c r="K278">
        <v>1495.8</v>
      </c>
      <c r="L278">
        <f t="shared" si="166"/>
        <v>1</v>
      </c>
      <c r="M278" s="23">
        <f t="shared" si="159"/>
        <v>1495.8</v>
      </c>
    </row>
    <row r="279" spans="1:13" ht="21" customHeight="1" outlineLevel="2" x14ac:dyDescent="0.25">
      <c r="A279" s="11" t="str">
        <f t="shared" si="167"/>
        <v>Щит освещения (ПР 11)  (11 секция)</v>
      </c>
      <c r="B279" s="12" t="s">
        <v>12</v>
      </c>
      <c r="C279" s="18"/>
      <c r="D279" s="11" t="s">
        <v>201</v>
      </c>
      <c r="E279" s="16">
        <v>3003</v>
      </c>
      <c r="F279" s="13">
        <f t="shared" si="168"/>
        <v>1801.8</v>
      </c>
      <c r="G279" s="13">
        <f t="shared" ref="G279" si="169">F279*H279</f>
        <v>1801.8</v>
      </c>
      <c r="H279" s="14">
        <v>1</v>
      </c>
      <c r="I279" s="15" t="s">
        <v>13</v>
      </c>
      <c r="J279" s="12" t="s">
        <v>36</v>
      </c>
      <c r="K279">
        <v>1801.8</v>
      </c>
      <c r="L279">
        <f t="shared" si="166"/>
        <v>1</v>
      </c>
      <c r="M279" s="23">
        <f t="shared" si="159"/>
        <v>1801.8</v>
      </c>
    </row>
    <row r="280" spans="1:13" ht="21" customHeight="1" outlineLevel="2" x14ac:dyDescent="0.25">
      <c r="A280" s="11" t="str">
        <f t="shared" si="167"/>
        <v>Щит освещения (ПР 11)  (11 секция)</v>
      </c>
      <c r="B280" s="12" t="s">
        <v>12</v>
      </c>
      <c r="C280" s="18"/>
      <c r="D280" s="11" t="s">
        <v>204</v>
      </c>
      <c r="E280" s="12">
        <v>732</v>
      </c>
      <c r="F280" s="13">
        <f t="shared" si="168"/>
        <v>439.2</v>
      </c>
      <c r="G280" s="13">
        <f t="shared" ref="G280:G282" si="170">F280*H280</f>
        <v>878.4</v>
      </c>
      <c r="H280" s="14">
        <v>2</v>
      </c>
      <c r="I280" s="15" t="s">
        <v>13</v>
      </c>
      <c r="J280" s="12" t="s">
        <v>36</v>
      </c>
      <c r="K280">
        <v>878.4</v>
      </c>
      <c r="L280">
        <f t="shared" si="166"/>
        <v>1</v>
      </c>
      <c r="M280" s="23">
        <f t="shared" si="159"/>
        <v>878.4</v>
      </c>
    </row>
    <row r="281" spans="1:13" ht="21" customHeight="1" outlineLevel="2" x14ac:dyDescent="0.25">
      <c r="A281" s="11" t="str">
        <f t="shared" si="167"/>
        <v>Щит освещения (ПР 11)  (11 секция)</v>
      </c>
      <c r="B281" s="12" t="s">
        <v>18</v>
      </c>
      <c r="C281" s="18">
        <v>105542</v>
      </c>
      <c r="D281" s="11" t="s">
        <v>65</v>
      </c>
      <c r="E281" s="12">
        <v>3513</v>
      </c>
      <c r="F281" s="13">
        <f t="shared" si="168"/>
        <v>2107.7999999999997</v>
      </c>
      <c r="G281" s="13">
        <f t="shared" si="170"/>
        <v>2107.7999999999997</v>
      </c>
      <c r="H281" s="14">
        <v>1</v>
      </c>
      <c r="I281" s="15" t="s">
        <v>13</v>
      </c>
      <c r="J281" s="12" t="s">
        <v>36</v>
      </c>
      <c r="K281">
        <v>2107.7999999999997</v>
      </c>
      <c r="L281">
        <f t="shared" si="166"/>
        <v>1</v>
      </c>
      <c r="M281" s="23">
        <f t="shared" si="159"/>
        <v>2107.7999999999997</v>
      </c>
    </row>
    <row r="282" spans="1:13" ht="21" customHeight="1" outlineLevel="2" x14ac:dyDescent="0.25">
      <c r="A282" s="11" t="str">
        <f t="shared" si="167"/>
        <v>Щит освещения (ПР 11)  (11 секция)</v>
      </c>
      <c r="B282" s="12" t="s">
        <v>12</v>
      </c>
      <c r="C282" s="18"/>
      <c r="D282" s="11" t="s">
        <v>195</v>
      </c>
      <c r="E282" s="16">
        <v>2785</v>
      </c>
      <c r="F282" s="13">
        <f t="shared" si="168"/>
        <v>1671</v>
      </c>
      <c r="G282" s="13">
        <f t="shared" si="170"/>
        <v>5013</v>
      </c>
      <c r="H282" s="14">
        <v>3</v>
      </c>
      <c r="I282" s="15" t="s">
        <v>13</v>
      </c>
      <c r="J282" s="12" t="s">
        <v>36</v>
      </c>
      <c r="K282">
        <v>5013</v>
      </c>
      <c r="L282">
        <f t="shared" si="166"/>
        <v>1</v>
      </c>
      <c r="M282" s="23">
        <f t="shared" si="159"/>
        <v>5013</v>
      </c>
    </row>
    <row r="283" spans="1:13" ht="24" customHeight="1" outlineLevel="2" x14ac:dyDescent="0.25">
      <c r="A283" s="11" t="str">
        <f t="shared" si="167"/>
        <v>Щит освещения (ПР 11)  (11 секция)</v>
      </c>
      <c r="B283" s="11" t="s">
        <v>10</v>
      </c>
      <c r="C283" s="11" t="s">
        <v>10</v>
      </c>
      <c r="D283" s="11" t="s">
        <v>10</v>
      </c>
      <c r="E283" s="11">
        <f ca="1">OFFSET(E283,1,2)</f>
        <v>18000</v>
      </c>
      <c r="F283" s="13">
        <f ca="1">E283</f>
        <v>18000</v>
      </c>
      <c r="G283" s="13">
        <f ca="1">F283*H283</f>
        <v>18000</v>
      </c>
      <c r="H283" s="11">
        <v>1</v>
      </c>
      <c r="I283" s="11" t="s">
        <v>13</v>
      </c>
      <c r="J283" s="11" t="s">
        <v>10</v>
      </c>
      <c r="K283">
        <v>18000</v>
      </c>
      <c r="L283">
        <f t="shared" si="166"/>
        <v>1</v>
      </c>
      <c r="M283" s="23">
        <f t="shared" ca="1" si="159"/>
        <v>18000</v>
      </c>
    </row>
    <row r="284" spans="1:13" ht="21" customHeight="1" outlineLevel="2" x14ac:dyDescent="0.25">
      <c r="A284" s="11" t="str">
        <f t="shared" si="167"/>
        <v>Щит освещения (ПР 11)  (11 секция)</v>
      </c>
      <c r="B284" s="11" t="s">
        <v>11</v>
      </c>
      <c r="C284" s="11" t="s">
        <v>11</v>
      </c>
      <c r="D284" s="11" t="s">
        <v>11</v>
      </c>
      <c r="E284" s="11">
        <v>3</v>
      </c>
      <c r="F284" s="13">
        <v>100</v>
      </c>
      <c r="G284" s="13">
        <f t="shared" ref="G284" si="171">F284*H284</f>
        <v>18000</v>
      </c>
      <c r="H284" s="11">
        <f>60*E284</f>
        <v>180</v>
      </c>
      <c r="I284" s="11" t="s">
        <v>13</v>
      </c>
      <c r="J284" s="11" t="s">
        <v>11</v>
      </c>
      <c r="K284">
        <v>18000</v>
      </c>
      <c r="L284">
        <f t="shared" si="166"/>
        <v>1</v>
      </c>
      <c r="M284" s="23">
        <f t="shared" si="159"/>
        <v>18000</v>
      </c>
    </row>
    <row r="285" spans="1:13" ht="21" customHeight="1" outlineLevel="1" x14ac:dyDescent="0.25">
      <c r="A285" s="11" t="s">
        <v>307</v>
      </c>
      <c r="B285" s="11"/>
      <c r="C285" s="11"/>
      <c r="D285" s="11"/>
      <c r="E285" s="11"/>
      <c r="F285" s="13"/>
      <c r="G285" s="13">
        <f ca="1">SUBTOTAL(9,G276:G284)</f>
        <v>65596.800000000003</v>
      </c>
      <c r="H285" s="11"/>
      <c r="I285" s="11"/>
      <c r="J285" s="11"/>
      <c r="K285">
        <v>65596.800000000003</v>
      </c>
      <c r="L285">
        <f t="shared" si="166"/>
        <v>1</v>
      </c>
      <c r="M285" s="23">
        <f t="shared" ca="1" si="159"/>
        <v>65596.800000000003</v>
      </c>
    </row>
    <row r="286" spans="1:13" ht="39.75" customHeight="1" outlineLevel="2" x14ac:dyDescent="0.25">
      <c r="A286" s="4" t="str">
        <f>D286</f>
        <v>ЩЭ1 3сч.  (11 секция)</v>
      </c>
      <c r="B286" s="5"/>
      <c r="C286" s="17"/>
      <c r="D286" s="5" t="s">
        <v>167</v>
      </c>
      <c r="E286" s="7"/>
      <c r="F286" s="7"/>
      <c r="G286" s="8"/>
      <c r="H286" s="9">
        <v>1</v>
      </c>
      <c r="I286" s="10" t="s">
        <v>7</v>
      </c>
      <c r="J286" s="5" t="s">
        <v>9</v>
      </c>
      <c r="L286">
        <f>H286</f>
        <v>1</v>
      </c>
      <c r="M286" s="23">
        <f t="shared" si="159"/>
        <v>0</v>
      </c>
    </row>
    <row r="287" spans="1:13" ht="21" customHeight="1" outlineLevel="2" x14ac:dyDescent="0.25">
      <c r="A287" s="11" t="str">
        <f>A286</f>
        <v>ЩЭ1 3сч.  (11 секция)</v>
      </c>
      <c r="B287" s="12" t="s">
        <v>8</v>
      </c>
      <c r="C287" s="18" t="s">
        <v>229</v>
      </c>
      <c r="D287" s="11" t="s">
        <v>228</v>
      </c>
      <c r="E287" s="12">
        <v>43500</v>
      </c>
      <c r="F287" s="13">
        <f>0.6*E287</f>
        <v>26100</v>
      </c>
      <c r="G287" s="13">
        <f>H287*F287</f>
        <v>26100</v>
      </c>
      <c r="H287" s="14">
        <v>1</v>
      </c>
      <c r="I287" s="15" t="s">
        <v>13</v>
      </c>
      <c r="J287" s="12" t="s">
        <v>16</v>
      </c>
      <c r="K287">
        <v>26100</v>
      </c>
      <c r="L287">
        <f t="shared" ref="L287:L292" si="172">L286</f>
        <v>1</v>
      </c>
      <c r="M287" s="23">
        <f t="shared" si="159"/>
        <v>26100</v>
      </c>
    </row>
    <row r="288" spans="1:13" ht="21" customHeight="1" outlineLevel="2" x14ac:dyDescent="0.25">
      <c r="A288" s="11" t="str">
        <f t="shared" ref="A288:A291" si="173">A287</f>
        <v>ЩЭ1 3сч.  (11 секция)</v>
      </c>
      <c r="B288" s="12" t="s">
        <v>64</v>
      </c>
      <c r="C288" s="18">
        <v>193176</v>
      </c>
      <c r="D288" s="11" t="s">
        <v>66</v>
      </c>
      <c r="E288" s="12">
        <v>2093</v>
      </c>
      <c r="F288" s="13">
        <f t="shared" ref="F288:F289" si="174">E288*0.6</f>
        <v>1255.8</v>
      </c>
      <c r="G288" s="13">
        <f>F288*H288</f>
        <v>3767.3999999999996</v>
      </c>
      <c r="H288" s="14">
        <v>3</v>
      </c>
      <c r="I288" s="15" t="s">
        <v>13</v>
      </c>
      <c r="J288" s="12" t="s">
        <v>36</v>
      </c>
      <c r="K288">
        <v>3767.3999999999996</v>
      </c>
      <c r="L288">
        <f t="shared" si="172"/>
        <v>1</v>
      </c>
      <c r="M288" s="23">
        <f t="shared" si="159"/>
        <v>3767.3999999999996</v>
      </c>
    </row>
    <row r="289" spans="1:13" ht="21" customHeight="1" outlineLevel="2" x14ac:dyDescent="0.25">
      <c r="A289" s="11" t="str">
        <f t="shared" si="173"/>
        <v>ЩЭ1 3сч.  (11 секция)</v>
      </c>
      <c r="B289" s="12" t="s">
        <v>12</v>
      </c>
      <c r="C289" s="18"/>
      <c r="D289" s="11" t="s">
        <v>200</v>
      </c>
      <c r="E289" s="16">
        <v>1922</v>
      </c>
      <c r="F289" s="13">
        <f t="shared" si="174"/>
        <v>1153.2</v>
      </c>
      <c r="G289" s="13">
        <f t="shared" ref="G289" si="175">F289*H289</f>
        <v>3459.6000000000004</v>
      </c>
      <c r="H289" s="14">
        <v>3</v>
      </c>
      <c r="I289" s="15" t="s">
        <v>13</v>
      </c>
      <c r="J289" s="12" t="s">
        <v>36</v>
      </c>
      <c r="K289">
        <v>3459.6000000000004</v>
      </c>
      <c r="L289">
        <f t="shared" si="172"/>
        <v>1</v>
      </c>
      <c r="M289" s="23">
        <f t="shared" si="159"/>
        <v>3459.6000000000004</v>
      </c>
    </row>
    <row r="290" spans="1:13" ht="24" customHeight="1" outlineLevel="2" x14ac:dyDescent="0.25">
      <c r="A290" s="11" t="str">
        <f t="shared" si="173"/>
        <v>ЩЭ1 3сч.  (11 секция)</v>
      </c>
      <c r="B290" s="11" t="s">
        <v>10</v>
      </c>
      <c r="C290" s="11" t="s">
        <v>10</v>
      </c>
      <c r="D290" s="11" t="s">
        <v>10</v>
      </c>
      <c r="E290" s="11">
        <f ca="1">OFFSET(E290,1,2)</f>
        <v>24000</v>
      </c>
      <c r="F290" s="13">
        <f ca="1">E290</f>
        <v>24000</v>
      </c>
      <c r="G290" s="13">
        <f ca="1">F290*H290</f>
        <v>24000</v>
      </c>
      <c r="H290" s="11">
        <v>1</v>
      </c>
      <c r="I290" s="11" t="s">
        <v>13</v>
      </c>
      <c r="J290" s="11" t="s">
        <v>10</v>
      </c>
      <c r="K290">
        <v>24000</v>
      </c>
      <c r="L290">
        <f t="shared" si="172"/>
        <v>1</v>
      </c>
      <c r="M290" s="23">
        <f t="shared" ca="1" si="159"/>
        <v>24000</v>
      </c>
    </row>
    <row r="291" spans="1:13" ht="21" customHeight="1" outlineLevel="2" x14ac:dyDescent="0.25">
      <c r="A291" s="11" t="str">
        <f t="shared" si="173"/>
        <v>ЩЭ1 3сч.  (11 секция)</v>
      </c>
      <c r="B291" s="11" t="s">
        <v>11</v>
      </c>
      <c r="C291" s="11" t="s">
        <v>11</v>
      </c>
      <c r="D291" s="11" t="s">
        <v>11</v>
      </c>
      <c r="E291" s="11">
        <v>4</v>
      </c>
      <c r="F291" s="13">
        <v>100</v>
      </c>
      <c r="G291" s="13">
        <f t="shared" ref="G291" si="176">F291*H291</f>
        <v>24000</v>
      </c>
      <c r="H291" s="11">
        <f>60*E291</f>
        <v>240</v>
      </c>
      <c r="I291" s="11" t="s">
        <v>13</v>
      </c>
      <c r="J291" s="11" t="s">
        <v>11</v>
      </c>
      <c r="K291">
        <v>24000</v>
      </c>
      <c r="L291">
        <f t="shared" si="172"/>
        <v>1</v>
      </c>
      <c r="M291" s="23">
        <f t="shared" si="159"/>
        <v>24000</v>
      </c>
    </row>
    <row r="292" spans="1:13" ht="21" customHeight="1" outlineLevel="1" x14ac:dyDescent="0.25">
      <c r="A292" s="11" t="s">
        <v>308</v>
      </c>
      <c r="B292" s="11"/>
      <c r="C292" s="11"/>
      <c r="D292" s="11"/>
      <c r="E292" s="11"/>
      <c r="F292" s="13"/>
      <c r="G292" s="13">
        <f ca="1">SUBTOTAL(9,G286:G291)</f>
        <v>81327</v>
      </c>
      <c r="H292" s="11"/>
      <c r="I292" s="11"/>
      <c r="J292" s="11"/>
      <c r="K292">
        <v>81327</v>
      </c>
      <c r="L292">
        <f t="shared" si="172"/>
        <v>1</v>
      </c>
      <c r="M292" s="23">
        <f t="shared" ca="1" si="159"/>
        <v>81327</v>
      </c>
    </row>
    <row r="293" spans="1:13" ht="39.75" customHeight="1" outlineLevel="2" x14ac:dyDescent="0.25">
      <c r="A293" s="4" t="str">
        <f>D293</f>
        <v>ЩЭ1 4сч.  (11 секция)</v>
      </c>
      <c r="B293" s="5"/>
      <c r="C293" s="17"/>
      <c r="D293" s="5" t="s">
        <v>168</v>
      </c>
      <c r="E293" s="7"/>
      <c r="F293" s="7"/>
      <c r="G293" s="8"/>
      <c r="H293" s="9">
        <v>9</v>
      </c>
      <c r="I293" s="10" t="s">
        <v>7</v>
      </c>
      <c r="J293" s="5" t="s">
        <v>9</v>
      </c>
      <c r="L293">
        <f>H293</f>
        <v>9</v>
      </c>
      <c r="M293" s="23">
        <f t="shared" si="159"/>
        <v>0</v>
      </c>
    </row>
    <row r="294" spans="1:13" ht="21" customHeight="1" outlineLevel="2" x14ac:dyDescent="0.25">
      <c r="A294" s="11" t="str">
        <f>A293</f>
        <v>ЩЭ1 4сч.  (11 секция)</v>
      </c>
      <c r="B294" s="12" t="s">
        <v>8</v>
      </c>
      <c r="C294" s="18" t="s">
        <v>225</v>
      </c>
      <c r="D294" s="11" t="s">
        <v>224</v>
      </c>
      <c r="E294" s="12">
        <v>45000</v>
      </c>
      <c r="F294" s="13">
        <f>0.6*E294</f>
        <v>27000</v>
      </c>
      <c r="G294" s="13">
        <f>H294*F294</f>
        <v>27000</v>
      </c>
      <c r="H294" s="14">
        <v>1</v>
      </c>
      <c r="I294" s="15" t="s">
        <v>13</v>
      </c>
      <c r="J294" s="12" t="s">
        <v>16</v>
      </c>
      <c r="K294">
        <v>27000</v>
      </c>
      <c r="L294">
        <f t="shared" ref="L294:L299" si="177">L293</f>
        <v>9</v>
      </c>
      <c r="M294" s="23">
        <f t="shared" si="159"/>
        <v>243000</v>
      </c>
    </row>
    <row r="295" spans="1:13" ht="21" customHeight="1" outlineLevel="2" x14ac:dyDescent="0.25">
      <c r="A295" s="11" t="str">
        <f t="shared" ref="A295:A298" si="178">A294</f>
        <v>ЩЭ1 4сч.  (11 секция)</v>
      </c>
      <c r="B295" s="12" t="s">
        <v>64</v>
      </c>
      <c r="C295" s="18">
        <v>193176</v>
      </c>
      <c r="D295" s="11" t="s">
        <v>66</v>
      </c>
      <c r="E295" s="12">
        <v>2093</v>
      </c>
      <c r="F295" s="13">
        <f t="shared" ref="F295:F296" si="179">E295*0.6</f>
        <v>1255.8</v>
      </c>
      <c r="G295" s="13">
        <f>F295*H295</f>
        <v>5023.2</v>
      </c>
      <c r="H295" s="14">
        <v>4</v>
      </c>
      <c r="I295" s="15" t="s">
        <v>13</v>
      </c>
      <c r="J295" s="12" t="s">
        <v>36</v>
      </c>
      <c r="K295">
        <v>5023.2</v>
      </c>
      <c r="L295">
        <f t="shared" si="177"/>
        <v>9</v>
      </c>
      <c r="M295" s="23">
        <f t="shared" si="159"/>
        <v>45208.799999999996</v>
      </c>
    </row>
    <row r="296" spans="1:13" ht="21" customHeight="1" outlineLevel="2" x14ac:dyDescent="0.25">
      <c r="A296" s="11" t="str">
        <f t="shared" si="178"/>
        <v>ЩЭ1 4сч.  (11 секция)</v>
      </c>
      <c r="B296" s="12" t="s">
        <v>12</v>
      </c>
      <c r="C296" s="18"/>
      <c r="D296" s="11" t="s">
        <v>200</v>
      </c>
      <c r="E296" s="16">
        <v>1922</v>
      </c>
      <c r="F296" s="13">
        <f t="shared" si="179"/>
        <v>1153.2</v>
      </c>
      <c r="G296" s="13">
        <f t="shared" ref="G296" si="180">F296*H296</f>
        <v>4612.8</v>
      </c>
      <c r="H296" s="14">
        <v>4</v>
      </c>
      <c r="I296" s="15" t="s">
        <v>13</v>
      </c>
      <c r="J296" s="12" t="s">
        <v>36</v>
      </c>
      <c r="K296">
        <v>4612.8</v>
      </c>
      <c r="L296">
        <f t="shared" si="177"/>
        <v>9</v>
      </c>
      <c r="M296" s="23">
        <f t="shared" si="159"/>
        <v>41515.200000000004</v>
      </c>
    </row>
    <row r="297" spans="1:13" ht="24" customHeight="1" outlineLevel="2" x14ac:dyDescent="0.25">
      <c r="A297" s="11" t="str">
        <f t="shared" si="178"/>
        <v>ЩЭ1 4сч.  (11 секция)</v>
      </c>
      <c r="B297" s="11" t="s">
        <v>10</v>
      </c>
      <c r="C297" s="11" t="s">
        <v>10</v>
      </c>
      <c r="D297" s="11" t="s">
        <v>10</v>
      </c>
      <c r="E297" s="11">
        <f ca="1">OFFSET(E297,1,2)</f>
        <v>24000</v>
      </c>
      <c r="F297" s="13">
        <f ca="1">E297</f>
        <v>24000</v>
      </c>
      <c r="G297" s="13">
        <f ca="1">F297*H297</f>
        <v>24000</v>
      </c>
      <c r="H297" s="11">
        <v>1</v>
      </c>
      <c r="I297" s="11" t="s">
        <v>13</v>
      </c>
      <c r="J297" s="11" t="s">
        <v>10</v>
      </c>
      <c r="K297">
        <v>24000</v>
      </c>
      <c r="L297">
        <f t="shared" si="177"/>
        <v>9</v>
      </c>
      <c r="M297" s="23">
        <f t="shared" ca="1" si="159"/>
        <v>216000</v>
      </c>
    </row>
    <row r="298" spans="1:13" ht="21" customHeight="1" outlineLevel="2" x14ac:dyDescent="0.25">
      <c r="A298" s="11" t="str">
        <f t="shared" si="178"/>
        <v>ЩЭ1 4сч.  (11 секция)</v>
      </c>
      <c r="B298" s="11" t="s">
        <v>11</v>
      </c>
      <c r="C298" s="11" t="s">
        <v>11</v>
      </c>
      <c r="D298" s="11" t="s">
        <v>11</v>
      </c>
      <c r="E298" s="11">
        <v>4</v>
      </c>
      <c r="F298" s="13">
        <v>100</v>
      </c>
      <c r="G298" s="13">
        <f t="shared" ref="G298" si="181">F298*H298</f>
        <v>24000</v>
      </c>
      <c r="H298" s="11">
        <f>60*E298</f>
        <v>240</v>
      </c>
      <c r="I298" s="11" t="s">
        <v>13</v>
      </c>
      <c r="J298" s="11" t="s">
        <v>11</v>
      </c>
      <c r="K298">
        <v>24000</v>
      </c>
      <c r="L298">
        <f t="shared" si="177"/>
        <v>9</v>
      </c>
      <c r="M298" s="23">
        <f t="shared" si="159"/>
        <v>216000</v>
      </c>
    </row>
    <row r="299" spans="1:13" ht="21" customHeight="1" outlineLevel="1" x14ac:dyDescent="0.25">
      <c r="A299" s="11" t="s">
        <v>309</v>
      </c>
      <c r="B299" s="11"/>
      <c r="C299" s="11"/>
      <c r="D299" s="11"/>
      <c r="E299" s="11"/>
      <c r="F299" s="13"/>
      <c r="G299" s="13">
        <f ca="1">SUBTOTAL(9,G293:G298)</f>
        <v>84636</v>
      </c>
      <c r="H299" s="11"/>
      <c r="I299" s="11"/>
      <c r="J299" s="11"/>
      <c r="K299">
        <v>84636</v>
      </c>
      <c r="L299">
        <f t="shared" si="177"/>
        <v>9</v>
      </c>
      <c r="M299" s="23">
        <f t="shared" ca="1" si="159"/>
        <v>761724</v>
      </c>
    </row>
    <row r="300" spans="1:13" ht="39.75" customHeight="1" outlineLevel="2" x14ac:dyDescent="0.25">
      <c r="A300" s="4" t="str">
        <f>D300</f>
        <v>ЩК (11 секция)</v>
      </c>
      <c r="B300" s="5"/>
      <c r="C300" s="17"/>
      <c r="D300" s="5" t="s">
        <v>73</v>
      </c>
      <c r="E300" s="7"/>
      <c r="F300" s="7"/>
      <c r="G300" s="8"/>
      <c r="H300" s="9">
        <v>56</v>
      </c>
      <c r="I300" s="10" t="s">
        <v>7</v>
      </c>
      <c r="J300" s="5" t="s">
        <v>9</v>
      </c>
      <c r="L300">
        <f>H300</f>
        <v>56</v>
      </c>
      <c r="M300" s="23">
        <f t="shared" si="159"/>
        <v>0</v>
      </c>
    </row>
    <row r="301" spans="1:13" ht="21" customHeight="1" outlineLevel="2" x14ac:dyDescent="0.25">
      <c r="A301" s="11" t="str">
        <f>A300</f>
        <v>ЩК (11 секция)</v>
      </c>
      <c r="B301" s="12" t="s">
        <v>8</v>
      </c>
      <c r="C301" s="18" t="s">
        <v>223</v>
      </c>
      <c r="D301" s="11" t="s">
        <v>222</v>
      </c>
      <c r="E301" s="12">
        <v>10050</v>
      </c>
      <c r="F301" s="13">
        <f>E301*0.6</f>
        <v>6030</v>
      </c>
      <c r="G301" s="13">
        <f>H301*F301</f>
        <v>6030</v>
      </c>
      <c r="H301" s="14">
        <v>1</v>
      </c>
      <c r="I301" s="15" t="s">
        <v>13</v>
      </c>
      <c r="J301" s="12" t="s">
        <v>262</v>
      </c>
      <c r="K301">
        <v>6030</v>
      </c>
      <c r="L301">
        <f t="shared" ref="L301:L308" si="182">L300</f>
        <v>56</v>
      </c>
      <c r="M301" s="23">
        <f t="shared" si="159"/>
        <v>337680</v>
      </c>
    </row>
    <row r="302" spans="1:13" ht="21" customHeight="1" outlineLevel="2" x14ac:dyDescent="0.25">
      <c r="A302" s="11" t="str">
        <f t="shared" ref="A302:A305" si="183">A301</f>
        <v>ЩК (11 секция)</v>
      </c>
      <c r="B302" s="12" t="s">
        <v>12</v>
      </c>
      <c r="C302" s="18"/>
      <c r="D302" s="11" t="s">
        <v>199</v>
      </c>
      <c r="E302" s="16">
        <v>1671</v>
      </c>
      <c r="F302" s="13">
        <f t="shared" ref="F302:F305" si="184">E302*0.6</f>
        <v>1002.5999999999999</v>
      </c>
      <c r="G302" s="13">
        <f t="shared" ref="G302:G305" si="185">F302*H302</f>
        <v>1002.5999999999999</v>
      </c>
      <c r="H302" s="14">
        <v>1</v>
      </c>
      <c r="I302" s="15" t="s">
        <v>13</v>
      </c>
      <c r="J302" s="12" t="s">
        <v>36</v>
      </c>
      <c r="K302">
        <v>1002.5999999999999</v>
      </c>
      <c r="L302">
        <f t="shared" si="182"/>
        <v>56</v>
      </c>
      <c r="M302" s="23">
        <f t="shared" si="159"/>
        <v>56145.599999999991</v>
      </c>
    </row>
    <row r="303" spans="1:13" ht="21" customHeight="1" outlineLevel="2" x14ac:dyDescent="0.25">
      <c r="A303" s="11" t="str">
        <f t="shared" si="183"/>
        <v>ЩК (11 секция)</v>
      </c>
      <c r="B303" s="12" t="s">
        <v>12</v>
      </c>
      <c r="C303" s="18"/>
      <c r="D303" s="11" t="s">
        <v>197</v>
      </c>
      <c r="E303" s="12">
        <v>710</v>
      </c>
      <c r="F303" s="13">
        <f t="shared" si="184"/>
        <v>426</v>
      </c>
      <c r="G303" s="13">
        <f t="shared" si="185"/>
        <v>426</v>
      </c>
      <c r="H303" s="14">
        <v>1</v>
      </c>
      <c r="I303" s="15" t="s">
        <v>13</v>
      </c>
      <c r="J303" s="12" t="s">
        <v>36</v>
      </c>
      <c r="K303">
        <v>426</v>
      </c>
      <c r="L303">
        <f t="shared" si="182"/>
        <v>56</v>
      </c>
      <c r="M303" s="23">
        <f t="shared" si="159"/>
        <v>23856</v>
      </c>
    </row>
    <row r="304" spans="1:13" ht="21" customHeight="1" outlineLevel="2" x14ac:dyDescent="0.25">
      <c r="A304" s="11" t="str">
        <f t="shared" si="183"/>
        <v>ЩК (11 секция)</v>
      </c>
      <c r="B304" s="12" t="s">
        <v>18</v>
      </c>
      <c r="C304" s="18">
        <v>105546</v>
      </c>
      <c r="D304" s="11" t="s">
        <v>67</v>
      </c>
      <c r="E304" s="12">
        <v>3513</v>
      </c>
      <c r="F304" s="13">
        <f t="shared" si="184"/>
        <v>2107.7999999999997</v>
      </c>
      <c r="G304" s="13">
        <f t="shared" si="185"/>
        <v>2107.7999999999997</v>
      </c>
      <c r="H304" s="14">
        <v>1</v>
      </c>
      <c r="I304" s="15" t="s">
        <v>13</v>
      </c>
      <c r="J304" s="12" t="s">
        <v>36</v>
      </c>
      <c r="K304">
        <v>2107.7999999999997</v>
      </c>
      <c r="L304">
        <f t="shared" si="182"/>
        <v>56</v>
      </c>
      <c r="M304" s="23">
        <f t="shared" si="159"/>
        <v>118036.79999999999</v>
      </c>
    </row>
    <row r="305" spans="1:13" ht="21" customHeight="1" outlineLevel="2" x14ac:dyDescent="0.25">
      <c r="A305" s="11" t="str">
        <f t="shared" si="183"/>
        <v>ЩК (11 секция)</v>
      </c>
      <c r="B305" s="12" t="s">
        <v>18</v>
      </c>
      <c r="C305" s="18">
        <v>105544</v>
      </c>
      <c r="D305" s="11" t="s">
        <v>68</v>
      </c>
      <c r="E305" s="12">
        <v>3331</v>
      </c>
      <c r="F305" s="13">
        <f t="shared" si="184"/>
        <v>1998.6</v>
      </c>
      <c r="G305" s="13">
        <f t="shared" si="185"/>
        <v>7994.4</v>
      </c>
      <c r="H305" s="14">
        <v>4</v>
      </c>
      <c r="I305" s="15" t="s">
        <v>13</v>
      </c>
      <c r="J305" s="12" t="s">
        <v>36</v>
      </c>
      <c r="K305">
        <v>7994.4</v>
      </c>
      <c r="L305">
        <f t="shared" si="182"/>
        <v>56</v>
      </c>
      <c r="M305" s="23">
        <f t="shared" si="159"/>
        <v>447686.39999999997</v>
      </c>
    </row>
    <row r="306" spans="1:13" ht="24" customHeight="1" outlineLevel="2" x14ac:dyDescent="0.25">
      <c r="A306" s="11" t="str">
        <f>A303</f>
        <v>ЩК (11 секция)</v>
      </c>
      <c r="B306" s="11" t="s">
        <v>10</v>
      </c>
      <c r="C306" s="11" t="s">
        <v>10</v>
      </c>
      <c r="D306" s="11" t="s">
        <v>10</v>
      </c>
      <c r="E306" s="11">
        <f ca="1">OFFSET(E306,1,2)</f>
        <v>6000</v>
      </c>
      <c r="F306" s="13">
        <f ca="1">E306</f>
        <v>6000</v>
      </c>
      <c r="G306" s="13">
        <f ca="1">F306*H306</f>
        <v>6000</v>
      </c>
      <c r="H306" s="11">
        <v>1</v>
      </c>
      <c r="I306" s="11" t="s">
        <v>13</v>
      </c>
      <c r="J306" s="11" t="s">
        <v>10</v>
      </c>
      <c r="K306">
        <v>6000</v>
      </c>
      <c r="L306">
        <f t="shared" si="182"/>
        <v>56</v>
      </c>
      <c r="M306" s="23">
        <f t="shared" ca="1" si="159"/>
        <v>336000</v>
      </c>
    </row>
    <row r="307" spans="1:13" ht="21" customHeight="1" outlineLevel="2" x14ac:dyDescent="0.25">
      <c r="A307" s="11" t="str">
        <f t="shared" ref="A307" si="186">A306</f>
        <v>ЩК (11 секция)</v>
      </c>
      <c r="B307" s="11" t="s">
        <v>11</v>
      </c>
      <c r="C307" s="11" t="s">
        <v>11</v>
      </c>
      <c r="D307" s="11" t="s">
        <v>11</v>
      </c>
      <c r="E307" s="11">
        <v>1</v>
      </c>
      <c r="F307" s="13">
        <v>100</v>
      </c>
      <c r="G307" s="13">
        <f t="shared" ref="G307" si="187">F307*H307</f>
        <v>6000</v>
      </c>
      <c r="H307" s="11">
        <f>60*E307</f>
        <v>60</v>
      </c>
      <c r="I307" s="11" t="s">
        <v>13</v>
      </c>
      <c r="J307" s="11" t="s">
        <v>11</v>
      </c>
      <c r="K307">
        <v>6000</v>
      </c>
      <c r="L307">
        <f t="shared" si="182"/>
        <v>56</v>
      </c>
      <c r="M307" s="23">
        <f t="shared" si="159"/>
        <v>336000</v>
      </c>
    </row>
    <row r="308" spans="1:13" ht="21" customHeight="1" outlineLevel="1" x14ac:dyDescent="0.25">
      <c r="A308" s="11" t="s">
        <v>310</v>
      </c>
      <c r="B308" s="11"/>
      <c r="C308" s="11"/>
      <c r="D308" s="11"/>
      <c r="E308" s="11"/>
      <c r="F308" s="13"/>
      <c r="G308" s="13">
        <f ca="1">SUBTOTAL(9,G300:G307)</f>
        <v>29560.799999999999</v>
      </c>
      <c r="H308" s="11"/>
      <c r="I308" s="11"/>
      <c r="J308" s="11"/>
      <c r="K308">
        <v>29560.799999999999</v>
      </c>
      <c r="L308">
        <f t="shared" si="182"/>
        <v>56</v>
      </c>
      <c r="M308" s="23">
        <f t="shared" ca="1" si="159"/>
        <v>1655404.8</v>
      </c>
    </row>
    <row r="309" spans="1:13" ht="39.75" customHeight="1" outlineLevel="2" x14ac:dyDescent="0.25">
      <c r="A309" s="4" t="str">
        <f>D309</f>
        <v>ЩО1ж; ЩО2ж (11 секция)</v>
      </c>
      <c r="B309" s="5"/>
      <c r="C309" s="17"/>
      <c r="D309" s="5" t="s">
        <v>74</v>
      </c>
      <c r="E309" s="7"/>
      <c r="F309" s="7"/>
      <c r="G309" s="8"/>
      <c r="H309" s="9">
        <v>2</v>
      </c>
      <c r="I309" s="10" t="s">
        <v>7</v>
      </c>
      <c r="J309" s="5" t="s">
        <v>9</v>
      </c>
      <c r="L309">
        <f>H309</f>
        <v>2</v>
      </c>
      <c r="M309" s="23">
        <f t="shared" si="159"/>
        <v>0</v>
      </c>
    </row>
    <row r="310" spans="1:13" ht="21" customHeight="1" outlineLevel="2" x14ac:dyDescent="0.25">
      <c r="A310" s="11" t="str">
        <f>A309</f>
        <v>ЩО1ж; ЩО2ж (11 секция)</v>
      </c>
      <c r="B310" s="12" t="s">
        <v>8</v>
      </c>
      <c r="C310" s="18" t="s">
        <v>254</v>
      </c>
      <c r="D310" s="11" t="s">
        <v>255</v>
      </c>
      <c r="E310" s="12">
        <v>10500</v>
      </c>
      <c r="F310" s="13">
        <f>0.6*E310</f>
        <v>6300</v>
      </c>
      <c r="G310" s="13">
        <f>H310*F310</f>
        <v>6300</v>
      </c>
      <c r="H310" s="14">
        <v>1</v>
      </c>
      <c r="I310" s="15" t="s">
        <v>13</v>
      </c>
      <c r="J310" s="12" t="s">
        <v>16</v>
      </c>
      <c r="K310">
        <v>6300</v>
      </c>
      <c r="L310">
        <f t="shared" ref="L310:L315" si="188">L309</f>
        <v>2</v>
      </c>
      <c r="M310" s="23">
        <f t="shared" si="159"/>
        <v>12600</v>
      </c>
    </row>
    <row r="311" spans="1:13" ht="21" customHeight="1" outlineLevel="2" x14ac:dyDescent="0.25">
      <c r="A311" s="11" t="str">
        <f t="shared" ref="A311:A312" si="189">A310</f>
        <v>ЩО1ж; ЩО2ж (11 секция)</v>
      </c>
      <c r="B311" s="12" t="s">
        <v>64</v>
      </c>
      <c r="C311" s="18">
        <v>193180</v>
      </c>
      <c r="D311" s="11" t="s">
        <v>60</v>
      </c>
      <c r="E311" s="12">
        <v>2493</v>
      </c>
      <c r="F311" s="13">
        <f t="shared" ref="F311:F312" si="190">E311*0.6</f>
        <v>1495.8</v>
      </c>
      <c r="G311" s="13">
        <f t="shared" ref="G311:G312" si="191">F311*H311</f>
        <v>1495.8</v>
      </c>
      <c r="H311" s="14">
        <v>1</v>
      </c>
      <c r="I311" s="15" t="s">
        <v>13</v>
      </c>
      <c r="J311" s="12" t="s">
        <v>36</v>
      </c>
      <c r="K311">
        <v>1495.8</v>
      </c>
      <c r="L311">
        <f t="shared" si="188"/>
        <v>2</v>
      </c>
      <c r="M311" s="23">
        <f t="shared" si="159"/>
        <v>2991.6</v>
      </c>
    </row>
    <row r="312" spans="1:13" ht="21" customHeight="1" outlineLevel="2" x14ac:dyDescent="0.25">
      <c r="A312" s="11" t="str">
        <f t="shared" si="189"/>
        <v>ЩО1ж; ЩО2ж (11 секция)</v>
      </c>
      <c r="B312" s="12" t="s">
        <v>12</v>
      </c>
      <c r="C312" s="18">
        <v>296709</v>
      </c>
      <c r="D312" s="11" t="s">
        <v>196</v>
      </c>
      <c r="E312" s="12">
        <v>699</v>
      </c>
      <c r="F312" s="13">
        <f t="shared" si="190"/>
        <v>419.4</v>
      </c>
      <c r="G312" s="13">
        <f t="shared" si="191"/>
        <v>2097</v>
      </c>
      <c r="H312" s="14">
        <v>5</v>
      </c>
      <c r="I312" s="15" t="s">
        <v>13</v>
      </c>
      <c r="J312" s="12" t="s">
        <v>36</v>
      </c>
      <c r="K312">
        <v>2097</v>
      </c>
      <c r="L312">
        <f t="shared" si="188"/>
        <v>2</v>
      </c>
      <c r="M312" s="23">
        <f t="shared" si="159"/>
        <v>4194</v>
      </c>
    </row>
    <row r="313" spans="1:13" ht="24" customHeight="1" outlineLevel="2" x14ac:dyDescent="0.25">
      <c r="A313" s="11" t="str">
        <f>A312</f>
        <v>ЩО1ж; ЩО2ж (11 секция)</v>
      </c>
      <c r="B313" s="11" t="s">
        <v>10</v>
      </c>
      <c r="C313" s="11" t="s">
        <v>10</v>
      </c>
      <c r="D313" s="11" t="s">
        <v>10</v>
      </c>
      <c r="E313" s="11">
        <f ca="1">OFFSET(E313,1,2)</f>
        <v>6000</v>
      </c>
      <c r="F313" s="13">
        <f ca="1">E313</f>
        <v>6000</v>
      </c>
      <c r="G313" s="13">
        <f ca="1">F313*H313</f>
        <v>6000</v>
      </c>
      <c r="H313" s="11">
        <v>1</v>
      </c>
      <c r="I313" s="11" t="s">
        <v>13</v>
      </c>
      <c r="J313" s="11" t="s">
        <v>10</v>
      </c>
      <c r="K313">
        <v>6000</v>
      </c>
      <c r="L313">
        <f t="shared" si="188"/>
        <v>2</v>
      </c>
      <c r="M313" s="23">
        <f t="shared" ca="1" si="159"/>
        <v>12000</v>
      </c>
    </row>
    <row r="314" spans="1:13" ht="21" customHeight="1" outlineLevel="2" x14ac:dyDescent="0.25">
      <c r="A314" s="11" t="str">
        <f t="shared" ref="A314" si="192">A313</f>
        <v>ЩО1ж; ЩО2ж (11 секция)</v>
      </c>
      <c r="B314" s="11" t="s">
        <v>11</v>
      </c>
      <c r="C314" s="11" t="s">
        <v>11</v>
      </c>
      <c r="D314" s="11" t="s">
        <v>11</v>
      </c>
      <c r="E314" s="11">
        <v>1</v>
      </c>
      <c r="F314" s="13">
        <v>100</v>
      </c>
      <c r="G314" s="13">
        <f t="shared" ref="G314" si="193">F314*H314</f>
        <v>6000</v>
      </c>
      <c r="H314" s="11">
        <f>60*E314</f>
        <v>60</v>
      </c>
      <c r="I314" s="11" t="s">
        <v>13</v>
      </c>
      <c r="J314" s="11" t="s">
        <v>11</v>
      </c>
      <c r="K314">
        <v>6000</v>
      </c>
      <c r="L314">
        <f t="shared" si="188"/>
        <v>2</v>
      </c>
      <c r="M314" s="23">
        <f t="shared" si="159"/>
        <v>12000</v>
      </c>
    </row>
    <row r="315" spans="1:13" ht="21" customHeight="1" outlineLevel="1" x14ac:dyDescent="0.25">
      <c r="A315" s="11" t="s">
        <v>311</v>
      </c>
      <c r="B315" s="11"/>
      <c r="C315" s="11"/>
      <c r="D315" s="11"/>
      <c r="E315" s="11"/>
      <c r="F315" s="13"/>
      <c r="G315" s="13">
        <f ca="1">SUBTOTAL(9,G309:G314)</f>
        <v>21892.799999999999</v>
      </c>
      <c r="H315" s="11"/>
      <c r="I315" s="11"/>
      <c r="J315" s="11"/>
      <c r="K315">
        <v>21892.799999999999</v>
      </c>
      <c r="L315">
        <f t="shared" si="188"/>
        <v>2</v>
      </c>
      <c r="M315" s="23">
        <f t="shared" ca="1" si="159"/>
        <v>43785.599999999999</v>
      </c>
    </row>
    <row r="316" spans="1:13" ht="39.75" customHeight="1" outlineLevel="2" x14ac:dyDescent="0.25">
      <c r="A316" s="4" t="str">
        <f>D316</f>
        <v>ЩАО1ж; ЩАО2ж (11 секция)</v>
      </c>
      <c r="B316" s="5"/>
      <c r="C316" s="17"/>
      <c r="D316" s="5" t="s">
        <v>75</v>
      </c>
      <c r="E316" s="7"/>
      <c r="F316" s="7"/>
      <c r="G316" s="8"/>
      <c r="H316" s="9">
        <v>2</v>
      </c>
      <c r="I316" s="10" t="s">
        <v>7</v>
      </c>
      <c r="J316" s="5" t="s">
        <v>9</v>
      </c>
      <c r="L316">
        <f>H316</f>
        <v>2</v>
      </c>
      <c r="M316" s="23">
        <f t="shared" si="159"/>
        <v>0</v>
      </c>
    </row>
    <row r="317" spans="1:13" ht="21" customHeight="1" outlineLevel="2" x14ac:dyDescent="0.25">
      <c r="A317" s="11" t="str">
        <f>A316</f>
        <v>ЩАО1ж; ЩАО2ж (11 секция)</v>
      </c>
      <c r="B317" s="12" t="s">
        <v>8</v>
      </c>
      <c r="C317" s="18" t="s">
        <v>254</v>
      </c>
      <c r="D317" s="11" t="s">
        <v>255</v>
      </c>
      <c r="E317" s="12">
        <v>10500</v>
      </c>
      <c r="F317" s="13">
        <f>0.6*E317</f>
        <v>6300</v>
      </c>
      <c r="G317" s="13">
        <f>H317*F317</f>
        <v>6300</v>
      </c>
      <c r="H317" s="14">
        <v>1</v>
      </c>
      <c r="I317" s="15" t="s">
        <v>13</v>
      </c>
      <c r="J317" s="12" t="s">
        <v>16</v>
      </c>
      <c r="K317">
        <v>6300</v>
      </c>
      <c r="L317">
        <f t="shared" ref="L317:L322" si="194">L316</f>
        <v>2</v>
      </c>
      <c r="M317" s="23">
        <f t="shared" si="159"/>
        <v>12600</v>
      </c>
    </row>
    <row r="318" spans="1:13" ht="21" customHeight="1" outlineLevel="2" x14ac:dyDescent="0.25">
      <c r="A318" s="11" t="str">
        <f t="shared" ref="A318:A319" si="195">A317</f>
        <v>ЩАО1ж; ЩАО2ж (11 секция)</v>
      </c>
      <c r="B318" s="12" t="s">
        <v>64</v>
      </c>
      <c r="C318" s="18">
        <v>193180</v>
      </c>
      <c r="D318" s="11" t="s">
        <v>60</v>
      </c>
      <c r="E318" s="12">
        <v>2493</v>
      </c>
      <c r="F318" s="13">
        <f t="shared" ref="F318:F319" si="196">E318*0.6</f>
        <v>1495.8</v>
      </c>
      <c r="G318" s="13">
        <f t="shared" ref="G318:G319" si="197">F318*H318</f>
        <v>1495.8</v>
      </c>
      <c r="H318" s="14">
        <v>1</v>
      </c>
      <c r="I318" s="15" t="s">
        <v>13</v>
      </c>
      <c r="J318" s="12" t="s">
        <v>36</v>
      </c>
      <c r="K318">
        <v>1495.8</v>
      </c>
      <c r="L318">
        <f t="shared" si="194"/>
        <v>2</v>
      </c>
      <c r="M318" s="23">
        <f t="shared" si="159"/>
        <v>2991.6</v>
      </c>
    </row>
    <row r="319" spans="1:13" ht="21" customHeight="1" outlineLevel="2" x14ac:dyDescent="0.25">
      <c r="A319" s="11" t="str">
        <f t="shared" si="195"/>
        <v>ЩАО1ж; ЩАО2ж (11 секция)</v>
      </c>
      <c r="B319" s="12" t="s">
        <v>12</v>
      </c>
      <c r="C319" s="18">
        <v>296709</v>
      </c>
      <c r="D319" s="11" t="s">
        <v>196</v>
      </c>
      <c r="E319" s="12">
        <v>699</v>
      </c>
      <c r="F319" s="13">
        <f t="shared" si="196"/>
        <v>419.4</v>
      </c>
      <c r="G319" s="13">
        <f t="shared" si="197"/>
        <v>1258.1999999999998</v>
      </c>
      <c r="H319" s="14">
        <v>3</v>
      </c>
      <c r="I319" s="15" t="s">
        <v>13</v>
      </c>
      <c r="J319" s="12" t="s">
        <v>36</v>
      </c>
      <c r="K319">
        <v>1258.1999999999998</v>
      </c>
      <c r="L319">
        <f t="shared" si="194"/>
        <v>2</v>
      </c>
      <c r="M319" s="23">
        <f t="shared" si="159"/>
        <v>2516.3999999999996</v>
      </c>
    </row>
    <row r="320" spans="1:13" ht="24" customHeight="1" outlineLevel="2" x14ac:dyDescent="0.25">
      <c r="A320" s="11" t="str">
        <f>A319</f>
        <v>ЩАО1ж; ЩАО2ж (11 секция)</v>
      </c>
      <c r="B320" s="11" t="s">
        <v>10</v>
      </c>
      <c r="C320" s="11" t="s">
        <v>10</v>
      </c>
      <c r="D320" s="11" t="s">
        <v>10</v>
      </c>
      <c r="E320" s="11">
        <f ca="1">OFFSET(E320,1,2)</f>
        <v>6000</v>
      </c>
      <c r="F320" s="13">
        <f ca="1">E320</f>
        <v>6000</v>
      </c>
      <c r="G320" s="13">
        <f ca="1">F320*H320</f>
        <v>6000</v>
      </c>
      <c r="H320" s="11">
        <v>1</v>
      </c>
      <c r="I320" s="11" t="s">
        <v>13</v>
      </c>
      <c r="J320" s="11" t="s">
        <v>10</v>
      </c>
      <c r="K320">
        <v>6000</v>
      </c>
      <c r="L320">
        <f t="shared" si="194"/>
        <v>2</v>
      </c>
      <c r="M320" s="23">
        <f t="shared" ca="1" si="159"/>
        <v>12000</v>
      </c>
    </row>
    <row r="321" spans="1:13" ht="21" customHeight="1" outlineLevel="2" x14ac:dyDescent="0.25">
      <c r="A321" s="11" t="str">
        <f t="shared" ref="A321" si="198">A320</f>
        <v>ЩАО1ж; ЩАО2ж (11 секция)</v>
      </c>
      <c r="B321" s="11" t="s">
        <v>11</v>
      </c>
      <c r="C321" s="11" t="s">
        <v>11</v>
      </c>
      <c r="D321" s="11" t="s">
        <v>11</v>
      </c>
      <c r="E321" s="11">
        <v>1</v>
      </c>
      <c r="F321" s="13">
        <v>100</v>
      </c>
      <c r="G321" s="13">
        <f t="shared" ref="G321" si="199">F321*H321</f>
        <v>6000</v>
      </c>
      <c r="H321" s="11">
        <f>60*E321</f>
        <v>60</v>
      </c>
      <c r="I321" s="11" t="s">
        <v>13</v>
      </c>
      <c r="J321" s="11" t="s">
        <v>11</v>
      </c>
      <c r="K321">
        <v>6000</v>
      </c>
      <c r="L321">
        <f t="shared" si="194"/>
        <v>2</v>
      </c>
      <c r="M321" s="23">
        <f t="shared" si="159"/>
        <v>12000</v>
      </c>
    </row>
    <row r="322" spans="1:13" ht="21" customHeight="1" outlineLevel="1" x14ac:dyDescent="0.25">
      <c r="A322" s="11" t="s">
        <v>312</v>
      </c>
      <c r="B322" s="11"/>
      <c r="C322" s="11"/>
      <c r="D322" s="11"/>
      <c r="E322" s="11"/>
      <c r="F322" s="13"/>
      <c r="G322" s="13">
        <f ca="1">SUBTOTAL(9,G316:G321)</f>
        <v>21054</v>
      </c>
      <c r="H322" s="11"/>
      <c r="I322" s="11"/>
      <c r="J322" s="11"/>
      <c r="K322">
        <v>21054</v>
      </c>
      <c r="L322">
        <f t="shared" si="194"/>
        <v>2</v>
      </c>
      <c r="M322" s="23">
        <f t="shared" ca="1" si="159"/>
        <v>42108</v>
      </c>
    </row>
    <row r="323" spans="1:13" ht="39.75" customHeight="1" outlineLevel="2" x14ac:dyDescent="0.25">
      <c r="A323" s="4" t="str">
        <f>D323</f>
        <v>Шкаф ЯРП-Инд (ЯРВ-100А) 460х250х145  IP31  (11 секция)</v>
      </c>
      <c r="B323" s="5"/>
      <c r="C323" s="17"/>
      <c r="D323" s="5" t="s">
        <v>169</v>
      </c>
      <c r="E323" s="7"/>
      <c r="F323" s="7"/>
      <c r="G323" s="8"/>
      <c r="H323" s="9">
        <v>1</v>
      </c>
      <c r="I323" s="10" t="s">
        <v>7</v>
      </c>
      <c r="J323" s="5" t="s">
        <v>9</v>
      </c>
      <c r="L323">
        <f>H323</f>
        <v>1</v>
      </c>
      <c r="M323" s="23">
        <f t="shared" ref="M323:M386" si="200">L323*G323</f>
        <v>0</v>
      </c>
    </row>
    <row r="324" spans="1:13" ht="39.75" customHeight="1" outlineLevel="1" x14ac:dyDescent="0.25">
      <c r="A324" s="4" t="s">
        <v>313</v>
      </c>
      <c r="B324" s="5"/>
      <c r="C324" s="17"/>
      <c r="D324" s="5"/>
      <c r="E324" s="7"/>
      <c r="F324" s="7"/>
      <c r="G324" s="8">
        <f>SUBTOTAL(9,G323:G323)</f>
        <v>0</v>
      </c>
      <c r="H324" s="9"/>
      <c r="I324" s="10"/>
      <c r="J324" s="5"/>
      <c r="K324">
        <v>0</v>
      </c>
      <c r="L324">
        <f>L323</f>
        <v>1</v>
      </c>
      <c r="M324" s="23">
        <f t="shared" si="200"/>
        <v>0</v>
      </c>
    </row>
    <row r="325" spans="1:13" ht="39.75" customHeight="1" outlineLevel="2" x14ac:dyDescent="0.25">
      <c r="A325" s="4" t="str">
        <f>D325</f>
        <v>ЩУ-Т1 (11 секция)</v>
      </c>
      <c r="B325" s="5"/>
      <c r="C325" s="17"/>
      <c r="D325" s="5" t="s">
        <v>76</v>
      </c>
      <c r="E325" s="7"/>
      <c r="F325" s="7"/>
      <c r="G325" s="8"/>
      <c r="H325" s="9">
        <v>1</v>
      </c>
      <c r="I325" s="10" t="s">
        <v>7</v>
      </c>
      <c r="J325" s="5" t="s">
        <v>9</v>
      </c>
      <c r="L325">
        <f>H325</f>
        <v>1</v>
      </c>
      <c r="M325" s="23">
        <f t="shared" si="200"/>
        <v>0</v>
      </c>
    </row>
    <row r="326" spans="1:13" ht="21" customHeight="1" outlineLevel="2" x14ac:dyDescent="0.25">
      <c r="A326" s="11" t="str">
        <f>A325</f>
        <v>ЩУ-Т1 (11 секция)</v>
      </c>
      <c r="B326" s="12" t="s">
        <v>8</v>
      </c>
      <c r="C326" s="18" t="s">
        <v>254</v>
      </c>
      <c r="D326" s="11" t="s">
        <v>255</v>
      </c>
      <c r="E326" s="12">
        <v>10500</v>
      </c>
      <c r="F326" s="13">
        <f>0.6*E326</f>
        <v>6300</v>
      </c>
      <c r="G326" s="13">
        <f>H326*F326</f>
        <v>6300</v>
      </c>
      <c r="H326" s="14">
        <v>1</v>
      </c>
      <c r="I326" s="15" t="s">
        <v>13</v>
      </c>
      <c r="J326" s="12" t="s">
        <v>16</v>
      </c>
      <c r="K326">
        <v>6300</v>
      </c>
      <c r="L326">
        <f t="shared" ref="L326:L334" si="201">L325</f>
        <v>1</v>
      </c>
      <c r="M326" s="23">
        <f t="shared" si="200"/>
        <v>6300</v>
      </c>
    </row>
    <row r="327" spans="1:13" ht="21" customHeight="1" outlineLevel="2" x14ac:dyDescent="0.25">
      <c r="A327" s="11" t="str">
        <f t="shared" ref="A327:A330" si="202">A326</f>
        <v>ЩУ-Т1 (11 секция)</v>
      </c>
      <c r="B327" s="12" t="s">
        <v>18</v>
      </c>
      <c r="C327" s="18">
        <v>105542</v>
      </c>
      <c r="D327" s="11" t="s">
        <v>65</v>
      </c>
      <c r="E327" s="12">
        <v>3513</v>
      </c>
      <c r="F327" s="13">
        <f t="shared" ref="F327:F330" si="203">E327*0.6</f>
        <v>2107.7999999999997</v>
      </c>
      <c r="G327" s="13">
        <f t="shared" ref="G327:G331" si="204">F327*H327</f>
        <v>2107.7999999999997</v>
      </c>
      <c r="H327" s="14">
        <v>1</v>
      </c>
      <c r="I327" s="15" t="s">
        <v>13</v>
      </c>
      <c r="J327" s="12" t="s">
        <v>36</v>
      </c>
      <c r="K327">
        <v>2107.7999999999997</v>
      </c>
      <c r="L327">
        <f t="shared" si="201"/>
        <v>1</v>
      </c>
      <c r="M327" s="23">
        <f t="shared" si="200"/>
        <v>2107.7999999999997</v>
      </c>
    </row>
    <row r="328" spans="1:13" ht="21" customHeight="1" outlineLevel="2" x14ac:dyDescent="0.25">
      <c r="A328" s="11" t="str">
        <f t="shared" si="202"/>
        <v>ЩУ-Т1 (11 секция)</v>
      </c>
      <c r="B328" s="12" t="s">
        <v>12</v>
      </c>
      <c r="C328" s="18"/>
      <c r="D328" s="11" t="s">
        <v>198</v>
      </c>
      <c r="E328" s="16">
        <v>1660</v>
      </c>
      <c r="F328" s="13">
        <f t="shared" si="203"/>
        <v>996</v>
      </c>
      <c r="G328" s="13">
        <f t="shared" si="204"/>
        <v>996</v>
      </c>
      <c r="H328" s="14">
        <v>1</v>
      </c>
      <c r="I328" s="15" t="s">
        <v>13</v>
      </c>
      <c r="J328" s="12" t="s">
        <v>36</v>
      </c>
      <c r="K328">
        <v>996</v>
      </c>
      <c r="L328">
        <f t="shared" si="201"/>
        <v>1</v>
      </c>
      <c r="M328" s="23">
        <f t="shared" si="200"/>
        <v>996</v>
      </c>
    </row>
    <row r="329" spans="1:13" ht="21" customHeight="1" outlineLevel="2" x14ac:dyDescent="0.25">
      <c r="A329" s="11" t="str">
        <f t="shared" si="202"/>
        <v>ЩУ-Т1 (11 секция)</v>
      </c>
      <c r="B329" s="12" t="s">
        <v>12</v>
      </c>
      <c r="C329" s="18">
        <v>296708</v>
      </c>
      <c r="D329" s="11" t="s">
        <v>31</v>
      </c>
      <c r="E329" s="12">
        <v>828</v>
      </c>
      <c r="F329" s="13">
        <f t="shared" si="203"/>
        <v>496.79999999999995</v>
      </c>
      <c r="G329" s="13">
        <f t="shared" si="204"/>
        <v>496.79999999999995</v>
      </c>
      <c r="H329" s="14">
        <v>1</v>
      </c>
      <c r="I329" s="15" t="s">
        <v>13</v>
      </c>
      <c r="J329" s="12" t="s">
        <v>36</v>
      </c>
      <c r="K329">
        <v>496.79999999999995</v>
      </c>
      <c r="L329">
        <f t="shared" si="201"/>
        <v>1</v>
      </c>
      <c r="M329" s="23">
        <f t="shared" si="200"/>
        <v>496.79999999999995</v>
      </c>
    </row>
    <row r="330" spans="1:13" ht="21" customHeight="1" outlineLevel="2" x14ac:dyDescent="0.25">
      <c r="A330" s="11" t="str">
        <f t="shared" si="202"/>
        <v>ЩУ-Т1 (11 секция)</v>
      </c>
      <c r="B330" s="12" t="s">
        <v>21</v>
      </c>
      <c r="C330" s="18" t="s">
        <v>70</v>
      </c>
      <c r="D330" s="11" t="s">
        <v>69</v>
      </c>
      <c r="E330" s="12">
        <v>3505</v>
      </c>
      <c r="F330" s="13">
        <f t="shared" si="203"/>
        <v>2103</v>
      </c>
      <c r="G330" s="13">
        <f t="shared" si="204"/>
        <v>2103</v>
      </c>
      <c r="H330" s="14">
        <v>1</v>
      </c>
      <c r="I330" s="15" t="s">
        <v>13</v>
      </c>
      <c r="J330" s="12" t="s">
        <v>36</v>
      </c>
      <c r="K330">
        <v>2103</v>
      </c>
      <c r="L330">
        <f t="shared" si="201"/>
        <v>1</v>
      </c>
      <c r="M330" s="23">
        <f t="shared" si="200"/>
        <v>2103</v>
      </c>
    </row>
    <row r="331" spans="1:13" ht="21" customHeight="1" outlineLevel="2" x14ac:dyDescent="0.25">
      <c r="A331" s="11" t="str">
        <f>A327</f>
        <v>ЩУ-Т1 (11 секция)</v>
      </c>
      <c r="B331" s="12" t="s">
        <v>71</v>
      </c>
      <c r="C331" s="18" t="s">
        <v>264</v>
      </c>
      <c r="D331" s="11" t="s">
        <v>263</v>
      </c>
      <c r="E331" s="16">
        <v>19505</v>
      </c>
      <c r="F331" s="13">
        <f>E331</f>
        <v>19505</v>
      </c>
      <c r="G331" s="13">
        <f t="shared" si="204"/>
        <v>19505</v>
      </c>
      <c r="H331" s="14">
        <v>1</v>
      </c>
      <c r="I331" s="15" t="s">
        <v>13</v>
      </c>
      <c r="J331" s="12" t="s">
        <v>20</v>
      </c>
      <c r="K331">
        <v>19505</v>
      </c>
      <c r="L331">
        <f t="shared" si="201"/>
        <v>1</v>
      </c>
      <c r="M331" s="23">
        <f t="shared" si="200"/>
        <v>19505</v>
      </c>
    </row>
    <row r="332" spans="1:13" ht="24" customHeight="1" outlineLevel="2" x14ac:dyDescent="0.25">
      <c r="A332" s="11" t="str">
        <f>A328</f>
        <v>ЩУ-Т1 (11 секция)</v>
      </c>
      <c r="B332" s="11" t="s">
        <v>10</v>
      </c>
      <c r="C332" s="11" t="s">
        <v>10</v>
      </c>
      <c r="D332" s="11" t="s">
        <v>10</v>
      </c>
      <c r="E332" s="11">
        <f ca="1">OFFSET(E332,1,2)</f>
        <v>6000</v>
      </c>
      <c r="F332" s="13">
        <f ca="1">E332</f>
        <v>6000</v>
      </c>
      <c r="G332" s="13">
        <f ca="1">F332*H332</f>
        <v>6000</v>
      </c>
      <c r="H332" s="11">
        <v>1</v>
      </c>
      <c r="I332" s="11" t="s">
        <v>13</v>
      </c>
      <c r="J332" s="11" t="s">
        <v>10</v>
      </c>
      <c r="K332">
        <v>6000</v>
      </c>
      <c r="L332">
        <f t="shared" si="201"/>
        <v>1</v>
      </c>
      <c r="M332" s="23">
        <f t="shared" ca="1" si="200"/>
        <v>6000</v>
      </c>
    </row>
    <row r="333" spans="1:13" ht="21" customHeight="1" outlineLevel="2" x14ac:dyDescent="0.25">
      <c r="A333" s="11" t="str">
        <f t="shared" ref="A333" si="205">A332</f>
        <v>ЩУ-Т1 (11 секция)</v>
      </c>
      <c r="B333" s="11" t="s">
        <v>11</v>
      </c>
      <c r="C333" s="11" t="s">
        <v>11</v>
      </c>
      <c r="D333" s="11" t="s">
        <v>11</v>
      </c>
      <c r="E333" s="11">
        <v>1</v>
      </c>
      <c r="F333" s="13">
        <v>100</v>
      </c>
      <c r="G333" s="13">
        <f t="shared" ref="G333" si="206">F333*H333</f>
        <v>6000</v>
      </c>
      <c r="H333" s="11">
        <f>60*E333</f>
        <v>60</v>
      </c>
      <c r="I333" s="11" t="s">
        <v>13</v>
      </c>
      <c r="J333" s="11" t="s">
        <v>11</v>
      </c>
      <c r="K333">
        <v>6000</v>
      </c>
      <c r="L333">
        <f t="shared" si="201"/>
        <v>1</v>
      </c>
      <c r="M333" s="23">
        <f t="shared" si="200"/>
        <v>6000</v>
      </c>
    </row>
    <row r="334" spans="1:13" ht="21" customHeight="1" outlineLevel="1" x14ac:dyDescent="0.25">
      <c r="A334" s="11" t="s">
        <v>314</v>
      </c>
      <c r="B334" s="11"/>
      <c r="C334" s="11"/>
      <c r="D334" s="11"/>
      <c r="E334" s="11"/>
      <c r="F334" s="13"/>
      <c r="G334" s="13">
        <f ca="1">SUBTOTAL(9,G325:G333)</f>
        <v>43508.6</v>
      </c>
      <c r="H334" s="11"/>
      <c r="I334" s="11"/>
      <c r="J334" s="11"/>
      <c r="K334">
        <v>43508.6</v>
      </c>
      <c r="L334">
        <f t="shared" si="201"/>
        <v>1</v>
      </c>
      <c r="M334" s="23">
        <f t="shared" ca="1" si="200"/>
        <v>43508.6</v>
      </c>
    </row>
    <row r="335" spans="1:13" ht="39.75" customHeight="1" outlineLevel="2" x14ac:dyDescent="0.25">
      <c r="A335" s="4" t="str">
        <f>D335</f>
        <v>ЩС (11 секция)</v>
      </c>
      <c r="B335" s="5"/>
      <c r="C335" s="17"/>
      <c r="D335" s="5" t="s">
        <v>77</v>
      </c>
      <c r="E335" s="7"/>
      <c r="F335" s="7"/>
      <c r="G335" s="8"/>
      <c r="H335" s="9">
        <v>1</v>
      </c>
      <c r="I335" s="10" t="s">
        <v>7</v>
      </c>
      <c r="J335" s="5" t="s">
        <v>9</v>
      </c>
      <c r="L335">
        <f>H335</f>
        <v>1</v>
      </c>
      <c r="M335" s="23">
        <f t="shared" si="200"/>
        <v>0</v>
      </c>
    </row>
    <row r="336" spans="1:13" ht="21" customHeight="1" outlineLevel="2" x14ac:dyDescent="0.25">
      <c r="A336" s="11" t="str">
        <f>A335</f>
        <v>ЩС (11 секция)</v>
      </c>
      <c r="B336" s="12" t="s">
        <v>8</v>
      </c>
      <c r="C336" s="18" t="s">
        <v>256</v>
      </c>
      <c r="D336" s="11" t="s">
        <v>257</v>
      </c>
      <c r="E336" s="12">
        <v>15500</v>
      </c>
      <c r="F336" s="13">
        <f>0.6*E336</f>
        <v>9300</v>
      </c>
      <c r="G336" s="13">
        <f>H336*F336</f>
        <v>9300</v>
      </c>
      <c r="H336" s="14">
        <v>1</v>
      </c>
      <c r="I336" s="15" t="s">
        <v>13</v>
      </c>
      <c r="J336" s="12" t="s">
        <v>16</v>
      </c>
      <c r="K336">
        <v>9300</v>
      </c>
      <c r="L336">
        <f t="shared" ref="L336:L343" si="207">L335</f>
        <v>1</v>
      </c>
      <c r="M336" s="23">
        <f t="shared" si="200"/>
        <v>9300</v>
      </c>
    </row>
    <row r="337" spans="1:13" ht="21" customHeight="1" outlineLevel="2" x14ac:dyDescent="0.25">
      <c r="A337" s="11" t="str">
        <f t="shared" ref="A337" si="208">A336</f>
        <v>ЩС (11 секция)</v>
      </c>
      <c r="B337" s="12" t="s">
        <v>64</v>
      </c>
      <c r="C337" s="18">
        <v>193180</v>
      </c>
      <c r="D337" s="11" t="s">
        <v>60</v>
      </c>
      <c r="E337" s="12">
        <v>2493</v>
      </c>
      <c r="F337" s="13">
        <f t="shared" ref="F337:F340" si="209">E337*0.6</f>
        <v>1495.8</v>
      </c>
      <c r="G337" s="13">
        <f t="shared" ref="G337" si="210">F337*H337</f>
        <v>1495.8</v>
      </c>
      <c r="H337" s="14">
        <v>1</v>
      </c>
      <c r="I337" s="15" t="s">
        <v>13</v>
      </c>
      <c r="J337" s="12" t="s">
        <v>36</v>
      </c>
      <c r="K337">
        <v>1495.8</v>
      </c>
      <c r="L337">
        <f t="shared" si="207"/>
        <v>1</v>
      </c>
      <c r="M337" s="23">
        <f t="shared" si="200"/>
        <v>1495.8</v>
      </c>
    </row>
    <row r="338" spans="1:13" ht="20.25" customHeight="1" outlineLevel="2" x14ac:dyDescent="0.25">
      <c r="A338" s="11" t="str">
        <f>A336</f>
        <v>ЩС (11 секция)</v>
      </c>
      <c r="B338" s="12" t="s">
        <v>12</v>
      </c>
      <c r="C338" s="18"/>
      <c r="D338" s="11" t="s">
        <v>205</v>
      </c>
      <c r="E338" s="16">
        <v>3003</v>
      </c>
      <c r="F338" s="13">
        <f t="shared" si="209"/>
        <v>1801.8</v>
      </c>
      <c r="G338" s="13">
        <f t="shared" ref="G338:G340" si="211">F338*H338</f>
        <v>5405.4</v>
      </c>
      <c r="H338" s="14">
        <v>3</v>
      </c>
      <c r="I338" s="15" t="s">
        <v>13</v>
      </c>
      <c r="J338" s="12" t="s">
        <v>36</v>
      </c>
      <c r="K338">
        <v>5405.4</v>
      </c>
      <c r="L338">
        <f t="shared" si="207"/>
        <v>1</v>
      </c>
      <c r="M338" s="23">
        <f t="shared" si="200"/>
        <v>5405.4</v>
      </c>
    </row>
    <row r="339" spans="1:13" ht="21" customHeight="1" outlineLevel="2" x14ac:dyDescent="0.25">
      <c r="A339" s="11" t="str">
        <f t="shared" ref="A339:A340" si="212">A338</f>
        <v>ЩС (11 секция)</v>
      </c>
      <c r="B339" s="12" t="s">
        <v>12</v>
      </c>
      <c r="C339" s="18">
        <v>296709</v>
      </c>
      <c r="D339" s="11" t="s">
        <v>196</v>
      </c>
      <c r="E339" s="12">
        <v>699</v>
      </c>
      <c r="F339" s="13">
        <f t="shared" si="209"/>
        <v>419.4</v>
      </c>
      <c r="G339" s="13">
        <f t="shared" si="211"/>
        <v>1258.1999999999998</v>
      </c>
      <c r="H339" s="14">
        <v>3</v>
      </c>
      <c r="I339" s="15" t="s">
        <v>13</v>
      </c>
      <c r="J339" s="12" t="s">
        <v>36</v>
      </c>
      <c r="K339">
        <v>1258.1999999999998</v>
      </c>
      <c r="L339">
        <f t="shared" si="207"/>
        <v>1</v>
      </c>
      <c r="M339" s="23">
        <f t="shared" si="200"/>
        <v>1258.1999999999998</v>
      </c>
    </row>
    <row r="340" spans="1:13" ht="21" customHeight="1" outlineLevel="2" x14ac:dyDescent="0.25">
      <c r="A340" s="11" t="str">
        <f t="shared" si="212"/>
        <v>ЩС (11 секция)</v>
      </c>
      <c r="B340" s="12" t="s">
        <v>18</v>
      </c>
      <c r="C340" s="18">
        <v>105542</v>
      </c>
      <c r="D340" s="11" t="s">
        <v>65</v>
      </c>
      <c r="E340" s="12">
        <v>3513</v>
      </c>
      <c r="F340" s="13">
        <f t="shared" si="209"/>
        <v>2107.7999999999997</v>
      </c>
      <c r="G340" s="13">
        <f t="shared" si="211"/>
        <v>4215.5999999999995</v>
      </c>
      <c r="H340" s="14">
        <v>2</v>
      </c>
      <c r="I340" s="15" t="s">
        <v>13</v>
      </c>
      <c r="J340" s="12" t="s">
        <v>36</v>
      </c>
      <c r="K340">
        <v>4215.5999999999995</v>
      </c>
      <c r="L340">
        <f t="shared" si="207"/>
        <v>1</v>
      </c>
      <c r="M340" s="23">
        <f t="shared" si="200"/>
        <v>4215.5999999999995</v>
      </c>
    </row>
    <row r="341" spans="1:13" ht="24" customHeight="1" outlineLevel="2" x14ac:dyDescent="0.25">
      <c r="A341" s="11" t="str">
        <f>A339</f>
        <v>ЩС (11 секция)</v>
      </c>
      <c r="B341" s="11" t="s">
        <v>10</v>
      </c>
      <c r="C341" s="11" t="s">
        <v>10</v>
      </c>
      <c r="D341" s="11" t="s">
        <v>10</v>
      </c>
      <c r="E341" s="11">
        <f ca="1">OFFSET(E341,1,2)</f>
        <v>9000</v>
      </c>
      <c r="F341" s="13">
        <f ca="1">E341</f>
        <v>9000</v>
      </c>
      <c r="G341" s="13">
        <f ca="1">F341*H341</f>
        <v>9000</v>
      </c>
      <c r="H341" s="11">
        <v>1</v>
      </c>
      <c r="I341" s="11" t="s">
        <v>13</v>
      </c>
      <c r="J341" s="11" t="s">
        <v>10</v>
      </c>
      <c r="K341">
        <v>9000</v>
      </c>
      <c r="L341">
        <f t="shared" si="207"/>
        <v>1</v>
      </c>
      <c r="M341" s="23">
        <f t="shared" ca="1" si="200"/>
        <v>9000</v>
      </c>
    </row>
    <row r="342" spans="1:13" ht="21" customHeight="1" outlineLevel="2" x14ac:dyDescent="0.25">
      <c r="A342" s="11" t="str">
        <f t="shared" ref="A342" si="213">A341</f>
        <v>ЩС (11 секция)</v>
      </c>
      <c r="B342" s="11" t="s">
        <v>11</v>
      </c>
      <c r="C342" s="11" t="s">
        <v>11</v>
      </c>
      <c r="D342" s="11" t="s">
        <v>11</v>
      </c>
      <c r="E342" s="11">
        <v>1.5</v>
      </c>
      <c r="F342" s="13">
        <v>100</v>
      </c>
      <c r="G342" s="13">
        <f t="shared" ref="G342" si="214">F342*H342</f>
        <v>9000</v>
      </c>
      <c r="H342" s="11">
        <f>60*E342</f>
        <v>90</v>
      </c>
      <c r="I342" s="11" t="s">
        <v>13</v>
      </c>
      <c r="J342" s="11" t="s">
        <v>11</v>
      </c>
      <c r="K342">
        <v>9000</v>
      </c>
      <c r="L342">
        <f t="shared" si="207"/>
        <v>1</v>
      </c>
      <c r="M342" s="23">
        <f t="shared" si="200"/>
        <v>9000</v>
      </c>
    </row>
    <row r="343" spans="1:13" ht="21" customHeight="1" outlineLevel="1" x14ac:dyDescent="0.25">
      <c r="A343" s="11" t="s">
        <v>315</v>
      </c>
      <c r="B343" s="11"/>
      <c r="C343" s="11"/>
      <c r="D343" s="11"/>
      <c r="E343" s="11"/>
      <c r="F343" s="13"/>
      <c r="G343" s="13">
        <f ca="1">SUBTOTAL(9,G335:G342)</f>
        <v>39675</v>
      </c>
      <c r="H343" s="11"/>
      <c r="I343" s="11"/>
      <c r="J343" s="11"/>
      <c r="K343">
        <v>39675</v>
      </c>
      <c r="L343">
        <f t="shared" si="207"/>
        <v>1</v>
      </c>
      <c r="M343" s="23">
        <f t="shared" ca="1" si="200"/>
        <v>39675</v>
      </c>
    </row>
    <row r="344" spans="1:13" ht="39.75" customHeight="1" outlineLevel="2" x14ac:dyDescent="0.25">
      <c r="A344" s="4" t="str">
        <f>D344</f>
        <v>ВЩО-11 (ВРУ-8504-3ВП-5-25-0-30)  (11 секция)</v>
      </c>
      <c r="B344" s="5"/>
      <c r="C344" s="17"/>
      <c r="D344" s="5" t="s">
        <v>170</v>
      </c>
      <c r="E344" s="7"/>
      <c r="F344" s="7"/>
      <c r="G344" s="8"/>
      <c r="H344" s="9">
        <v>1</v>
      </c>
      <c r="I344" s="10" t="s">
        <v>7</v>
      </c>
      <c r="J344" s="5" t="s">
        <v>9</v>
      </c>
      <c r="L344">
        <f>H344</f>
        <v>1</v>
      </c>
      <c r="M344" s="23">
        <f t="shared" si="200"/>
        <v>0</v>
      </c>
    </row>
    <row r="345" spans="1:13" ht="21" customHeight="1" outlineLevel="2" x14ac:dyDescent="0.25">
      <c r="A345" s="11" t="str">
        <f>A344</f>
        <v>ВЩО-11 (ВРУ-8504-3ВП-5-25-0-30)  (11 секция)</v>
      </c>
      <c r="B345" s="12" t="s">
        <v>8</v>
      </c>
      <c r="C345" s="18" t="s">
        <v>250</v>
      </c>
      <c r="D345" s="11" t="s">
        <v>251</v>
      </c>
      <c r="E345" s="12">
        <v>160000</v>
      </c>
      <c r="F345" s="13">
        <f>0.6*E345</f>
        <v>96000</v>
      </c>
      <c r="G345" s="13">
        <f>H345*F345</f>
        <v>96000</v>
      </c>
      <c r="H345" s="14">
        <v>1</v>
      </c>
      <c r="I345" s="15" t="s">
        <v>13</v>
      </c>
      <c r="J345" s="12" t="s">
        <v>16</v>
      </c>
      <c r="K345">
        <v>96000</v>
      </c>
      <c r="L345">
        <f t="shared" ref="L345:L363" si="215">L344</f>
        <v>1</v>
      </c>
      <c r="M345" s="23">
        <f t="shared" si="200"/>
        <v>96000</v>
      </c>
    </row>
    <row r="346" spans="1:13" ht="21" customHeight="1" outlineLevel="2" x14ac:dyDescent="0.25">
      <c r="A346" s="11" t="str">
        <f t="shared" ref="A346:A362" si="216">A345</f>
        <v>ВЩО-11 (ВРУ-8504-3ВП-5-25-0-30)  (11 секция)</v>
      </c>
      <c r="B346" s="12" t="s">
        <v>43</v>
      </c>
      <c r="C346" s="18" t="s">
        <v>78</v>
      </c>
      <c r="D346" s="11" t="s">
        <v>79</v>
      </c>
      <c r="E346" s="12">
        <v>12851</v>
      </c>
      <c r="F346" s="13">
        <f t="shared" ref="F346:F347" si="217">E346</f>
        <v>12851</v>
      </c>
      <c r="G346" s="13">
        <f>F346*H346</f>
        <v>12851</v>
      </c>
      <c r="H346" s="14">
        <v>1</v>
      </c>
      <c r="I346" s="15" t="s">
        <v>13</v>
      </c>
      <c r="J346" s="12" t="s">
        <v>20</v>
      </c>
      <c r="K346">
        <v>12851</v>
      </c>
      <c r="L346">
        <f t="shared" si="215"/>
        <v>1</v>
      </c>
      <c r="M346" s="23">
        <f t="shared" si="200"/>
        <v>12851</v>
      </c>
    </row>
    <row r="347" spans="1:13" ht="21" customHeight="1" outlineLevel="2" x14ac:dyDescent="0.25">
      <c r="A347" s="11" t="str">
        <f t="shared" si="216"/>
        <v>ВЩО-11 (ВРУ-8504-3ВП-5-25-0-30)  (11 секция)</v>
      </c>
      <c r="B347" s="12" t="s">
        <v>44</v>
      </c>
      <c r="C347" s="18" t="s">
        <v>271</v>
      </c>
      <c r="D347" s="11" t="s">
        <v>272</v>
      </c>
      <c r="E347" s="12">
        <v>6500</v>
      </c>
      <c r="F347" s="13">
        <f t="shared" si="217"/>
        <v>6500</v>
      </c>
      <c r="G347" s="13">
        <f t="shared" ref="G347:G358" si="218">F347*H347</f>
        <v>19500</v>
      </c>
      <c r="H347" s="14">
        <v>3</v>
      </c>
      <c r="I347" s="15" t="s">
        <v>13</v>
      </c>
      <c r="J347" s="12" t="s">
        <v>20</v>
      </c>
      <c r="K347">
        <v>19500</v>
      </c>
      <c r="L347">
        <f t="shared" si="215"/>
        <v>1</v>
      </c>
      <c r="M347" s="23">
        <f t="shared" si="200"/>
        <v>19500</v>
      </c>
    </row>
    <row r="348" spans="1:13" ht="21" customHeight="1" outlineLevel="2" x14ac:dyDescent="0.25">
      <c r="A348" s="11" t="str">
        <f>A346</f>
        <v>ВЩО-11 (ВРУ-8504-3ВП-5-25-0-30)  (11 секция)</v>
      </c>
      <c r="B348" s="12" t="s">
        <v>134</v>
      </c>
      <c r="C348" s="18" t="s">
        <v>171</v>
      </c>
      <c r="D348" s="11" t="s">
        <v>172</v>
      </c>
      <c r="E348" s="12">
        <v>3317</v>
      </c>
      <c r="F348" s="13">
        <f t="shared" ref="F348:F358" si="219">E348*0.6</f>
        <v>1990.1999999999998</v>
      </c>
      <c r="G348" s="13">
        <f t="shared" ref="G348" si="220">F348*H348</f>
        <v>11941.199999999999</v>
      </c>
      <c r="H348" s="14">
        <v>6</v>
      </c>
      <c r="I348" s="15" t="s">
        <v>13</v>
      </c>
      <c r="J348" s="12" t="s">
        <v>206</v>
      </c>
      <c r="K348">
        <v>11941.199999999999</v>
      </c>
      <c r="L348">
        <f t="shared" si="215"/>
        <v>1</v>
      </c>
      <c r="M348" s="23">
        <f t="shared" si="200"/>
        <v>11941.199999999999</v>
      </c>
    </row>
    <row r="349" spans="1:13" ht="21" customHeight="1" outlineLevel="2" x14ac:dyDescent="0.25">
      <c r="A349" s="11" t="str">
        <f>A347</f>
        <v>ВЩО-11 (ВРУ-8504-3ВП-5-25-0-30)  (11 секция)</v>
      </c>
      <c r="B349" s="12" t="s">
        <v>134</v>
      </c>
      <c r="C349" s="18" t="s">
        <v>128</v>
      </c>
      <c r="D349" s="11" t="s">
        <v>129</v>
      </c>
      <c r="E349" s="12">
        <v>2225</v>
      </c>
      <c r="F349" s="13">
        <f t="shared" si="219"/>
        <v>1335</v>
      </c>
      <c r="G349" s="13">
        <f t="shared" si="218"/>
        <v>4005</v>
      </c>
      <c r="H349" s="14">
        <v>3</v>
      </c>
      <c r="I349" s="15" t="s">
        <v>13</v>
      </c>
      <c r="J349" s="12" t="s">
        <v>206</v>
      </c>
      <c r="K349">
        <v>4005</v>
      </c>
      <c r="L349">
        <f t="shared" si="215"/>
        <v>1</v>
      </c>
      <c r="M349" s="23">
        <f t="shared" si="200"/>
        <v>4005</v>
      </c>
    </row>
    <row r="350" spans="1:13" ht="21" customHeight="1" outlineLevel="2" x14ac:dyDescent="0.25">
      <c r="A350" s="11" t="str">
        <f>A348</f>
        <v>ВЩО-11 (ВРУ-8504-3ВП-5-25-0-30)  (11 секция)</v>
      </c>
      <c r="B350" s="12" t="s">
        <v>134</v>
      </c>
      <c r="C350" s="18" t="s">
        <v>157</v>
      </c>
      <c r="D350" s="11" t="s">
        <v>158</v>
      </c>
      <c r="E350" s="12">
        <v>4750</v>
      </c>
      <c r="F350" s="13">
        <f t="shared" si="219"/>
        <v>2850</v>
      </c>
      <c r="G350" s="13">
        <f t="shared" si="218"/>
        <v>17100</v>
      </c>
      <c r="H350" s="14">
        <v>6</v>
      </c>
      <c r="I350" s="15" t="s">
        <v>13</v>
      </c>
      <c r="J350" s="12" t="s">
        <v>206</v>
      </c>
      <c r="K350">
        <v>17100</v>
      </c>
      <c r="L350">
        <f t="shared" si="215"/>
        <v>1</v>
      </c>
      <c r="M350" s="23">
        <f t="shared" si="200"/>
        <v>17100</v>
      </c>
    </row>
    <row r="351" spans="1:13" ht="21" customHeight="1" outlineLevel="2" x14ac:dyDescent="0.25">
      <c r="A351" s="11" t="str">
        <f>A349</f>
        <v>ВЩО-11 (ВРУ-8504-3ВП-5-25-0-30)  (11 секция)</v>
      </c>
      <c r="B351" s="12" t="s">
        <v>134</v>
      </c>
      <c r="C351" s="18" t="s">
        <v>135</v>
      </c>
      <c r="D351" s="11" t="s">
        <v>136</v>
      </c>
      <c r="E351" s="12">
        <v>3100</v>
      </c>
      <c r="F351" s="13">
        <f t="shared" si="219"/>
        <v>1860</v>
      </c>
      <c r="G351" s="13">
        <f t="shared" ref="G351" si="221">F351*H351</f>
        <v>5580</v>
      </c>
      <c r="H351" s="14">
        <v>3</v>
      </c>
      <c r="I351" s="15" t="s">
        <v>13</v>
      </c>
      <c r="J351" s="12" t="s">
        <v>206</v>
      </c>
      <c r="K351">
        <v>5580</v>
      </c>
      <c r="L351">
        <f t="shared" si="215"/>
        <v>1</v>
      </c>
      <c r="M351" s="23">
        <f t="shared" si="200"/>
        <v>5580</v>
      </c>
    </row>
    <row r="352" spans="1:13" ht="21" customHeight="1" outlineLevel="2" x14ac:dyDescent="0.25">
      <c r="A352" s="11" t="str">
        <f>A346</f>
        <v>ВЩО-11 (ВРУ-8504-3ВП-5-25-0-30)  (11 секция)</v>
      </c>
      <c r="B352" s="12" t="s">
        <v>39</v>
      </c>
      <c r="C352" s="18">
        <v>593150</v>
      </c>
      <c r="D352" s="11" t="s">
        <v>33</v>
      </c>
      <c r="E352" s="12">
        <v>439</v>
      </c>
      <c r="F352" s="13">
        <f t="shared" si="219"/>
        <v>263.39999999999998</v>
      </c>
      <c r="G352" s="13">
        <f t="shared" ref="G352" si="222">F352*H352</f>
        <v>263.39999999999998</v>
      </c>
      <c r="H352" s="14">
        <v>1</v>
      </c>
      <c r="I352" s="15" t="s">
        <v>13</v>
      </c>
      <c r="J352" s="12" t="s">
        <v>36</v>
      </c>
      <c r="K352">
        <v>263.39999999999998</v>
      </c>
      <c r="L352">
        <f t="shared" si="215"/>
        <v>1</v>
      </c>
      <c r="M352" s="23">
        <f t="shared" si="200"/>
        <v>263.39999999999998</v>
      </c>
    </row>
    <row r="353" spans="1:13" ht="21" customHeight="1" outlineLevel="2" x14ac:dyDescent="0.25">
      <c r="A353" s="11" t="str">
        <f>A347</f>
        <v>ВЩО-11 (ВРУ-8504-3ВП-5-25-0-30)  (11 секция)</v>
      </c>
      <c r="B353" s="12" t="s">
        <v>39</v>
      </c>
      <c r="C353" s="18">
        <v>593012</v>
      </c>
      <c r="D353" s="11" t="s">
        <v>80</v>
      </c>
      <c r="E353" s="12">
        <v>439</v>
      </c>
      <c r="F353" s="13">
        <f t="shared" si="219"/>
        <v>263.39999999999998</v>
      </c>
      <c r="G353" s="13">
        <f t="shared" si="218"/>
        <v>263.39999999999998</v>
      </c>
      <c r="H353" s="14">
        <v>1</v>
      </c>
      <c r="I353" s="15" t="s">
        <v>13</v>
      </c>
      <c r="J353" s="12" t="s">
        <v>36</v>
      </c>
      <c r="K353">
        <v>263.39999999999998</v>
      </c>
      <c r="L353">
        <f t="shared" si="215"/>
        <v>1</v>
      </c>
      <c r="M353" s="23">
        <f t="shared" si="200"/>
        <v>263.39999999999998</v>
      </c>
    </row>
    <row r="354" spans="1:13" ht="21" customHeight="1" outlineLevel="2" x14ac:dyDescent="0.25">
      <c r="A354" s="11" t="str">
        <f>A348</f>
        <v>ВЩО-11 (ВРУ-8504-3ВП-5-25-0-30)  (11 секция)</v>
      </c>
      <c r="B354" s="12" t="s">
        <v>39</v>
      </c>
      <c r="C354" s="18">
        <v>593071</v>
      </c>
      <c r="D354" s="11" t="s">
        <v>56</v>
      </c>
      <c r="E354" s="12">
        <v>439</v>
      </c>
      <c r="F354" s="13">
        <f t="shared" si="219"/>
        <v>263.39999999999998</v>
      </c>
      <c r="G354" s="13">
        <f t="shared" ref="G354:G355" si="223">F354*H354</f>
        <v>263.39999999999998</v>
      </c>
      <c r="H354" s="14">
        <v>1</v>
      </c>
      <c r="I354" s="15" t="s">
        <v>13</v>
      </c>
      <c r="J354" s="12" t="s">
        <v>36</v>
      </c>
      <c r="K354">
        <v>263.39999999999998</v>
      </c>
      <c r="L354">
        <f t="shared" si="215"/>
        <v>1</v>
      </c>
      <c r="M354" s="23">
        <f t="shared" si="200"/>
        <v>263.39999999999998</v>
      </c>
    </row>
    <row r="355" spans="1:13" ht="21" customHeight="1" outlineLevel="2" x14ac:dyDescent="0.25">
      <c r="A355" s="11" t="str">
        <f t="shared" ref="A355" si="224">A354</f>
        <v>ВЩО-11 (ВРУ-8504-3ВП-5-25-0-30)  (11 секция)</v>
      </c>
      <c r="B355" s="12" t="s">
        <v>12</v>
      </c>
      <c r="C355" s="18">
        <v>296708</v>
      </c>
      <c r="D355" s="11" t="s">
        <v>31</v>
      </c>
      <c r="E355" s="12">
        <v>828</v>
      </c>
      <c r="F355" s="13">
        <f t="shared" si="219"/>
        <v>496.79999999999995</v>
      </c>
      <c r="G355" s="13">
        <f t="shared" si="223"/>
        <v>1490.3999999999999</v>
      </c>
      <c r="H355" s="14">
        <v>3</v>
      </c>
      <c r="I355" s="15" t="s">
        <v>13</v>
      </c>
      <c r="J355" s="12" t="s">
        <v>36</v>
      </c>
      <c r="K355">
        <v>1490.3999999999999</v>
      </c>
      <c r="L355">
        <f t="shared" si="215"/>
        <v>1</v>
      </c>
      <c r="M355" s="23">
        <f t="shared" si="200"/>
        <v>1490.3999999999999</v>
      </c>
    </row>
    <row r="356" spans="1:13" ht="21" customHeight="1" outlineLevel="2" x14ac:dyDescent="0.25">
      <c r="A356" s="11" t="str">
        <f t="shared" ref="A356" si="225">A355</f>
        <v>ВЩО-11 (ВРУ-8504-3ВП-5-25-0-30)  (11 секция)</v>
      </c>
      <c r="B356" s="12" t="s">
        <v>83</v>
      </c>
      <c r="C356" s="18" t="s">
        <v>238</v>
      </c>
      <c r="D356" s="11" t="s">
        <v>237</v>
      </c>
      <c r="E356" s="12">
        <v>405</v>
      </c>
      <c r="F356" s="13">
        <f t="shared" si="219"/>
        <v>243</v>
      </c>
      <c r="G356" s="13">
        <f t="shared" ref="G356" si="226">F356*H356</f>
        <v>486</v>
      </c>
      <c r="H356" s="14">
        <v>2</v>
      </c>
      <c r="I356" s="15" t="s">
        <v>13</v>
      </c>
      <c r="J356" s="12" t="s">
        <v>236</v>
      </c>
      <c r="K356">
        <v>486</v>
      </c>
      <c r="L356">
        <f t="shared" si="215"/>
        <v>1</v>
      </c>
      <c r="M356" s="23">
        <f t="shared" si="200"/>
        <v>486</v>
      </c>
    </row>
    <row r="357" spans="1:13" ht="21" customHeight="1" outlineLevel="2" x14ac:dyDescent="0.25">
      <c r="A357" s="11" t="str">
        <f t="shared" ref="A357" si="227">A356</f>
        <v>ВЩО-11 (ВРУ-8504-3ВП-5-25-0-30)  (11 секция)</v>
      </c>
      <c r="B357" s="12" t="s">
        <v>83</v>
      </c>
      <c r="C357" s="18" t="s">
        <v>239</v>
      </c>
      <c r="D357" s="11" t="s">
        <v>240</v>
      </c>
      <c r="E357" s="12">
        <v>400</v>
      </c>
      <c r="F357" s="13">
        <f t="shared" si="219"/>
        <v>240</v>
      </c>
      <c r="G357" s="13">
        <f t="shared" ref="G357" si="228">F357*H357</f>
        <v>1440</v>
      </c>
      <c r="H357" s="14">
        <v>6</v>
      </c>
      <c r="I357" s="15" t="s">
        <v>13</v>
      </c>
      <c r="J357" s="12" t="s">
        <v>236</v>
      </c>
      <c r="K357">
        <v>1440</v>
      </c>
      <c r="L357">
        <f t="shared" si="215"/>
        <v>1</v>
      </c>
      <c r="M357" s="23">
        <f t="shared" si="200"/>
        <v>1440</v>
      </c>
    </row>
    <row r="358" spans="1:13" ht="21" customHeight="1" outlineLevel="2" x14ac:dyDescent="0.25">
      <c r="A358" s="11" t="str">
        <f>A349</f>
        <v>ВЩО-11 (ВРУ-8504-3ВП-5-25-0-30)  (11 секция)</v>
      </c>
      <c r="B358" s="12" t="s">
        <v>45</v>
      </c>
      <c r="C358" s="18" t="s">
        <v>241</v>
      </c>
      <c r="D358" s="11" t="s">
        <v>242</v>
      </c>
      <c r="E358" s="12">
        <v>290</v>
      </c>
      <c r="F358" s="13">
        <f t="shared" si="219"/>
        <v>174</v>
      </c>
      <c r="G358" s="13">
        <f t="shared" si="218"/>
        <v>174</v>
      </c>
      <c r="H358" s="14">
        <v>1</v>
      </c>
      <c r="I358" s="15" t="s">
        <v>13</v>
      </c>
      <c r="J358" s="12" t="s">
        <v>236</v>
      </c>
      <c r="K358">
        <v>174</v>
      </c>
      <c r="L358">
        <f t="shared" si="215"/>
        <v>1</v>
      </c>
      <c r="M358" s="23">
        <f t="shared" si="200"/>
        <v>174</v>
      </c>
    </row>
    <row r="359" spans="1:13" ht="21" customHeight="1" outlineLevel="2" x14ac:dyDescent="0.25">
      <c r="A359" s="11" t="str">
        <f>A352</f>
        <v>ВЩО-11 (ВРУ-8504-3ВП-5-25-0-30)  (11 секция)</v>
      </c>
      <c r="B359" s="12" t="s">
        <v>81</v>
      </c>
      <c r="C359" s="18"/>
      <c r="D359" s="11" t="s">
        <v>82</v>
      </c>
      <c r="E359" s="12">
        <v>4000</v>
      </c>
      <c r="F359" s="13">
        <f t="shared" ref="F359:F360" si="229">E359</f>
        <v>4000</v>
      </c>
      <c r="G359" s="13">
        <f t="shared" ref="G359:G360" si="230">F359*H359</f>
        <v>12000</v>
      </c>
      <c r="H359" s="14">
        <v>3</v>
      </c>
      <c r="I359" s="15" t="s">
        <v>13</v>
      </c>
      <c r="J359" s="12" t="s">
        <v>20</v>
      </c>
      <c r="K359">
        <v>12000</v>
      </c>
      <c r="L359">
        <f t="shared" si="215"/>
        <v>1</v>
      </c>
      <c r="M359" s="23">
        <f t="shared" si="200"/>
        <v>12000</v>
      </c>
    </row>
    <row r="360" spans="1:13" ht="21" customHeight="1" outlineLevel="2" x14ac:dyDescent="0.25">
      <c r="A360" s="11" t="str">
        <f>A357</f>
        <v>ВЩО-11 (ВРУ-8504-3ВП-5-25-0-30)  (11 секция)</v>
      </c>
      <c r="B360" s="12" t="s">
        <v>47</v>
      </c>
      <c r="C360" s="18" t="s">
        <v>233</v>
      </c>
      <c r="D360" s="11" t="s">
        <v>234</v>
      </c>
      <c r="E360" s="12">
        <v>664</v>
      </c>
      <c r="F360" s="13">
        <f t="shared" si="229"/>
        <v>664</v>
      </c>
      <c r="G360" s="13">
        <f t="shared" si="230"/>
        <v>3984</v>
      </c>
      <c r="H360" s="14">
        <v>6</v>
      </c>
      <c r="I360" s="15" t="s">
        <v>235</v>
      </c>
      <c r="J360" s="12" t="s">
        <v>20</v>
      </c>
      <c r="K360">
        <v>3984</v>
      </c>
      <c r="L360">
        <f t="shared" si="215"/>
        <v>1</v>
      </c>
      <c r="M360" s="23">
        <f t="shared" si="200"/>
        <v>3984</v>
      </c>
    </row>
    <row r="361" spans="1:13" ht="24" customHeight="1" outlineLevel="2" x14ac:dyDescent="0.25">
      <c r="A361" s="11" t="str">
        <f>A358</f>
        <v>ВЩО-11 (ВРУ-8504-3ВП-5-25-0-30)  (11 секция)</v>
      </c>
      <c r="B361" s="11" t="s">
        <v>10</v>
      </c>
      <c r="C361" s="11" t="s">
        <v>10</v>
      </c>
      <c r="D361" s="11" t="s">
        <v>10</v>
      </c>
      <c r="E361" s="11">
        <f ca="1">OFFSET(E361,1,2)</f>
        <v>36000</v>
      </c>
      <c r="F361" s="13">
        <f ca="1">E361</f>
        <v>36000</v>
      </c>
      <c r="G361" s="13">
        <f ca="1">F361*H361</f>
        <v>36000</v>
      </c>
      <c r="H361" s="11">
        <v>1</v>
      </c>
      <c r="I361" s="11" t="s">
        <v>13</v>
      </c>
      <c r="J361" s="11" t="s">
        <v>10</v>
      </c>
      <c r="K361">
        <v>36000</v>
      </c>
      <c r="L361">
        <f t="shared" si="215"/>
        <v>1</v>
      </c>
      <c r="M361" s="23">
        <f t="shared" ca="1" si="200"/>
        <v>36000</v>
      </c>
    </row>
    <row r="362" spans="1:13" ht="21" customHeight="1" outlineLevel="2" x14ac:dyDescent="0.25">
      <c r="A362" s="11" t="str">
        <f t="shared" si="216"/>
        <v>ВЩО-11 (ВРУ-8504-3ВП-5-25-0-30)  (11 секция)</v>
      </c>
      <c r="B362" s="11" t="s">
        <v>11</v>
      </c>
      <c r="C362" s="11" t="s">
        <v>11</v>
      </c>
      <c r="D362" s="11" t="s">
        <v>11</v>
      </c>
      <c r="E362" s="11">
        <v>6</v>
      </c>
      <c r="F362" s="13">
        <v>100</v>
      </c>
      <c r="G362" s="13">
        <f t="shared" ref="G362" si="231">F362*H362</f>
        <v>36000</v>
      </c>
      <c r="H362" s="11">
        <f>60*E362</f>
        <v>360</v>
      </c>
      <c r="I362" s="11" t="s">
        <v>13</v>
      </c>
      <c r="J362" s="11" t="s">
        <v>11</v>
      </c>
      <c r="K362">
        <v>36000</v>
      </c>
      <c r="L362">
        <f t="shared" si="215"/>
        <v>1</v>
      </c>
      <c r="M362" s="23">
        <f t="shared" si="200"/>
        <v>36000</v>
      </c>
    </row>
    <row r="363" spans="1:13" ht="21" customHeight="1" outlineLevel="1" x14ac:dyDescent="0.25">
      <c r="A363" s="11" t="s">
        <v>316</v>
      </c>
      <c r="B363" s="11"/>
      <c r="C363" s="11"/>
      <c r="D363" s="11"/>
      <c r="E363" s="11"/>
      <c r="F363" s="13"/>
      <c r="G363" s="13">
        <f ca="1">SUBTOTAL(9,G344:G362)</f>
        <v>259341.8</v>
      </c>
      <c r="H363" s="11"/>
      <c r="I363" s="11"/>
      <c r="J363" s="11"/>
      <c r="K363">
        <v>259341.8</v>
      </c>
      <c r="L363">
        <f t="shared" si="215"/>
        <v>1</v>
      </c>
      <c r="M363" s="23">
        <f t="shared" ca="1" si="200"/>
        <v>259341.8</v>
      </c>
    </row>
    <row r="364" spans="1:13" ht="39.75" customHeight="1" outlineLevel="2" x14ac:dyDescent="0.25">
      <c r="A364" s="4" t="str">
        <f>D364</f>
        <v>РЩО-11 (ВРУ-8504-3ВП-5-25-0-30)  (11 секция)</v>
      </c>
      <c r="B364" s="5"/>
      <c r="C364" s="17"/>
      <c r="D364" s="5" t="s">
        <v>173</v>
      </c>
      <c r="E364" s="7"/>
      <c r="F364" s="7"/>
      <c r="G364" s="8"/>
      <c r="H364" s="9">
        <v>1</v>
      </c>
      <c r="I364" s="10" t="s">
        <v>7</v>
      </c>
      <c r="J364" s="5" t="s">
        <v>9</v>
      </c>
      <c r="L364">
        <f>H364</f>
        <v>1</v>
      </c>
      <c r="M364" s="23">
        <f t="shared" si="200"/>
        <v>0</v>
      </c>
    </row>
    <row r="365" spans="1:13" ht="21" customHeight="1" outlineLevel="2" x14ac:dyDescent="0.25">
      <c r="A365" s="11" t="str">
        <f>A364</f>
        <v>РЩО-11 (ВРУ-8504-3ВП-5-25-0-30)  (11 секция)</v>
      </c>
      <c r="B365" s="12" t="s">
        <v>8</v>
      </c>
      <c r="C365" s="18" t="s">
        <v>250</v>
      </c>
      <c r="D365" s="11" t="s">
        <v>251</v>
      </c>
      <c r="E365" s="12">
        <v>160000</v>
      </c>
      <c r="F365" s="13">
        <f>0.6*E365</f>
        <v>96000</v>
      </c>
      <c r="G365" s="13">
        <f>H365*F365</f>
        <v>96000</v>
      </c>
      <c r="H365" s="14">
        <v>1</v>
      </c>
      <c r="I365" s="15" t="s">
        <v>13</v>
      </c>
      <c r="J365" s="12" t="s">
        <v>16</v>
      </c>
      <c r="K365">
        <v>96000</v>
      </c>
      <c r="L365">
        <f t="shared" ref="L365:L377" si="232">L364</f>
        <v>1</v>
      </c>
      <c r="M365" s="23">
        <f t="shared" si="200"/>
        <v>96000</v>
      </c>
    </row>
    <row r="366" spans="1:13" ht="21" customHeight="1" outlineLevel="2" x14ac:dyDescent="0.25">
      <c r="A366" s="11" t="str">
        <f t="shared" ref="A366:A376" si="233">A365</f>
        <v>РЩО-11 (ВРУ-8504-3ВП-5-25-0-30)  (11 секция)</v>
      </c>
      <c r="B366" s="12" t="s">
        <v>64</v>
      </c>
      <c r="C366" s="18">
        <v>398044</v>
      </c>
      <c r="D366" s="11" t="s">
        <v>61</v>
      </c>
      <c r="E366" s="12">
        <v>3112</v>
      </c>
      <c r="F366" s="13">
        <f t="shared" ref="F366:F373" si="234">E366*0.6</f>
        <v>1867.1999999999998</v>
      </c>
      <c r="G366" s="13">
        <f>F366*H366</f>
        <v>1867.1999999999998</v>
      </c>
      <c r="H366" s="14">
        <v>1</v>
      </c>
      <c r="I366" s="15" t="s">
        <v>13</v>
      </c>
      <c r="J366" s="12" t="s">
        <v>36</v>
      </c>
      <c r="K366">
        <v>1867.1999999999998</v>
      </c>
      <c r="L366">
        <f t="shared" si="232"/>
        <v>1</v>
      </c>
      <c r="M366" s="23">
        <f t="shared" si="200"/>
        <v>1867.1999999999998</v>
      </c>
    </row>
    <row r="367" spans="1:13" ht="21" customHeight="1" outlineLevel="2" x14ac:dyDescent="0.25">
      <c r="A367" s="11" t="str">
        <f t="shared" si="233"/>
        <v>РЩО-11 (ВРУ-8504-3ВП-5-25-0-30)  (11 секция)</v>
      </c>
      <c r="B367" s="12" t="s">
        <v>64</v>
      </c>
      <c r="C367" s="18">
        <v>193182</v>
      </c>
      <c r="D367" s="11" t="s">
        <v>84</v>
      </c>
      <c r="E367" s="12">
        <v>2493</v>
      </c>
      <c r="F367" s="13">
        <f t="shared" si="234"/>
        <v>1495.8</v>
      </c>
      <c r="G367" s="13">
        <f t="shared" ref="G367:G374" si="235">F367*H367</f>
        <v>1495.8</v>
      </c>
      <c r="H367" s="14">
        <v>1</v>
      </c>
      <c r="I367" s="15" t="s">
        <v>13</v>
      </c>
      <c r="J367" s="12" t="s">
        <v>36</v>
      </c>
      <c r="K367">
        <v>1495.8</v>
      </c>
      <c r="L367">
        <f t="shared" si="232"/>
        <v>1</v>
      </c>
      <c r="M367" s="23">
        <f t="shared" si="200"/>
        <v>1495.8</v>
      </c>
    </row>
    <row r="368" spans="1:13" ht="21" customHeight="1" outlineLevel="2" x14ac:dyDescent="0.25">
      <c r="A368" s="11" t="str">
        <f t="shared" si="233"/>
        <v>РЩО-11 (ВРУ-8504-3ВП-5-25-0-30)  (11 секция)</v>
      </c>
      <c r="B368" s="12" t="s">
        <v>64</v>
      </c>
      <c r="C368" s="18">
        <v>398043</v>
      </c>
      <c r="D368" s="11" t="s">
        <v>63</v>
      </c>
      <c r="E368" s="12">
        <v>2493</v>
      </c>
      <c r="F368" s="13">
        <f t="shared" si="234"/>
        <v>1495.8</v>
      </c>
      <c r="G368" s="13">
        <f t="shared" si="235"/>
        <v>1495.8</v>
      </c>
      <c r="H368" s="14">
        <v>1</v>
      </c>
      <c r="I368" s="15" t="s">
        <v>13</v>
      </c>
      <c r="J368" s="12" t="s">
        <v>36</v>
      </c>
      <c r="K368">
        <v>1495.8</v>
      </c>
      <c r="L368">
        <f t="shared" si="232"/>
        <v>1</v>
      </c>
      <c r="M368" s="23">
        <f t="shared" si="200"/>
        <v>1495.8</v>
      </c>
    </row>
    <row r="369" spans="1:13" ht="21" customHeight="1" outlineLevel="2" x14ac:dyDescent="0.25">
      <c r="A369" s="11" t="str">
        <f t="shared" si="233"/>
        <v>РЩО-11 (ВРУ-8504-3ВП-5-25-0-30)  (11 секция)</v>
      </c>
      <c r="B369" s="12" t="s">
        <v>64</v>
      </c>
      <c r="C369" s="18"/>
      <c r="D369" s="11" t="s">
        <v>213</v>
      </c>
      <c r="E369" s="12">
        <v>2493</v>
      </c>
      <c r="F369" s="13">
        <f t="shared" si="234"/>
        <v>1495.8</v>
      </c>
      <c r="G369" s="13">
        <f t="shared" ref="G369" si="236">F369*H369</f>
        <v>2991.6</v>
      </c>
      <c r="H369" s="14">
        <v>2</v>
      </c>
      <c r="I369" s="15" t="s">
        <v>13</v>
      </c>
      <c r="J369" s="12" t="s">
        <v>36</v>
      </c>
      <c r="K369">
        <v>2991.6</v>
      </c>
      <c r="L369">
        <f t="shared" si="232"/>
        <v>1</v>
      </c>
      <c r="M369" s="23">
        <f t="shared" si="200"/>
        <v>2991.6</v>
      </c>
    </row>
    <row r="370" spans="1:13" ht="21" customHeight="1" outlineLevel="2" x14ac:dyDescent="0.25">
      <c r="A370" s="11" t="str">
        <f t="shared" si="233"/>
        <v>РЩО-11 (ВРУ-8504-3ВП-5-25-0-30)  (11 секция)</v>
      </c>
      <c r="B370" s="12" t="s">
        <v>12</v>
      </c>
      <c r="C370" s="18">
        <v>813876</v>
      </c>
      <c r="D370" s="11" t="s">
        <v>85</v>
      </c>
      <c r="E370" s="12">
        <v>9555</v>
      </c>
      <c r="F370" s="13">
        <f t="shared" si="234"/>
        <v>5733</v>
      </c>
      <c r="G370" s="13">
        <f t="shared" si="235"/>
        <v>5733</v>
      </c>
      <c r="H370" s="14">
        <v>1</v>
      </c>
      <c r="I370" s="15" t="s">
        <v>13</v>
      </c>
      <c r="J370" s="12" t="s">
        <v>36</v>
      </c>
      <c r="K370">
        <v>5733</v>
      </c>
      <c r="L370">
        <f t="shared" si="232"/>
        <v>1</v>
      </c>
      <c r="M370" s="23">
        <f t="shared" si="200"/>
        <v>5733</v>
      </c>
    </row>
    <row r="371" spans="1:13" ht="21" customHeight="1" outlineLevel="2" x14ac:dyDescent="0.25">
      <c r="A371" s="11" t="str">
        <f t="shared" si="233"/>
        <v>РЩО-11 (ВРУ-8504-3ВП-5-25-0-30)  (11 секция)</v>
      </c>
      <c r="B371" s="12" t="s">
        <v>12</v>
      </c>
      <c r="C371" s="18">
        <v>813874</v>
      </c>
      <c r="D371" s="11" t="s">
        <v>86</v>
      </c>
      <c r="E371" s="12">
        <v>10010</v>
      </c>
      <c r="F371" s="13">
        <f t="shared" si="234"/>
        <v>6006</v>
      </c>
      <c r="G371" s="13">
        <f t="shared" si="235"/>
        <v>6006</v>
      </c>
      <c r="H371" s="14">
        <v>1</v>
      </c>
      <c r="I371" s="15" t="s">
        <v>13</v>
      </c>
      <c r="J371" s="12" t="s">
        <v>36</v>
      </c>
      <c r="K371">
        <v>6006</v>
      </c>
      <c r="L371">
        <f t="shared" si="232"/>
        <v>1</v>
      </c>
      <c r="M371" s="23">
        <f t="shared" si="200"/>
        <v>6006</v>
      </c>
    </row>
    <row r="372" spans="1:13" ht="21" customHeight="1" outlineLevel="2" x14ac:dyDescent="0.25">
      <c r="A372" s="11" t="str">
        <f t="shared" si="233"/>
        <v>РЩО-11 (ВРУ-8504-3ВП-5-25-0-30)  (11 секция)</v>
      </c>
      <c r="B372" s="12" t="s">
        <v>12</v>
      </c>
      <c r="C372" s="18">
        <v>813873</v>
      </c>
      <c r="D372" s="11" t="s">
        <v>87</v>
      </c>
      <c r="E372" s="12">
        <v>9009</v>
      </c>
      <c r="F372" s="13">
        <f t="shared" si="234"/>
        <v>5405.4</v>
      </c>
      <c r="G372" s="13">
        <f t="shared" si="235"/>
        <v>5405.4</v>
      </c>
      <c r="H372" s="14">
        <v>1</v>
      </c>
      <c r="I372" s="15" t="s">
        <v>13</v>
      </c>
      <c r="J372" s="12" t="s">
        <v>36</v>
      </c>
      <c r="K372">
        <v>5405.4</v>
      </c>
      <c r="L372">
        <f t="shared" si="232"/>
        <v>1</v>
      </c>
      <c r="M372" s="23">
        <f t="shared" si="200"/>
        <v>5405.4</v>
      </c>
    </row>
    <row r="373" spans="1:13" ht="21" customHeight="1" outlineLevel="2" x14ac:dyDescent="0.25">
      <c r="A373" s="11" t="str">
        <f t="shared" si="233"/>
        <v>РЩО-11 (ВРУ-8504-3ВП-5-25-0-30)  (11 секция)</v>
      </c>
      <c r="B373" s="12" t="s">
        <v>12</v>
      </c>
      <c r="C373" s="18">
        <v>813872</v>
      </c>
      <c r="D373" s="11" t="s">
        <v>62</v>
      </c>
      <c r="E373" s="12">
        <v>10101</v>
      </c>
      <c r="F373" s="13">
        <f t="shared" si="234"/>
        <v>6060.5999999999995</v>
      </c>
      <c r="G373" s="13">
        <f t="shared" si="235"/>
        <v>12121.199999999999</v>
      </c>
      <c r="H373" s="14">
        <v>2</v>
      </c>
      <c r="I373" s="15" t="s">
        <v>13</v>
      </c>
      <c r="J373" s="12" t="s">
        <v>36</v>
      </c>
      <c r="K373">
        <v>12121.199999999999</v>
      </c>
      <c r="L373">
        <f t="shared" si="232"/>
        <v>1</v>
      </c>
      <c r="M373" s="23">
        <f t="shared" si="200"/>
        <v>12121.199999999999</v>
      </c>
    </row>
    <row r="374" spans="1:13" ht="21" customHeight="1" outlineLevel="2" x14ac:dyDescent="0.25">
      <c r="A374" s="11" t="str">
        <f t="shared" si="233"/>
        <v>РЩО-11 (ВРУ-8504-3ВП-5-25-0-30)  (11 секция)</v>
      </c>
      <c r="B374" s="12" t="s">
        <v>47</v>
      </c>
      <c r="C374" s="18" t="s">
        <v>233</v>
      </c>
      <c r="D374" s="11" t="s">
        <v>234</v>
      </c>
      <c r="E374" s="12">
        <v>664</v>
      </c>
      <c r="F374" s="13">
        <f>E374</f>
        <v>664</v>
      </c>
      <c r="G374" s="13">
        <f t="shared" si="235"/>
        <v>2656</v>
      </c>
      <c r="H374" s="14">
        <v>4</v>
      </c>
      <c r="I374" s="15" t="s">
        <v>235</v>
      </c>
      <c r="J374" s="12" t="s">
        <v>20</v>
      </c>
      <c r="K374">
        <v>2656</v>
      </c>
      <c r="L374">
        <f t="shared" si="232"/>
        <v>1</v>
      </c>
      <c r="M374" s="23">
        <f t="shared" si="200"/>
        <v>2656</v>
      </c>
    </row>
    <row r="375" spans="1:13" ht="24" customHeight="1" outlineLevel="2" x14ac:dyDescent="0.25">
      <c r="A375" s="11" t="str">
        <f t="shared" si="233"/>
        <v>РЩО-11 (ВРУ-8504-3ВП-5-25-0-30)  (11 секция)</v>
      </c>
      <c r="B375" s="11" t="s">
        <v>10</v>
      </c>
      <c r="C375" s="11" t="s">
        <v>10</v>
      </c>
      <c r="D375" s="11" t="s">
        <v>10</v>
      </c>
      <c r="E375" s="11">
        <f ca="1">OFFSET(E375,1,2)</f>
        <v>36000</v>
      </c>
      <c r="F375" s="13">
        <f ca="1">E375</f>
        <v>36000</v>
      </c>
      <c r="G375" s="13">
        <f ca="1">F375*H375</f>
        <v>36000</v>
      </c>
      <c r="H375" s="11">
        <v>1</v>
      </c>
      <c r="I375" s="11" t="s">
        <v>13</v>
      </c>
      <c r="J375" s="11" t="s">
        <v>10</v>
      </c>
      <c r="K375">
        <v>36000</v>
      </c>
      <c r="L375">
        <f t="shared" si="232"/>
        <v>1</v>
      </c>
      <c r="M375" s="23">
        <f t="shared" ca="1" si="200"/>
        <v>36000</v>
      </c>
    </row>
    <row r="376" spans="1:13" ht="21" customHeight="1" outlineLevel="2" x14ac:dyDescent="0.25">
      <c r="A376" s="11" t="str">
        <f t="shared" si="233"/>
        <v>РЩО-11 (ВРУ-8504-3ВП-5-25-0-30)  (11 секция)</v>
      </c>
      <c r="B376" s="11" t="s">
        <v>11</v>
      </c>
      <c r="C376" s="11" t="s">
        <v>11</v>
      </c>
      <c r="D376" s="11" t="s">
        <v>11</v>
      </c>
      <c r="E376" s="11">
        <v>6</v>
      </c>
      <c r="F376" s="13">
        <v>100</v>
      </c>
      <c r="G376" s="13">
        <f t="shared" ref="G376" si="237">F376*H376</f>
        <v>36000</v>
      </c>
      <c r="H376" s="11">
        <f>60*E376</f>
        <v>360</v>
      </c>
      <c r="I376" s="11" t="s">
        <v>13</v>
      </c>
      <c r="J376" s="11" t="s">
        <v>11</v>
      </c>
      <c r="K376">
        <v>36000</v>
      </c>
      <c r="L376">
        <f t="shared" si="232"/>
        <v>1</v>
      </c>
      <c r="M376" s="23">
        <f t="shared" si="200"/>
        <v>36000</v>
      </c>
    </row>
    <row r="377" spans="1:13" ht="21" customHeight="1" outlineLevel="1" x14ac:dyDescent="0.25">
      <c r="A377" s="11" t="s">
        <v>317</v>
      </c>
      <c r="B377" s="11"/>
      <c r="C377" s="11"/>
      <c r="D377" s="11"/>
      <c r="E377" s="11"/>
      <c r="F377" s="13"/>
      <c r="G377" s="13">
        <f ca="1">SUBTOTAL(9,G364:G376)</f>
        <v>207772</v>
      </c>
      <c r="H377" s="11"/>
      <c r="I377" s="11"/>
      <c r="J377" s="11"/>
      <c r="K377">
        <v>207772</v>
      </c>
      <c r="L377">
        <f t="shared" si="232"/>
        <v>1</v>
      </c>
      <c r="M377" s="23">
        <f t="shared" ca="1" si="200"/>
        <v>207772</v>
      </c>
    </row>
    <row r="378" spans="1:13" ht="39.75" customHeight="1" outlineLevel="2" x14ac:dyDescent="0.25">
      <c r="A378" s="4" t="str">
        <f>D378</f>
        <v>Щит освещения (ПР-1)  (11 секция)</v>
      </c>
      <c r="B378" s="5"/>
      <c r="C378" s="17"/>
      <c r="D378" s="5" t="s">
        <v>174</v>
      </c>
      <c r="E378" s="7"/>
      <c r="F378" s="7"/>
      <c r="G378" s="8"/>
      <c r="H378" s="9">
        <v>1</v>
      </c>
      <c r="I378" s="10" t="s">
        <v>7</v>
      </c>
      <c r="J378" s="5" t="s">
        <v>9</v>
      </c>
      <c r="L378">
        <f>H378</f>
        <v>1</v>
      </c>
      <c r="M378" s="23">
        <f t="shared" si="200"/>
        <v>0</v>
      </c>
    </row>
    <row r="379" spans="1:13" ht="21" customHeight="1" outlineLevel="2" x14ac:dyDescent="0.25">
      <c r="A379" s="11" t="str">
        <f>A378</f>
        <v>Щит освещения (ПР-1)  (11 секция)</v>
      </c>
      <c r="B379" s="12" t="s">
        <v>8</v>
      </c>
      <c r="C379" s="18" t="s">
        <v>253</v>
      </c>
      <c r="D379" s="11" t="s">
        <v>88</v>
      </c>
      <c r="E379" s="12">
        <v>30500</v>
      </c>
      <c r="F379" s="13">
        <f>0.6*E379</f>
        <v>18300</v>
      </c>
      <c r="G379" s="13">
        <f>H379*F379</f>
        <v>18300</v>
      </c>
      <c r="H379" s="14">
        <v>1</v>
      </c>
      <c r="I379" s="15" t="s">
        <v>13</v>
      </c>
      <c r="J379" s="12" t="s">
        <v>16</v>
      </c>
      <c r="K379">
        <v>18300</v>
      </c>
      <c r="L379">
        <f t="shared" ref="L379:L383" si="238">L378</f>
        <v>1</v>
      </c>
      <c r="M379" s="23">
        <f t="shared" si="200"/>
        <v>18300</v>
      </c>
    </row>
    <row r="380" spans="1:13" ht="21" customHeight="1" outlineLevel="2" x14ac:dyDescent="0.25">
      <c r="A380" s="11" t="str">
        <f t="shared" ref="A380:A382" si="239">A379</f>
        <v>Щит освещения (ПР-1)  (11 секция)</v>
      </c>
      <c r="B380" s="12" t="s">
        <v>64</v>
      </c>
      <c r="C380" s="18">
        <v>398044</v>
      </c>
      <c r="D380" s="11" t="s">
        <v>61</v>
      </c>
      <c r="E380" s="12">
        <v>3112</v>
      </c>
      <c r="F380" s="13">
        <f>E380*0.6</f>
        <v>1867.1999999999998</v>
      </c>
      <c r="G380" s="13">
        <f>F380*H380</f>
        <v>1867.1999999999998</v>
      </c>
      <c r="H380" s="14">
        <v>1</v>
      </c>
      <c r="I380" s="15" t="s">
        <v>13</v>
      </c>
      <c r="J380" s="12" t="s">
        <v>36</v>
      </c>
      <c r="K380">
        <v>1867.1999999999998</v>
      </c>
      <c r="L380">
        <f t="shared" si="238"/>
        <v>1</v>
      </c>
      <c r="M380" s="23">
        <f t="shared" si="200"/>
        <v>1867.1999999999998</v>
      </c>
    </row>
    <row r="381" spans="1:13" ht="24" customHeight="1" outlineLevel="2" x14ac:dyDescent="0.25">
      <c r="A381" s="11" t="str">
        <f t="shared" si="239"/>
        <v>Щит освещения (ПР-1)  (11 секция)</v>
      </c>
      <c r="B381" s="11" t="s">
        <v>10</v>
      </c>
      <c r="C381" s="11" t="s">
        <v>10</v>
      </c>
      <c r="D381" s="11" t="s">
        <v>10</v>
      </c>
      <c r="E381" s="11">
        <f ca="1">OFFSET(E381,1,2)</f>
        <v>3000</v>
      </c>
      <c r="F381" s="13">
        <f ca="1">E381</f>
        <v>3000</v>
      </c>
      <c r="G381" s="13">
        <f ca="1">F381*H381</f>
        <v>3000</v>
      </c>
      <c r="H381" s="11">
        <v>1</v>
      </c>
      <c r="I381" s="11" t="s">
        <v>13</v>
      </c>
      <c r="J381" s="11" t="s">
        <v>10</v>
      </c>
      <c r="K381">
        <v>3000</v>
      </c>
      <c r="L381">
        <f t="shared" si="238"/>
        <v>1</v>
      </c>
      <c r="M381" s="23">
        <f t="shared" ca="1" si="200"/>
        <v>3000</v>
      </c>
    </row>
    <row r="382" spans="1:13" ht="21" customHeight="1" outlineLevel="2" x14ac:dyDescent="0.25">
      <c r="A382" s="11" t="str">
        <f t="shared" si="239"/>
        <v>Щит освещения (ПР-1)  (11 секция)</v>
      </c>
      <c r="B382" s="11" t="s">
        <v>11</v>
      </c>
      <c r="C382" s="11" t="s">
        <v>11</v>
      </c>
      <c r="D382" s="11" t="s">
        <v>11</v>
      </c>
      <c r="E382" s="11">
        <v>0.5</v>
      </c>
      <c r="F382" s="13">
        <v>100</v>
      </c>
      <c r="G382" s="13">
        <f t="shared" ref="G382" si="240">F382*H382</f>
        <v>3000</v>
      </c>
      <c r="H382" s="11">
        <f>60*E382</f>
        <v>30</v>
      </c>
      <c r="I382" s="11" t="s">
        <v>13</v>
      </c>
      <c r="J382" s="11" t="s">
        <v>11</v>
      </c>
      <c r="K382">
        <v>3000</v>
      </c>
      <c r="L382">
        <f t="shared" si="238"/>
        <v>1</v>
      </c>
      <c r="M382" s="23">
        <f t="shared" si="200"/>
        <v>3000</v>
      </c>
    </row>
    <row r="383" spans="1:13" ht="21" customHeight="1" outlineLevel="1" x14ac:dyDescent="0.25">
      <c r="A383" s="11" t="s">
        <v>318</v>
      </c>
      <c r="B383" s="11"/>
      <c r="C383" s="11"/>
      <c r="D383" s="11"/>
      <c r="E383" s="11"/>
      <c r="F383" s="13"/>
      <c r="G383" s="13">
        <f ca="1">SUBTOTAL(9,G378:G382)</f>
        <v>26167.200000000001</v>
      </c>
      <c r="H383" s="11"/>
      <c r="I383" s="11"/>
      <c r="J383" s="11"/>
      <c r="K383">
        <v>26167.200000000001</v>
      </c>
      <c r="L383">
        <f t="shared" si="238"/>
        <v>1</v>
      </c>
      <c r="M383" s="23">
        <f t="shared" ca="1" si="200"/>
        <v>26167.200000000001</v>
      </c>
    </row>
    <row r="384" spans="1:13" ht="39.75" customHeight="1" outlineLevel="2" x14ac:dyDescent="0.25">
      <c r="A384" s="4" t="str">
        <f>D384</f>
        <v>Щит освещения (ПР-3)  (11 секция)</v>
      </c>
      <c r="B384" s="5"/>
      <c r="C384" s="17"/>
      <c r="D384" s="5" t="s">
        <v>215</v>
      </c>
      <c r="E384" s="7"/>
      <c r="F384" s="7"/>
      <c r="G384" s="8"/>
      <c r="H384" s="9">
        <v>1</v>
      </c>
      <c r="I384" s="10" t="s">
        <v>7</v>
      </c>
      <c r="J384" s="5" t="s">
        <v>9</v>
      </c>
      <c r="L384">
        <f>H384</f>
        <v>1</v>
      </c>
      <c r="M384" s="23">
        <f t="shared" si="200"/>
        <v>0</v>
      </c>
    </row>
    <row r="385" spans="1:13" ht="21" customHeight="1" outlineLevel="2" x14ac:dyDescent="0.25">
      <c r="A385" s="11" t="str">
        <f>A384</f>
        <v>Щит освещения (ПР-3)  (11 секция)</v>
      </c>
      <c r="B385" s="12" t="s">
        <v>8</v>
      </c>
      <c r="C385" s="18" t="s">
        <v>253</v>
      </c>
      <c r="D385" s="11" t="s">
        <v>88</v>
      </c>
      <c r="E385" s="12">
        <v>30500</v>
      </c>
      <c r="F385" s="13">
        <f>0.6*E385</f>
        <v>18300</v>
      </c>
      <c r="G385" s="13">
        <f>H385*F385</f>
        <v>18300</v>
      </c>
      <c r="H385" s="14">
        <v>1</v>
      </c>
      <c r="I385" s="15" t="s">
        <v>13</v>
      </c>
      <c r="J385" s="12" t="s">
        <v>16</v>
      </c>
      <c r="K385">
        <v>18300</v>
      </c>
      <c r="L385">
        <f t="shared" ref="L385:L389" si="241">L384</f>
        <v>1</v>
      </c>
      <c r="M385" s="23">
        <f t="shared" si="200"/>
        <v>18300</v>
      </c>
    </row>
    <row r="386" spans="1:13" ht="21" customHeight="1" outlineLevel="2" x14ac:dyDescent="0.25">
      <c r="A386" s="11" t="str">
        <f t="shared" ref="A386:A388" si="242">A385</f>
        <v>Щит освещения (ПР-3)  (11 секция)</v>
      </c>
      <c r="B386" s="12" t="s">
        <v>64</v>
      </c>
      <c r="C386" s="18">
        <v>398043</v>
      </c>
      <c r="D386" s="11" t="s">
        <v>63</v>
      </c>
      <c r="E386" s="12">
        <v>2493</v>
      </c>
      <c r="F386" s="13">
        <f>E386*0.6</f>
        <v>1495.8</v>
      </c>
      <c r="G386" s="13">
        <f t="shared" ref="G386" si="243">F386*H386</f>
        <v>1495.8</v>
      </c>
      <c r="H386" s="14">
        <v>1</v>
      </c>
      <c r="I386" s="15" t="s">
        <v>13</v>
      </c>
      <c r="J386" s="12" t="s">
        <v>36</v>
      </c>
      <c r="K386">
        <v>1495.8</v>
      </c>
      <c r="L386">
        <f t="shared" si="241"/>
        <v>1</v>
      </c>
      <c r="M386" s="23">
        <f t="shared" si="200"/>
        <v>1495.8</v>
      </c>
    </row>
    <row r="387" spans="1:13" ht="24" customHeight="1" outlineLevel="2" x14ac:dyDescent="0.25">
      <c r="A387" s="11" t="str">
        <f t="shared" si="242"/>
        <v>Щит освещения (ПР-3)  (11 секция)</v>
      </c>
      <c r="B387" s="11" t="s">
        <v>10</v>
      </c>
      <c r="C387" s="11" t="s">
        <v>10</v>
      </c>
      <c r="D387" s="11" t="s">
        <v>10</v>
      </c>
      <c r="E387" s="11">
        <f ca="1">OFFSET(E387,1,2)</f>
        <v>3000</v>
      </c>
      <c r="F387" s="13">
        <f ca="1">E387</f>
        <v>3000</v>
      </c>
      <c r="G387" s="13">
        <f ca="1">F387*H387</f>
        <v>3000</v>
      </c>
      <c r="H387" s="11">
        <v>1</v>
      </c>
      <c r="I387" s="11" t="s">
        <v>13</v>
      </c>
      <c r="J387" s="11" t="s">
        <v>10</v>
      </c>
      <c r="K387">
        <v>3000</v>
      </c>
      <c r="L387">
        <f t="shared" si="241"/>
        <v>1</v>
      </c>
      <c r="M387" s="23">
        <f t="shared" ref="M387:M450" ca="1" si="244">L387*G387</f>
        <v>3000</v>
      </c>
    </row>
    <row r="388" spans="1:13" ht="21" customHeight="1" outlineLevel="2" x14ac:dyDescent="0.25">
      <c r="A388" s="11" t="str">
        <f t="shared" si="242"/>
        <v>Щит освещения (ПР-3)  (11 секция)</v>
      </c>
      <c r="B388" s="11" t="s">
        <v>11</v>
      </c>
      <c r="C388" s="11" t="s">
        <v>11</v>
      </c>
      <c r="D388" s="11" t="s">
        <v>11</v>
      </c>
      <c r="E388" s="11">
        <v>0.5</v>
      </c>
      <c r="F388" s="13">
        <v>100</v>
      </c>
      <c r="G388" s="13">
        <f t="shared" ref="G388" si="245">F388*H388</f>
        <v>3000</v>
      </c>
      <c r="H388" s="11">
        <f>60*E388</f>
        <v>30</v>
      </c>
      <c r="I388" s="11" t="s">
        <v>13</v>
      </c>
      <c r="J388" s="11" t="s">
        <v>11</v>
      </c>
      <c r="K388">
        <v>3000</v>
      </c>
      <c r="L388">
        <f t="shared" si="241"/>
        <v>1</v>
      </c>
      <c r="M388" s="23">
        <f t="shared" si="244"/>
        <v>3000</v>
      </c>
    </row>
    <row r="389" spans="1:13" ht="21" customHeight="1" outlineLevel="1" x14ac:dyDescent="0.25">
      <c r="A389" s="11" t="s">
        <v>319</v>
      </c>
      <c r="B389" s="11"/>
      <c r="C389" s="11"/>
      <c r="D389" s="11"/>
      <c r="E389" s="11"/>
      <c r="F389" s="13"/>
      <c r="G389" s="13">
        <f ca="1">SUBTOTAL(9,G384:G388)</f>
        <v>25795.8</v>
      </c>
      <c r="H389" s="11"/>
      <c r="I389" s="11"/>
      <c r="J389" s="11"/>
      <c r="K389">
        <v>25795.8</v>
      </c>
      <c r="L389">
        <f t="shared" si="241"/>
        <v>1</v>
      </c>
      <c r="M389" s="23">
        <f t="shared" ca="1" si="244"/>
        <v>25795.8</v>
      </c>
    </row>
    <row r="390" spans="1:13" ht="39.75" customHeight="1" outlineLevel="2" x14ac:dyDescent="0.25">
      <c r="A390" s="4" t="str">
        <f>D390</f>
        <v>Щит освещения (ПР-2, ПР-4) (11 секция)</v>
      </c>
      <c r="B390" s="5"/>
      <c r="C390" s="17"/>
      <c r="D390" s="5" t="s">
        <v>214</v>
      </c>
      <c r="E390" s="7"/>
      <c r="F390" s="7"/>
      <c r="G390" s="8"/>
      <c r="H390" s="9">
        <v>2</v>
      </c>
      <c r="I390" s="10" t="s">
        <v>7</v>
      </c>
      <c r="J390" s="5" t="s">
        <v>9</v>
      </c>
      <c r="L390">
        <f>H390</f>
        <v>2</v>
      </c>
      <c r="M390" s="23">
        <f t="shared" si="244"/>
        <v>0</v>
      </c>
    </row>
    <row r="391" spans="1:13" ht="21" customHeight="1" outlineLevel="2" x14ac:dyDescent="0.25">
      <c r="A391" s="11" t="str">
        <f>A390</f>
        <v>Щит освещения (ПР-2, ПР-4) (11 секция)</v>
      </c>
      <c r="B391" s="12" t="s">
        <v>8</v>
      </c>
      <c r="C391" s="18" t="s">
        <v>253</v>
      </c>
      <c r="D391" s="11" t="s">
        <v>88</v>
      </c>
      <c r="E391" s="12">
        <v>30500</v>
      </c>
      <c r="F391" s="13">
        <f>0.6*E391</f>
        <v>18300</v>
      </c>
      <c r="G391" s="13">
        <f>H391*F391</f>
        <v>18300</v>
      </c>
      <c r="H391" s="14">
        <v>1</v>
      </c>
      <c r="I391" s="15" t="s">
        <v>13</v>
      </c>
      <c r="J391" s="12" t="s">
        <v>16</v>
      </c>
      <c r="K391">
        <v>18300</v>
      </c>
      <c r="L391">
        <f t="shared" ref="L391:L395" si="246">L390</f>
        <v>2</v>
      </c>
      <c r="M391" s="23">
        <f t="shared" si="244"/>
        <v>36600</v>
      </c>
    </row>
    <row r="392" spans="1:13" ht="21" customHeight="1" outlineLevel="2" x14ac:dyDescent="0.25">
      <c r="A392" s="11" t="str">
        <f t="shared" ref="A392:A394" si="247">A391</f>
        <v>Щит освещения (ПР-2, ПР-4) (11 секция)</v>
      </c>
      <c r="B392" s="12" t="s">
        <v>64</v>
      </c>
      <c r="C392" s="18">
        <v>193180</v>
      </c>
      <c r="D392" s="11" t="s">
        <v>60</v>
      </c>
      <c r="E392" s="12">
        <v>2493</v>
      </c>
      <c r="F392" s="13">
        <f>E392*0.6</f>
        <v>1495.8</v>
      </c>
      <c r="G392" s="13">
        <f t="shared" ref="G392" si="248">F392*H392</f>
        <v>1495.8</v>
      </c>
      <c r="H392" s="14">
        <v>1</v>
      </c>
      <c r="I392" s="15" t="s">
        <v>13</v>
      </c>
      <c r="J392" s="12" t="s">
        <v>36</v>
      </c>
      <c r="K392">
        <v>1495.8</v>
      </c>
      <c r="L392">
        <f t="shared" si="246"/>
        <v>2</v>
      </c>
      <c r="M392" s="23">
        <f t="shared" si="244"/>
        <v>2991.6</v>
      </c>
    </row>
    <row r="393" spans="1:13" ht="24" customHeight="1" outlineLevel="2" x14ac:dyDescent="0.25">
      <c r="A393" s="11" t="str">
        <f t="shared" si="247"/>
        <v>Щит освещения (ПР-2, ПР-4) (11 секция)</v>
      </c>
      <c r="B393" s="11" t="s">
        <v>10</v>
      </c>
      <c r="C393" s="11" t="s">
        <v>10</v>
      </c>
      <c r="D393" s="11" t="s">
        <v>10</v>
      </c>
      <c r="E393" s="11">
        <f ca="1">OFFSET(E393,1,2)</f>
        <v>3000</v>
      </c>
      <c r="F393" s="13">
        <f ca="1">E393</f>
        <v>3000</v>
      </c>
      <c r="G393" s="13">
        <f ca="1">F393*H393</f>
        <v>3000</v>
      </c>
      <c r="H393" s="11">
        <v>1</v>
      </c>
      <c r="I393" s="11" t="s">
        <v>13</v>
      </c>
      <c r="J393" s="11" t="s">
        <v>10</v>
      </c>
      <c r="K393">
        <v>3000</v>
      </c>
      <c r="L393">
        <f t="shared" si="246"/>
        <v>2</v>
      </c>
      <c r="M393" s="23">
        <f t="shared" ca="1" si="244"/>
        <v>6000</v>
      </c>
    </row>
    <row r="394" spans="1:13" ht="21" customHeight="1" outlineLevel="2" x14ac:dyDescent="0.25">
      <c r="A394" s="11" t="str">
        <f t="shared" si="247"/>
        <v>Щит освещения (ПР-2, ПР-4) (11 секция)</v>
      </c>
      <c r="B394" s="11" t="s">
        <v>11</v>
      </c>
      <c r="C394" s="11" t="s">
        <v>11</v>
      </c>
      <c r="D394" s="11" t="s">
        <v>11</v>
      </c>
      <c r="E394" s="11">
        <v>0.5</v>
      </c>
      <c r="F394" s="13">
        <v>100</v>
      </c>
      <c r="G394" s="13">
        <f t="shared" ref="G394" si="249">F394*H394</f>
        <v>3000</v>
      </c>
      <c r="H394" s="11">
        <f>60*E394</f>
        <v>30</v>
      </c>
      <c r="I394" s="11" t="s">
        <v>13</v>
      </c>
      <c r="J394" s="11" t="s">
        <v>11</v>
      </c>
      <c r="K394">
        <v>3000</v>
      </c>
      <c r="L394">
        <f t="shared" si="246"/>
        <v>2</v>
      </c>
      <c r="M394" s="23">
        <f t="shared" si="244"/>
        <v>6000</v>
      </c>
    </row>
    <row r="395" spans="1:13" ht="21" customHeight="1" outlineLevel="1" x14ac:dyDescent="0.25">
      <c r="A395" s="11" t="s">
        <v>320</v>
      </c>
      <c r="B395" s="11"/>
      <c r="C395" s="11"/>
      <c r="D395" s="11"/>
      <c r="E395" s="11"/>
      <c r="F395" s="13"/>
      <c r="G395" s="13">
        <f ca="1">SUBTOTAL(9,G390:G394)</f>
        <v>25795.8</v>
      </c>
      <c r="H395" s="11"/>
      <c r="I395" s="11"/>
      <c r="J395" s="11"/>
      <c r="K395">
        <v>25795.8</v>
      </c>
      <c r="L395">
        <f t="shared" si="246"/>
        <v>2</v>
      </c>
      <c r="M395" s="23">
        <f t="shared" ca="1" si="244"/>
        <v>51591.6</v>
      </c>
    </row>
    <row r="396" spans="1:13" ht="39.75" customHeight="1" outlineLevel="2" x14ac:dyDescent="0.25">
      <c r="A396" s="4" t="str">
        <f>D396</f>
        <v>ЯУО 9601-3474 (11 секция)</v>
      </c>
      <c r="B396" s="5"/>
      <c r="C396" s="17"/>
      <c r="D396" s="5" t="s">
        <v>89</v>
      </c>
      <c r="E396" s="7"/>
      <c r="F396" s="7"/>
      <c r="G396" s="8"/>
      <c r="H396" s="9">
        <v>1</v>
      </c>
      <c r="I396" s="10" t="s">
        <v>7</v>
      </c>
      <c r="J396" s="5" t="s">
        <v>9</v>
      </c>
      <c r="L396">
        <f>H396</f>
        <v>1</v>
      </c>
      <c r="M396" s="23">
        <f t="shared" si="244"/>
        <v>0</v>
      </c>
    </row>
    <row r="397" spans="1:13" ht="21" customHeight="1" outlineLevel="2" x14ac:dyDescent="0.25">
      <c r="A397" s="11" t="str">
        <f>A396</f>
        <v>ЯУО 9601-3474 (11 секция)</v>
      </c>
      <c r="B397" s="12" t="s">
        <v>8</v>
      </c>
      <c r="C397" s="18" t="s">
        <v>260</v>
      </c>
      <c r="D397" s="11" t="s">
        <v>261</v>
      </c>
      <c r="E397" s="12">
        <v>29000</v>
      </c>
      <c r="F397" s="13">
        <f>0.6*E397</f>
        <v>17400</v>
      </c>
      <c r="G397" s="13">
        <f>H397*F397</f>
        <v>17400</v>
      </c>
      <c r="H397" s="14">
        <v>1</v>
      </c>
      <c r="I397" s="15" t="s">
        <v>13</v>
      </c>
      <c r="J397" s="12" t="s">
        <v>16</v>
      </c>
      <c r="K397">
        <v>17400</v>
      </c>
      <c r="L397">
        <f t="shared" ref="L397:L411" si="250">L396</f>
        <v>1</v>
      </c>
      <c r="M397" s="23">
        <f t="shared" si="244"/>
        <v>17400</v>
      </c>
    </row>
    <row r="398" spans="1:13" ht="21" customHeight="1" outlineLevel="2" x14ac:dyDescent="0.25">
      <c r="A398" s="11" t="str">
        <f t="shared" ref="A398:A410" si="251">A397</f>
        <v>ЯУО 9601-3474 (11 секция)</v>
      </c>
      <c r="B398" s="12" t="s">
        <v>12</v>
      </c>
      <c r="C398" s="18"/>
      <c r="D398" s="11" t="s">
        <v>25</v>
      </c>
      <c r="E398" s="12">
        <v>11273</v>
      </c>
      <c r="F398" s="13">
        <f t="shared" ref="F398:F400" si="252">E398*0.6</f>
        <v>6763.8</v>
      </c>
      <c r="G398" s="13">
        <f>F398*H398</f>
        <v>6763.8</v>
      </c>
      <c r="H398" s="14">
        <v>1</v>
      </c>
      <c r="I398" s="15" t="s">
        <v>13</v>
      </c>
      <c r="J398" s="12" t="s">
        <v>36</v>
      </c>
      <c r="K398">
        <v>6763.8</v>
      </c>
      <c r="L398">
        <f t="shared" si="250"/>
        <v>1</v>
      </c>
      <c r="M398" s="23">
        <f t="shared" si="244"/>
        <v>6763.8</v>
      </c>
    </row>
    <row r="399" spans="1:13" ht="21" customHeight="1" outlineLevel="2" x14ac:dyDescent="0.25">
      <c r="A399" s="11" t="str">
        <f t="shared" si="251"/>
        <v>ЯУО 9601-3474 (11 секция)</v>
      </c>
      <c r="B399" s="12" t="s">
        <v>21</v>
      </c>
      <c r="C399" s="18" t="s">
        <v>27</v>
      </c>
      <c r="D399" s="11" t="s">
        <v>26</v>
      </c>
      <c r="E399" s="12">
        <v>7007</v>
      </c>
      <c r="F399" s="13">
        <f t="shared" si="252"/>
        <v>4204.2</v>
      </c>
      <c r="G399" s="13">
        <f t="shared" ref="G399:G408" si="253">F399*H399</f>
        <v>4204.2</v>
      </c>
      <c r="H399" s="14">
        <v>1</v>
      </c>
      <c r="I399" s="15" t="s">
        <v>13</v>
      </c>
      <c r="J399" s="12" t="s">
        <v>36</v>
      </c>
      <c r="K399">
        <v>4204.2</v>
      </c>
      <c r="L399">
        <f t="shared" si="250"/>
        <v>1</v>
      </c>
      <c r="M399" s="23">
        <f t="shared" si="244"/>
        <v>4204.2</v>
      </c>
    </row>
    <row r="400" spans="1:13" ht="21" customHeight="1" outlineLevel="2" x14ac:dyDescent="0.25">
      <c r="A400" s="11" t="str">
        <f t="shared" si="251"/>
        <v>ЯУО 9601-3474 (11 секция)</v>
      </c>
      <c r="B400" s="12" t="s">
        <v>22</v>
      </c>
      <c r="C400" s="18" t="s">
        <v>29</v>
      </c>
      <c r="D400" s="11" t="s">
        <v>28</v>
      </c>
      <c r="E400" s="12">
        <v>4690</v>
      </c>
      <c r="F400" s="13">
        <f t="shared" si="252"/>
        <v>2814</v>
      </c>
      <c r="G400" s="13">
        <f t="shared" si="253"/>
        <v>2814</v>
      </c>
      <c r="H400" s="14">
        <v>1</v>
      </c>
      <c r="I400" s="15" t="s">
        <v>13</v>
      </c>
      <c r="J400" s="12" t="s">
        <v>36</v>
      </c>
      <c r="K400">
        <v>2814</v>
      </c>
      <c r="L400">
        <f t="shared" si="250"/>
        <v>1</v>
      </c>
      <c r="M400" s="23">
        <f t="shared" si="244"/>
        <v>2814</v>
      </c>
    </row>
    <row r="401" spans="1:13" ht="21" customHeight="1" outlineLevel="2" x14ac:dyDescent="0.25">
      <c r="A401" s="11" t="str">
        <f t="shared" si="251"/>
        <v>ЯУО 9601-3474 (11 секция)</v>
      </c>
      <c r="B401" s="12" t="s">
        <v>37</v>
      </c>
      <c r="C401" s="18"/>
      <c r="D401" s="11" t="s">
        <v>30</v>
      </c>
      <c r="E401" s="12">
        <v>13000</v>
      </c>
      <c r="F401" s="13">
        <f>E401</f>
        <v>13000</v>
      </c>
      <c r="G401" s="13">
        <f t="shared" si="253"/>
        <v>13000</v>
      </c>
      <c r="H401" s="14">
        <v>1</v>
      </c>
      <c r="I401" s="15" t="s">
        <v>13</v>
      </c>
      <c r="J401" s="12" t="s">
        <v>20</v>
      </c>
      <c r="K401">
        <v>13000</v>
      </c>
      <c r="L401">
        <f t="shared" si="250"/>
        <v>1</v>
      </c>
      <c r="M401" s="23">
        <f t="shared" si="244"/>
        <v>13000</v>
      </c>
    </row>
    <row r="402" spans="1:13" ht="21" customHeight="1" outlineLevel="2" x14ac:dyDescent="0.25">
      <c r="A402" s="11" t="str">
        <f t="shared" si="251"/>
        <v>ЯУО 9601-3474 (11 секция)</v>
      </c>
      <c r="B402" s="12" t="s">
        <v>38</v>
      </c>
      <c r="C402" s="18" t="s">
        <v>245</v>
      </c>
      <c r="D402" s="11" t="s">
        <v>246</v>
      </c>
      <c r="E402" s="12">
        <v>7990</v>
      </c>
      <c r="F402" s="13">
        <f>E402*0.6</f>
        <v>4794</v>
      </c>
      <c r="G402" s="13">
        <f t="shared" si="253"/>
        <v>4794</v>
      </c>
      <c r="H402" s="14">
        <v>1</v>
      </c>
      <c r="I402" s="15" t="s">
        <v>13</v>
      </c>
      <c r="J402" s="12" t="s">
        <v>236</v>
      </c>
      <c r="K402">
        <v>4794</v>
      </c>
      <c r="L402">
        <f t="shared" si="250"/>
        <v>1</v>
      </c>
      <c r="M402" s="23">
        <f t="shared" si="244"/>
        <v>4794</v>
      </c>
    </row>
    <row r="403" spans="1:13" ht="21" customHeight="1" outlineLevel="2" x14ac:dyDescent="0.25">
      <c r="A403" s="11" t="str">
        <f t="shared" si="251"/>
        <v>ЯУО 9601-3474 (11 секция)</v>
      </c>
      <c r="B403" s="12" t="s">
        <v>12</v>
      </c>
      <c r="C403" s="18">
        <v>296708</v>
      </c>
      <c r="D403" s="11" t="s">
        <v>31</v>
      </c>
      <c r="E403" s="12">
        <v>828</v>
      </c>
      <c r="F403" s="13">
        <f>E403*0.6</f>
        <v>496.79999999999995</v>
      </c>
      <c r="G403" s="13">
        <f t="shared" si="253"/>
        <v>496.79999999999995</v>
      </c>
      <c r="H403" s="14">
        <v>1</v>
      </c>
      <c r="I403" s="15" t="s">
        <v>13</v>
      </c>
      <c r="J403" s="12" t="s">
        <v>36</v>
      </c>
      <c r="K403">
        <v>496.79999999999995</v>
      </c>
      <c r="L403">
        <f t="shared" si="250"/>
        <v>1</v>
      </c>
      <c r="M403" s="23">
        <f t="shared" si="244"/>
        <v>496.79999999999995</v>
      </c>
    </row>
    <row r="404" spans="1:13" ht="24" customHeight="1" outlineLevel="2" x14ac:dyDescent="0.25">
      <c r="A404" s="11" t="str">
        <f t="shared" si="251"/>
        <v>ЯУО 9601-3474 (11 секция)</v>
      </c>
      <c r="B404" s="12" t="s">
        <v>21</v>
      </c>
      <c r="C404" s="11" t="s">
        <v>248</v>
      </c>
      <c r="D404" s="11" t="s">
        <v>249</v>
      </c>
      <c r="E404" s="11">
        <v>1490</v>
      </c>
      <c r="F404" s="13">
        <f>E404*0.6</f>
        <v>894</v>
      </c>
      <c r="G404" s="13">
        <f t="shared" si="253"/>
        <v>894</v>
      </c>
      <c r="H404" s="11">
        <v>1</v>
      </c>
      <c r="I404" s="11" t="s">
        <v>13</v>
      </c>
      <c r="J404" s="12" t="s">
        <v>276</v>
      </c>
      <c r="K404">
        <v>894</v>
      </c>
      <c r="L404">
        <f t="shared" si="250"/>
        <v>1</v>
      </c>
      <c r="M404" s="23">
        <f t="shared" si="244"/>
        <v>894</v>
      </c>
    </row>
    <row r="405" spans="1:13" ht="21" customHeight="1" outlineLevel="2" x14ac:dyDescent="0.25">
      <c r="A405" s="11" t="str">
        <f t="shared" si="251"/>
        <v>ЯУО 9601-3474 (11 секция)</v>
      </c>
      <c r="B405" s="12" t="s">
        <v>17</v>
      </c>
      <c r="C405" s="11">
        <v>574822</v>
      </c>
      <c r="D405" s="11" t="s">
        <v>32</v>
      </c>
      <c r="E405" s="11">
        <v>934</v>
      </c>
      <c r="F405" s="13">
        <f t="shared" ref="F405:F408" si="254">E405*0.6</f>
        <v>560.4</v>
      </c>
      <c r="G405" s="13">
        <f t="shared" si="253"/>
        <v>1120.8</v>
      </c>
      <c r="H405" s="11">
        <v>2</v>
      </c>
      <c r="I405" s="11" t="s">
        <v>13</v>
      </c>
      <c r="J405" s="12" t="s">
        <v>36</v>
      </c>
      <c r="K405">
        <v>1120.8</v>
      </c>
      <c r="L405">
        <f t="shared" si="250"/>
        <v>1</v>
      </c>
      <c r="M405" s="23">
        <f t="shared" si="244"/>
        <v>1120.8</v>
      </c>
    </row>
    <row r="406" spans="1:13" ht="21" customHeight="1" outlineLevel="2" x14ac:dyDescent="0.25">
      <c r="A406" s="11" t="str">
        <f t="shared" si="251"/>
        <v>ЯУО 9601-3474 (11 секция)</v>
      </c>
      <c r="B406" s="12" t="s">
        <v>39</v>
      </c>
      <c r="C406" s="18">
        <v>593150</v>
      </c>
      <c r="D406" s="11" t="s">
        <v>33</v>
      </c>
      <c r="E406" s="12">
        <v>439</v>
      </c>
      <c r="F406" s="13">
        <f t="shared" si="254"/>
        <v>263.39999999999998</v>
      </c>
      <c r="G406" s="13">
        <f t="shared" si="253"/>
        <v>263.39999999999998</v>
      </c>
      <c r="H406" s="14">
        <v>1</v>
      </c>
      <c r="I406" s="15" t="s">
        <v>19</v>
      </c>
      <c r="J406" s="12" t="s">
        <v>36</v>
      </c>
      <c r="K406">
        <v>263.39999999999998</v>
      </c>
      <c r="L406">
        <f t="shared" si="250"/>
        <v>1</v>
      </c>
      <c r="M406" s="23">
        <f t="shared" si="244"/>
        <v>263.39999999999998</v>
      </c>
    </row>
    <row r="407" spans="1:13" ht="21" customHeight="1" outlineLevel="2" x14ac:dyDescent="0.25">
      <c r="A407" s="11" t="str">
        <f t="shared" si="251"/>
        <v>ЯУО 9601-3474 (11 секция)</v>
      </c>
      <c r="B407" s="12" t="s">
        <v>24</v>
      </c>
      <c r="C407" s="18">
        <v>574842</v>
      </c>
      <c r="D407" s="11" t="s">
        <v>34</v>
      </c>
      <c r="E407" s="12">
        <v>960</v>
      </c>
      <c r="F407" s="13">
        <f t="shared" si="254"/>
        <v>576</v>
      </c>
      <c r="G407" s="13">
        <f t="shared" si="253"/>
        <v>576</v>
      </c>
      <c r="H407" s="14">
        <v>1</v>
      </c>
      <c r="I407" s="15" t="s">
        <v>19</v>
      </c>
      <c r="J407" s="12" t="s">
        <v>36</v>
      </c>
      <c r="K407">
        <v>576</v>
      </c>
      <c r="L407">
        <f t="shared" si="250"/>
        <v>1</v>
      </c>
      <c r="M407" s="23">
        <f t="shared" si="244"/>
        <v>576</v>
      </c>
    </row>
    <row r="408" spans="1:13" ht="21" customHeight="1" outlineLevel="2" x14ac:dyDescent="0.25">
      <c r="A408" s="11" t="str">
        <f t="shared" si="251"/>
        <v>ЯУО 9601-3474 (11 секция)</v>
      </c>
      <c r="B408" s="12" t="s">
        <v>24</v>
      </c>
      <c r="C408" s="18">
        <v>574843</v>
      </c>
      <c r="D408" s="11" t="s">
        <v>35</v>
      </c>
      <c r="E408" s="12">
        <v>960</v>
      </c>
      <c r="F408" s="13">
        <f t="shared" si="254"/>
        <v>576</v>
      </c>
      <c r="G408" s="13">
        <f t="shared" si="253"/>
        <v>576</v>
      </c>
      <c r="H408" s="14">
        <v>1</v>
      </c>
      <c r="I408" s="15" t="s">
        <v>19</v>
      </c>
      <c r="J408" s="12" t="s">
        <v>36</v>
      </c>
      <c r="K408">
        <v>576</v>
      </c>
      <c r="L408">
        <f t="shared" si="250"/>
        <v>1</v>
      </c>
      <c r="M408" s="23">
        <f t="shared" si="244"/>
        <v>576</v>
      </c>
    </row>
    <row r="409" spans="1:13" ht="24" customHeight="1" outlineLevel="2" x14ac:dyDescent="0.25">
      <c r="A409" s="11" t="str">
        <f>A408</f>
        <v>ЯУО 9601-3474 (11 секция)</v>
      </c>
      <c r="B409" s="11" t="s">
        <v>10</v>
      </c>
      <c r="C409" s="11" t="s">
        <v>10</v>
      </c>
      <c r="D409" s="11" t="s">
        <v>10</v>
      </c>
      <c r="E409" s="11">
        <f ca="1">OFFSET(E409,1,2)</f>
        <v>12000</v>
      </c>
      <c r="F409" s="13">
        <f ca="1">E409</f>
        <v>12000</v>
      </c>
      <c r="G409" s="13">
        <f ca="1">F409*H409</f>
        <v>12000</v>
      </c>
      <c r="H409" s="11">
        <v>1</v>
      </c>
      <c r="I409" s="11" t="s">
        <v>13</v>
      </c>
      <c r="J409" s="11" t="s">
        <v>10</v>
      </c>
      <c r="K409">
        <v>12000</v>
      </c>
      <c r="L409">
        <f t="shared" si="250"/>
        <v>1</v>
      </c>
      <c r="M409" s="23">
        <f t="shared" ca="1" si="244"/>
        <v>12000</v>
      </c>
    </row>
    <row r="410" spans="1:13" ht="21" customHeight="1" outlineLevel="2" x14ac:dyDescent="0.25">
      <c r="A410" s="11" t="str">
        <f t="shared" si="251"/>
        <v>ЯУО 9601-3474 (11 секция)</v>
      </c>
      <c r="B410" s="11" t="s">
        <v>11</v>
      </c>
      <c r="C410" s="11" t="s">
        <v>11</v>
      </c>
      <c r="D410" s="11" t="s">
        <v>11</v>
      </c>
      <c r="E410" s="11">
        <v>2</v>
      </c>
      <c r="F410" s="13">
        <v>100</v>
      </c>
      <c r="G410" s="13">
        <f t="shared" ref="G410" si="255">F410*H410</f>
        <v>12000</v>
      </c>
      <c r="H410" s="11">
        <f>60*E410</f>
        <v>120</v>
      </c>
      <c r="I410" s="11" t="s">
        <v>13</v>
      </c>
      <c r="J410" s="11" t="s">
        <v>11</v>
      </c>
      <c r="K410">
        <v>12000</v>
      </c>
      <c r="L410">
        <f t="shared" si="250"/>
        <v>1</v>
      </c>
      <c r="M410" s="23">
        <f t="shared" si="244"/>
        <v>12000</v>
      </c>
    </row>
    <row r="411" spans="1:13" ht="21" customHeight="1" outlineLevel="1" x14ac:dyDescent="0.25">
      <c r="A411" s="11" t="s">
        <v>277</v>
      </c>
      <c r="B411" s="11"/>
      <c r="C411" s="11"/>
      <c r="D411" s="11"/>
      <c r="E411" s="11"/>
      <c r="F411" s="13"/>
      <c r="G411" s="13">
        <f ca="1">SUBTOTAL(9,G396:G410)</f>
        <v>76903</v>
      </c>
      <c r="H411" s="11"/>
      <c r="I411" s="11"/>
      <c r="J411" s="11"/>
      <c r="K411">
        <v>76903</v>
      </c>
      <c r="L411">
        <f t="shared" si="250"/>
        <v>1</v>
      </c>
      <c r="M411" s="23">
        <f t="shared" ca="1" si="244"/>
        <v>76903</v>
      </c>
    </row>
    <row r="412" spans="1:13" ht="39.75" customHeight="1" outlineLevel="2" x14ac:dyDescent="0.25">
      <c r="A412" s="4" t="str">
        <f>D412</f>
        <v>ЩОФ (11 секция)</v>
      </c>
      <c r="B412" s="5"/>
      <c r="C412" s="17"/>
      <c r="D412" s="5" t="s">
        <v>90</v>
      </c>
      <c r="E412" s="7"/>
      <c r="F412" s="7"/>
      <c r="G412" s="8"/>
      <c r="H412" s="9">
        <v>1</v>
      </c>
      <c r="I412" s="10" t="s">
        <v>7</v>
      </c>
      <c r="J412" s="5" t="s">
        <v>9</v>
      </c>
      <c r="L412">
        <f>H412</f>
        <v>1</v>
      </c>
      <c r="M412" s="23">
        <f t="shared" si="244"/>
        <v>0</v>
      </c>
    </row>
    <row r="413" spans="1:13" ht="21" customHeight="1" outlineLevel="2" x14ac:dyDescent="0.25">
      <c r="A413" s="11" t="str">
        <f>A412</f>
        <v>ЩОФ (11 секция)</v>
      </c>
      <c r="B413" s="12" t="s">
        <v>8</v>
      </c>
      <c r="C413" s="18" t="s">
        <v>258</v>
      </c>
      <c r="D413" s="11" t="s">
        <v>259</v>
      </c>
      <c r="E413" s="12">
        <v>20000</v>
      </c>
      <c r="F413" s="13">
        <f>0.6*E413</f>
        <v>12000</v>
      </c>
      <c r="G413" s="13">
        <f>H413*F413</f>
        <v>12000</v>
      </c>
      <c r="H413" s="14">
        <v>1</v>
      </c>
      <c r="I413" s="15" t="s">
        <v>13</v>
      </c>
      <c r="J413" s="12" t="s">
        <v>16</v>
      </c>
      <c r="K413">
        <v>12000</v>
      </c>
      <c r="L413">
        <f t="shared" ref="L413:L418" si="256">L412</f>
        <v>1</v>
      </c>
      <c r="M413" s="23">
        <f t="shared" si="244"/>
        <v>12000</v>
      </c>
    </row>
    <row r="414" spans="1:13" ht="21" customHeight="1" outlineLevel="2" x14ac:dyDescent="0.25">
      <c r="A414" s="11" t="str">
        <f t="shared" ref="A414:A417" si="257">A413</f>
        <v>ЩОФ (11 секция)</v>
      </c>
      <c r="B414" s="12" t="s">
        <v>12</v>
      </c>
      <c r="C414" s="18"/>
      <c r="D414" s="11" t="s">
        <v>202</v>
      </c>
      <c r="E414" s="16">
        <v>2708</v>
      </c>
      <c r="F414" s="13">
        <f t="shared" ref="F414:F415" si="258">E414*0.6</f>
        <v>1624.8</v>
      </c>
      <c r="G414" s="13">
        <f>F414*H414</f>
        <v>1624.8</v>
      </c>
      <c r="H414" s="14">
        <v>1</v>
      </c>
      <c r="I414" s="15" t="s">
        <v>13</v>
      </c>
      <c r="J414" s="12" t="s">
        <v>36</v>
      </c>
      <c r="K414">
        <v>1624.8</v>
      </c>
      <c r="L414">
        <f t="shared" si="256"/>
        <v>1</v>
      </c>
      <c r="M414" s="23">
        <f t="shared" si="244"/>
        <v>1624.8</v>
      </c>
    </row>
    <row r="415" spans="1:13" ht="21" customHeight="1" outlineLevel="2" x14ac:dyDescent="0.25">
      <c r="A415" s="11" t="str">
        <f t="shared" si="257"/>
        <v>ЩОФ (11 секция)</v>
      </c>
      <c r="B415" s="12" t="s">
        <v>18</v>
      </c>
      <c r="C415" s="18">
        <v>982184</v>
      </c>
      <c r="D415" s="11" t="s">
        <v>40</v>
      </c>
      <c r="E415" s="12">
        <v>9009</v>
      </c>
      <c r="F415" s="13">
        <f t="shared" si="258"/>
        <v>5405.4</v>
      </c>
      <c r="G415" s="13">
        <f t="shared" ref="G415" si="259">F415*H415</f>
        <v>21621.599999999999</v>
      </c>
      <c r="H415" s="14">
        <v>4</v>
      </c>
      <c r="I415" s="15" t="s">
        <v>13</v>
      </c>
      <c r="J415" s="12" t="s">
        <v>36</v>
      </c>
      <c r="K415">
        <v>21621.599999999999</v>
      </c>
      <c r="L415">
        <f t="shared" si="256"/>
        <v>1</v>
      </c>
      <c r="M415" s="23">
        <f t="shared" si="244"/>
        <v>21621.599999999999</v>
      </c>
    </row>
    <row r="416" spans="1:13" ht="24" customHeight="1" outlineLevel="2" x14ac:dyDescent="0.25">
      <c r="A416" s="11" t="str">
        <f t="shared" si="257"/>
        <v>ЩОФ (11 секция)</v>
      </c>
      <c r="B416" s="11" t="s">
        <v>10</v>
      </c>
      <c r="C416" s="11" t="s">
        <v>10</v>
      </c>
      <c r="D416" s="11" t="s">
        <v>10</v>
      </c>
      <c r="E416" s="11">
        <f ca="1">OFFSET(E416,1,2)</f>
        <v>12000</v>
      </c>
      <c r="F416" s="13">
        <f ca="1">E416</f>
        <v>12000</v>
      </c>
      <c r="G416" s="13">
        <f ca="1">F416*H416</f>
        <v>12000</v>
      </c>
      <c r="H416" s="11">
        <v>1</v>
      </c>
      <c r="I416" s="11" t="s">
        <v>13</v>
      </c>
      <c r="J416" s="11" t="s">
        <v>10</v>
      </c>
      <c r="K416">
        <v>12000</v>
      </c>
      <c r="L416">
        <f t="shared" si="256"/>
        <v>1</v>
      </c>
      <c r="M416" s="23">
        <f t="shared" ca="1" si="244"/>
        <v>12000</v>
      </c>
    </row>
    <row r="417" spans="1:13" ht="21" customHeight="1" outlineLevel="2" x14ac:dyDescent="0.25">
      <c r="A417" s="11" t="str">
        <f t="shared" si="257"/>
        <v>ЩОФ (11 секция)</v>
      </c>
      <c r="B417" s="11" t="s">
        <v>11</v>
      </c>
      <c r="C417" s="11" t="s">
        <v>11</v>
      </c>
      <c r="D417" s="11" t="s">
        <v>11</v>
      </c>
      <c r="E417" s="11">
        <v>2</v>
      </c>
      <c r="F417" s="13">
        <v>100</v>
      </c>
      <c r="G417" s="13">
        <f t="shared" ref="G417" si="260">F417*H417</f>
        <v>12000</v>
      </c>
      <c r="H417" s="11">
        <f>60*E417</f>
        <v>120</v>
      </c>
      <c r="I417" s="11" t="s">
        <v>13</v>
      </c>
      <c r="J417" s="11" t="s">
        <v>11</v>
      </c>
      <c r="K417">
        <v>12000</v>
      </c>
      <c r="L417">
        <f t="shared" si="256"/>
        <v>1</v>
      </c>
      <c r="M417" s="23">
        <f t="shared" si="244"/>
        <v>12000</v>
      </c>
    </row>
    <row r="418" spans="1:13" ht="21" customHeight="1" outlineLevel="1" x14ac:dyDescent="0.25">
      <c r="A418" s="11" t="s">
        <v>278</v>
      </c>
      <c r="B418" s="11"/>
      <c r="C418" s="11"/>
      <c r="D418" s="11"/>
      <c r="E418" s="11"/>
      <c r="F418" s="13"/>
      <c r="G418" s="13">
        <f ca="1">SUBTOTAL(9,G412:G417)</f>
        <v>59246.399999999994</v>
      </c>
      <c r="H418" s="11"/>
      <c r="I418" s="11"/>
      <c r="J418" s="11"/>
      <c r="K418">
        <v>59246.399999999994</v>
      </c>
      <c r="L418">
        <f t="shared" si="256"/>
        <v>1</v>
      </c>
      <c r="M418" s="23">
        <f t="shared" ca="1" si="244"/>
        <v>59246.399999999994</v>
      </c>
    </row>
    <row r="419" spans="1:13" ht="39.75" customHeight="1" outlineLevel="2" x14ac:dyDescent="0.25">
      <c r="A419" s="4" t="str">
        <f>D419</f>
        <v>ЩЭ1 4сч.  (12 секция)</v>
      </c>
      <c r="B419" s="5"/>
      <c r="C419" s="17"/>
      <c r="D419" s="5" t="s">
        <v>175</v>
      </c>
      <c r="E419" s="7"/>
      <c r="F419" s="7"/>
      <c r="G419" s="8"/>
      <c r="H419" s="9">
        <v>1</v>
      </c>
      <c r="I419" s="10" t="s">
        <v>7</v>
      </c>
      <c r="J419" s="5" t="s">
        <v>9</v>
      </c>
      <c r="L419">
        <f>H419</f>
        <v>1</v>
      </c>
      <c r="M419" s="23">
        <f t="shared" si="244"/>
        <v>0</v>
      </c>
    </row>
    <row r="420" spans="1:13" ht="21" customHeight="1" outlineLevel="2" x14ac:dyDescent="0.25">
      <c r="A420" s="11" t="str">
        <f>A419</f>
        <v>ЩЭ1 4сч.  (12 секция)</v>
      </c>
      <c r="B420" s="12" t="s">
        <v>8</v>
      </c>
      <c r="C420" s="18" t="s">
        <v>225</v>
      </c>
      <c r="D420" s="11" t="s">
        <v>224</v>
      </c>
      <c r="E420" s="12">
        <v>45000</v>
      </c>
      <c r="F420" s="13">
        <f>0.6*E420</f>
        <v>27000</v>
      </c>
      <c r="G420" s="13">
        <f>H420*F420</f>
        <v>27000</v>
      </c>
      <c r="H420" s="14">
        <v>1</v>
      </c>
      <c r="I420" s="15" t="s">
        <v>13</v>
      </c>
      <c r="J420" s="12" t="s">
        <v>16</v>
      </c>
      <c r="K420">
        <v>27000</v>
      </c>
      <c r="L420">
        <f t="shared" ref="L420:L425" si="261">L419</f>
        <v>1</v>
      </c>
      <c r="M420" s="23">
        <f t="shared" si="244"/>
        <v>27000</v>
      </c>
    </row>
    <row r="421" spans="1:13" ht="21" customHeight="1" outlineLevel="2" x14ac:dyDescent="0.25">
      <c r="A421" s="11" t="str">
        <f t="shared" ref="A421:A424" si="262">A420</f>
        <v>ЩЭ1 4сч.  (12 секция)</v>
      </c>
      <c r="B421" s="12" t="s">
        <v>64</v>
      </c>
      <c r="C421" s="18">
        <v>193176</v>
      </c>
      <c r="D421" s="11" t="s">
        <v>66</v>
      </c>
      <c r="E421" s="12">
        <v>2093</v>
      </c>
      <c r="F421" s="13">
        <f t="shared" ref="F421:F422" si="263">E421*0.6</f>
        <v>1255.8</v>
      </c>
      <c r="G421" s="13">
        <f>F421*H421</f>
        <v>5023.2</v>
      </c>
      <c r="H421" s="14">
        <v>4</v>
      </c>
      <c r="I421" s="15" t="s">
        <v>13</v>
      </c>
      <c r="J421" s="12" t="s">
        <v>36</v>
      </c>
      <c r="K421">
        <v>5023.2</v>
      </c>
      <c r="L421">
        <f t="shared" si="261"/>
        <v>1</v>
      </c>
      <c r="M421" s="23">
        <f t="shared" si="244"/>
        <v>5023.2</v>
      </c>
    </row>
    <row r="422" spans="1:13" ht="21" customHeight="1" outlineLevel="2" x14ac:dyDescent="0.25">
      <c r="A422" s="11" t="str">
        <f t="shared" si="262"/>
        <v>ЩЭ1 4сч.  (12 секция)</v>
      </c>
      <c r="B422" s="12" t="s">
        <v>12</v>
      </c>
      <c r="C422" s="18"/>
      <c r="D422" s="11" t="s">
        <v>200</v>
      </c>
      <c r="E422" s="16">
        <v>1922</v>
      </c>
      <c r="F422" s="13">
        <f t="shared" si="263"/>
        <v>1153.2</v>
      </c>
      <c r="G422" s="13">
        <f t="shared" ref="G422" si="264">F422*H422</f>
        <v>4612.8</v>
      </c>
      <c r="H422" s="14">
        <v>4</v>
      </c>
      <c r="I422" s="15" t="s">
        <v>13</v>
      </c>
      <c r="J422" s="12" t="s">
        <v>36</v>
      </c>
      <c r="K422">
        <v>4612.8</v>
      </c>
      <c r="L422">
        <f t="shared" si="261"/>
        <v>1</v>
      </c>
      <c r="M422" s="23">
        <f t="shared" si="244"/>
        <v>4612.8</v>
      </c>
    </row>
    <row r="423" spans="1:13" ht="24" customHeight="1" outlineLevel="2" x14ac:dyDescent="0.25">
      <c r="A423" s="11" t="str">
        <f t="shared" si="262"/>
        <v>ЩЭ1 4сч.  (12 секция)</v>
      </c>
      <c r="B423" s="11" t="s">
        <v>10</v>
      </c>
      <c r="C423" s="11" t="s">
        <v>10</v>
      </c>
      <c r="D423" s="11" t="s">
        <v>10</v>
      </c>
      <c r="E423" s="11">
        <f ca="1">OFFSET(E423,1,2)</f>
        <v>24000</v>
      </c>
      <c r="F423" s="13">
        <f ca="1">E423</f>
        <v>24000</v>
      </c>
      <c r="G423" s="13">
        <f ca="1">F423*H423</f>
        <v>24000</v>
      </c>
      <c r="H423" s="11">
        <v>1</v>
      </c>
      <c r="I423" s="11" t="s">
        <v>13</v>
      </c>
      <c r="J423" s="11" t="s">
        <v>10</v>
      </c>
      <c r="K423">
        <v>24000</v>
      </c>
      <c r="L423">
        <f t="shared" si="261"/>
        <v>1</v>
      </c>
      <c r="M423" s="23">
        <f t="shared" ca="1" si="244"/>
        <v>24000</v>
      </c>
    </row>
    <row r="424" spans="1:13" ht="21" customHeight="1" outlineLevel="2" x14ac:dyDescent="0.25">
      <c r="A424" s="11" t="str">
        <f t="shared" si="262"/>
        <v>ЩЭ1 4сч.  (12 секция)</v>
      </c>
      <c r="B424" s="11" t="s">
        <v>11</v>
      </c>
      <c r="C424" s="11" t="s">
        <v>11</v>
      </c>
      <c r="D424" s="11" t="s">
        <v>11</v>
      </c>
      <c r="E424" s="11">
        <v>4</v>
      </c>
      <c r="F424" s="13">
        <v>100</v>
      </c>
      <c r="G424" s="13">
        <f t="shared" ref="G424" si="265">F424*H424</f>
        <v>24000</v>
      </c>
      <c r="H424" s="11">
        <f>60*E424</f>
        <v>240</v>
      </c>
      <c r="I424" s="11" t="s">
        <v>13</v>
      </c>
      <c r="J424" s="11" t="s">
        <v>11</v>
      </c>
      <c r="K424">
        <v>24000</v>
      </c>
      <c r="L424">
        <f t="shared" si="261"/>
        <v>1</v>
      </c>
      <c r="M424" s="23">
        <f t="shared" si="244"/>
        <v>24000</v>
      </c>
    </row>
    <row r="425" spans="1:13" ht="21" customHeight="1" outlineLevel="1" x14ac:dyDescent="0.25">
      <c r="A425" s="11" t="s">
        <v>321</v>
      </c>
      <c r="B425" s="11"/>
      <c r="C425" s="11"/>
      <c r="D425" s="11"/>
      <c r="E425" s="11"/>
      <c r="F425" s="13"/>
      <c r="G425" s="13">
        <f ca="1">SUBTOTAL(9,G419:G424)</f>
        <v>84636</v>
      </c>
      <c r="H425" s="11"/>
      <c r="I425" s="11"/>
      <c r="J425" s="11"/>
      <c r="K425">
        <v>84636</v>
      </c>
      <c r="L425">
        <f t="shared" si="261"/>
        <v>1</v>
      </c>
      <c r="M425" s="23">
        <f t="shared" ca="1" si="244"/>
        <v>84636</v>
      </c>
    </row>
    <row r="426" spans="1:13" ht="39.75" customHeight="1" outlineLevel="2" x14ac:dyDescent="0.25">
      <c r="A426" s="4" t="str">
        <f>D426</f>
        <v>ЩЭ2 5сч. (12 секция)</v>
      </c>
      <c r="B426" s="5"/>
      <c r="C426" s="17"/>
      <c r="D426" s="5" t="s">
        <v>176</v>
      </c>
      <c r="E426" s="7"/>
      <c r="F426" s="7"/>
      <c r="G426" s="8"/>
      <c r="H426" s="9">
        <v>8</v>
      </c>
      <c r="I426" s="10" t="s">
        <v>7</v>
      </c>
      <c r="J426" s="5" t="s">
        <v>9</v>
      </c>
      <c r="L426">
        <f>H426</f>
        <v>8</v>
      </c>
      <c r="M426" s="23">
        <f t="shared" si="244"/>
        <v>0</v>
      </c>
    </row>
    <row r="427" spans="1:13" ht="21" customHeight="1" outlineLevel="2" x14ac:dyDescent="0.25">
      <c r="A427" s="11" t="str">
        <f>A426</f>
        <v>ЩЭ2 5сч. (12 секция)</v>
      </c>
      <c r="B427" s="12" t="s">
        <v>8</v>
      </c>
      <c r="C427" s="18" t="s">
        <v>227</v>
      </c>
      <c r="D427" s="11" t="s">
        <v>226</v>
      </c>
      <c r="E427" s="12">
        <v>44500</v>
      </c>
      <c r="F427" s="13">
        <f>0.6*E427</f>
        <v>26700</v>
      </c>
      <c r="G427" s="13">
        <f>H427*F427</f>
        <v>26700</v>
      </c>
      <c r="H427" s="14">
        <v>1</v>
      </c>
      <c r="I427" s="15" t="s">
        <v>13</v>
      </c>
      <c r="J427" s="12" t="s">
        <v>16</v>
      </c>
      <c r="K427">
        <v>26700</v>
      </c>
      <c r="L427">
        <f t="shared" ref="L427:L432" si="266">L426</f>
        <v>8</v>
      </c>
      <c r="M427" s="23">
        <f t="shared" si="244"/>
        <v>213600</v>
      </c>
    </row>
    <row r="428" spans="1:13" ht="21" customHeight="1" outlineLevel="2" x14ac:dyDescent="0.25">
      <c r="A428" s="11" t="str">
        <f t="shared" ref="A428:A431" si="267">A427</f>
        <v>ЩЭ2 5сч. (12 секция)</v>
      </c>
      <c r="B428" s="12" t="s">
        <v>64</v>
      </c>
      <c r="C428" s="18">
        <v>193176</v>
      </c>
      <c r="D428" s="11" t="s">
        <v>66</v>
      </c>
      <c r="E428" s="12">
        <v>2093</v>
      </c>
      <c r="F428" s="13">
        <f t="shared" ref="F428:F429" si="268">E428*0.6</f>
        <v>1255.8</v>
      </c>
      <c r="G428" s="13">
        <f>F428*H428</f>
        <v>6279</v>
      </c>
      <c r="H428" s="14">
        <v>5</v>
      </c>
      <c r="I428" s="15" t="s">
        <v>13</v>
      </c>
      <c r="J428" s="12" t="s">
        <v>36</v>
      </c>
      <c r="K428">
        <v>6279</v>
      </c>
      <c r="L428">
        <f t="shared" si="266"/>
        <v>8</v>
      </c>
      <c r="M428" s="23">
        <f t="shared" si="244"/>
        <v>50232</v>
      </c>
    </row>
    <row r="429" spans="1:13" ht="21" customHeight="1" outlineLevel="2" x14ac:dyDescent="0.25">
      <c r="A429" s="11" t="str">
        <f t="shared" si="267"/>
        <v>ЩЭ2 5сч. (12 секция)</v>
      </c>
      <c r="B429" s="12" t="s">
        <v>12</v>
      </c>
      <c r="C429" s="18"/>
      <c r="D429" s="11" t="s">
        <v>200</v>
      </c>
      <c r="E429" s="16">
        <v>1922</v>
      </c>
      <c r="F429" s="13">
        <f t="shared" si="268"/>
        <v>1153.2</v>
      </c>
      <c r="G429" s="13">
        <f t="shared" ref="G429" si="269">F429*H429</f>
        <v>5766</v>
      </c>
      <c r="H429" s="14">
        <v>5</v>
      </c>
      <c r="I429" s="15" t="s">
        <v>13</v>
      </c>
      <c r="J429" s="12" t="s">
        <v>36</v>
      </c>
      <c r="K429">
        <v>5766</v>
      </c>
      <c r="L429">
        <f t="shared" si="266"/>
        <v>8</v>
      </c>
      <c r="M429" s="23">
        <f t="shared" si="244"/>
        <v>46128</v>
      </c>
    </row>
    <row r="430" spans="1:13" ht="24" customHeight="1" outlineLevel="2" x14ac:dyDescent="0.25">
      <c r="A430" s="11" t="str">
        <f t="shared" si="267"/>
        <v>ЩЭ2 5сч. (12 секция)</v>
      </c>
      <c r="B430" s="11" t="s">
        <v>10</v>
      </c>
      <c r="C430" s="11" t="s">
        <v>10</v>
      </c>
      <c r="D430" s="11" t="s">
        <v>10</v>
      </c>
      <c r="E430" s="11">
        <f ca="1">OFFSET(E430,1,2)</f>
        <v>24000</v>
      </c>
      <c r="F430" s="13">
        <f ca="1">E430</f>
        <v>24000</v>
      </c>
      <c r="G430" s="13">
        <f ca="1">F430*H430</f>
        <v>24000</v>
      </c>
      <c r="H430" s="11">
        <v>1</v>
      </c>
      <c r="I430" s="11" t="s">
        <v>13</v>
      </c>
      <c r="J430" s="11" t="s">
        <v>10</v>
      </c>
      <c r="K430">
        <v>24000</v>
      </c>
      <c r="L430">
        <f t="shared" si="266"/>
        <v>8</v>
      </c>
      <c r="M430" s="23">
        <f t="shared" ca="1" si="244"/>
        <v>192000</v>
      </c>
    </row>
    <row r="431" spans="1:13" ht="21" customHeight="1" outlineLevel="2" x14ac:dyDescent="0.25">
      <c r="A431" s="11" t="str">
        <f t="shared" si="267"/>
        <v>ЩЭ2 5сч. (12 секция)</v>
      </c>
      <c r="B431" s="11" t="s">
        <v>11</v>
      </c>
      <c r="C431" s="11" t="s">
        <v>11</v>
      </c>
      <c r="D431" s="11" t="s">
        <v>11</v>
      </c>
      <c r="E431" s="11">
        <v>4</v>
      </c>
      <c r="F431" s="13">
        <v>100</v>
      </c>
      <c r="G431" s="13">
        <f t="shared" ref="G431" si="270">F431*H431</f>
        <v>24000</v>
      </c>
      <c r="H431" s="11">
        <f>60*E431</f>
        <v>240</v>
      </c>
      <c r="I431" s="11" t="s">
        <v>13</v>
      </c>
      <c r="J431" s="11" t="s">
        <v>11</v>
      </c>
      <c r="K431">
        <v>24000</v>
      </c>
      <c r="L431">
        <f t="shared" si="266"/>
        <v>8</v>
      </c>
      <c r="M431" s="23">
        <f t="shared" si="244"/>
        <v>192000</v>
      </c>
    </row>
    <row r="432" spans="1:13" ht="21" customHeight="1" outlineLevel="1" x14ac:dyDescent="0.25">
      <c r="A432" s="11" t="s">
        <v>322</v>
      </c>
      <c r="B432" s="11"/>
      <c r="C432" s="11"/>
      <c r="D432" s="11"/>
      <c r="E432" s="11"/>
      <c r="F432" s="13"/>
      <c r="G432" s="13">
        <f ca="1">SUBTOTAL(9,G426:G431)</f>
        <v>86745</v>
      </c>
      <c r="H432" s="11"/>
      <c r="I432" s="11"/>
      <c r="J432" s="11"/>
      <c r="K432">
        <v>86745</v>
      </c>
      <c r="L432">
        <f t="shared" si="266"/>
        <v>8</v>
      </c>
      <c r="M432" s="23">
        <f t="shared" ca="1" si="244"/>
        <v>693960</v>
      </c>
    </row>
    <row r="433" spans="1:13" ht="39.75" customHeight="1" outlineLevel="2" x14ac:dyDescent="0.25">
      <c r="A433" s="4" t="str">
        <f>D433</f>
        <v>ЩК (12 секция)</v>
      </c>
      <c r="B433" s="5"/>
      <c r="C433" s="17"/>
      <c r="D433" s="5" t="s">
        <v>91</v>
      </c>
      <c r="E433" s="7"/>
      <c r="F433" s="7"/>
      <c r="G433" s="8"/>
      <c r="H433" s="9">
        <v>44</v>
      </c>
      <c r="I433" s="10" t="s">
        <v>7</v>
      </c>
      <c r="J433" s="5" t="s">
        <v>9</v>
      </c>
      <c r="L433">
        <f>H433</f>
        <v>44</v>
      </c>
      <c r="M433" s="23">
        <f t="shared" si="244"/>
        <v>0</v>
      </c>
    </row>
    <row r="434" spans="1:13" ht="21" customHeight="1" outlineLevel="2" x14ac:dyDescent="0.25">
      <c r="A434" s="11" t="str">
        <f>A433</f>
        <v>ЩК (12 секция)</v>
      </c>
      <c r="B434" s="12" t="s">
        <v>8</v>
      </c>
      <c r="C434" s="18" t="s">
        <v>223</v>
      </c>
      <c r="D434" s="11" t="s">
        <v>222</v>
      </c>
      <c r="E434" s="12">
        <v>10050</v>
      </c>
      <c r="F434" s="13">
        <f>E434*0.6</f>
        <v>6030</v>
      </c>
      <c r="G434" s="13">
        <f>H434*F434</f>
        <v>6030</v>
      </c>
      <c r="H434" s="14">
        <v>1</v>
      </c>
      <c r="I434" s="15" t="s">
        <v>13</v>
      </c>
      <c r="J434" s="12" t="s">
        <v>262</v>
      </c>
      <c r="K434">
        <v>6030</v>
      </c>
      <c r="L434">
        <f t="shared" ref="L434:L441" si="271">L433</f>
        <v>44</v>
      </c>
      <c r="M434" s="23">
        <f t="shared" si="244"/>
        <v>265320</v>
      </c>
    </row>
    <row r="435" spans="1:13" ht="21" customHeight="1" outlineLevel="2" x14ac:dyDescent="0.25">
      <c r="A435" s="11" t="str">
        <f t="shared" ref="A435:A438" si="272">A434</f>
        <v>ЩК (12 секция)</v>
      </c>
      <c r="B435" s="12" t="s">
        <v>12</v>
      </c>
      <c r="C435" s="18"/>
      <c r="D435" s="11" t="s">
        <v>199</v>
      </c>
      <c r="E435" s="16">
        <v>1671</v>
      </c>
      <c r="F435" s="13">
        <f t="shared" ref="F435:F438" si="273">E435*0.6</f>
        <v>1002.5999999999999</v>
      </c>
      <c r="G435" s="13">
        <f t="shared" ref="G435:G438" si="274">F435*H435</f>
        <v>1002.5999999999999</v>
      </c>
      <c r="H435" s="14">
        <v>1</v>
      </c>
      <c r="I435" s="15" t="s">
        <v>13</v>
      </c>
      <c r="J435" s="12" t="s">
        <v>36</v>
      </c>
      <c r="K435">
        <v>1002.5999999999999</v>
      </c>
      <c r="L435">
        <f t="shared" si="271"/>
        <v>44</v>
      </c>
      <c r="M435" s="23">
        <f t="shared" si="244"/>
        <v>44114.399999999994</v>
      </c>
    </row>
    <row r="436" spans="1:13" ht="21" customHeight="1" outlineLevel="2" x14ac:dyDescent="0.25">
      <c r="A436" s="11" t="str">
        <f t="shared" si="272"/>
        <v>ЩК (12 секция)</v>
      </c>
      <c r="B436" s="12" t="s">
        <v>12</v>
      </c>
      <c r="C436" s="18"/>
      <c r="D436" s="11" t="s">
        <v>197</v>
      </c>
      <c r="E436" s="12">
        <v>710</v>
      </c>
      <c r="F436" s="13">
        <f t="shared" si="273"/>
        <v>426</v>
      </c>
      <c r="G436" s="13">
        <f t="shared" si="274"/>
        <v>426</v>
      </c>
      <c r="H436" s="14">
        <v>1</v>
      </c>
      <c r="I436" s="15" t="s">
        <v>13</v>
      </c>
      <c r="J436" s="12" t="s">
        <v>36</v>
      </c>
      <c r="K436">
        <v>426</v>
      </c>
      <c r="L436">
        <f t="shared" si="271"/>
        <v>44</v>
      </c>
      <c r="M436" s="23">
        <f t="shared" si="244"/>
        <v>18744</v>
      </c>
    </row>
    <row r="437" spans="1:13" ht="21" customHeight="1" outlineLevel="2" x14ac:dyDescent="0.25">
      <c r="A437" s="11" t="str">
        <f t="shared" si="272"/>
        <v>ЩК (12 секция)</v>
      </c>
      <c r="B437" s="12" t="s">
        <v>18</v>
      </c>
      <c r="C437" s="18">
        <v>105546</v>
      </c>
      <c r="D437" s="11" t="s">
        <v>67</v>
      </c>
      <c r="E437" s="12">
        <v>3513</v>
      </c>
      <c r="F437" s="13">
        <f t="shared" si="273"/>
        <v>2107.7999999999997</v>
      </c>
      <c r="G437" s="13">
        <f t="shared" si="274"/>
        <v>2107.7999999999997</v>
      </c>
      <c r="H437" s="14">
        <v>1</v>
      </c>
      <c r="I437" s="15" t="s">
        <v>13</v>
      </c>
      <c r="J437" s="12" t="s">
        <v>36</v>
      </c>
      <c r="K437">
        <v>2107.7999999999997</v>
      </c>
      <c r="L437">
        <f t="shared" si="271"/>
        <v>44</v>
      </c>
      <c r="M437" s="23">
        <f t="shared" si="244"/>
        <v>92743.199999999983</v>
      </c>
    </row>
    <row r="438" spans="1:13" ht="21" customHeight="1" outlineLevel="2" x14ac:dyDescent="0.25">
      <c r="A438" s="11" t="str">
        <f t="shared" si="272"/>
        <v>ЩК (12 секция)</v>
      </c>
      <c r="B438" s="12" t="s">
        <v>18</v>
      </c>
      <c r="C438" s="18">
        <v>105544</v>
      </c>
      <c r="D438" s="11" t="s">
        <v>68</v>
      </c>
      <c r="E438" s="12">
        <v>3331</v>
      </c>
      <c r="F438" s="13">
        <f t="shared" si="273"/>
        <v>1998.6</v>
      </c>
      <c r="G438" s="13">
        <f t="shared" si="274"/>
        <v>7994.4</v>
      </c>
      <c r="H438" s="14">
        <v>4</v>
      </c>
      <c r="I438" s="15" t="s">
        <v>13</v>
      </c>
      <c r="J438" s="12" t="s">
        <v>36</v>
      </c>
      <c r="K438">
        <v>7994.4</v>
      </c>
      <c r="L438">
        <f t="shared" si="271"/>
        <v>44</v>
      </c>
      <c r="M438" s="23">
        <f t="shared" si="244"/>
        <v>351753.6</v>
      </c>
    </row>
    <row r="439" spans="1:13" ht="24" customHeight="1" outlineLevel="2" x14ac:dyDescent="0.25">
      <c r="A439" s="11" t="str">
        <f>A436</f>
        <v>ЩК (12 секция)</v>
      </c>
      <c r="B439" s="11" t="s">
        <v>10</v>
      </c>
      <c r="C439" s="11" t="s">
        <v>10</v>
      </c>
      <c r="D439" s="11" t="s">
        <v>10</v>
      </c>
      <c r="E439" s="11">
        <f ca="1">OFFSET(E439,1,2)</f>
        <v>6000</v>
      </c>
      <c r="F439" s="13">
        <f ca="1">E439</f>
        <v>6000</v>
      </c>
      <c r="G439" s="13">
        <f ca="1">F439*H439</f>
        <v>6000</v>
      </c>
      <c r="H439" s="11">
        <v>1</v>
      </c>
      <c r="I439" s="11" t="s">
        <v>13</v>
      </c>
      <c r="J439" s="11" t="s">
        <v>10</v>
      </c>
      <c r="K439">
        <v>6000</v>
      </c>
      <c r="L439">
        <f t="shared" si="271"/>
        <v>44</v>
      </c>
      <c r="M439" s="23">
        <f t="shared" ca="1" si="244"/>
        <v>264000</v>
      </c>
    </row>
    <row r="440" spans="1:13" ht="21" customHeight="1" outlineLevel="2" x14ac:dyDescent="0.25">
      <c r="A440" s="11" t="str">
        <f t="shared" ref="A440" si="275">A439</f>
        <v>ЩК (12 секция)</v>
      </c>
      <c r="B440" s="11" t="s">
        <v>11</v>
      </c>
      <c r="C440" s="11" t="s">
        <v>11</v>
      </c>
      <c r="D440" s="11" t="s">
        <v>11</v>
      </c>
      <c r="E440" s="11">
        <v>1</v>
      </c>
      <c r="F440" s="13">
        <v>100</v>
      </c>
      <c r="G440" s="13">
        <f t="shared" ref="G440" si="276">F440*H440</f>
        <v>6000</v>
      </c>
      <c r="H440" s="11">
        <f>60*E440</f>
        <v>60</v>
      </c>
      <c r="I440" s="11" t="s">
        <v>13</v>
      </c>
      <c r="J440" s="11" t="s">
        <v>11</v>
      </c>
      <c r="K440">
        <v>6000</v>
      </c>
      <c r="L440">
        <f t="shared" si="271"/>
        <v>44</v>
      </c>
      <c r="M440" s="23">
        <f t="shared" si="244"/>
        <v>264000</v>
      </c>
    </row>
    <row r="441" spans="1:13" ht="21" customHeight="1" outlineLevel="1" x14ac:dyDescent="0.25">
      <c r="A441" s="11" t="s">
        <v>323</v>
      </c>
      <c r="B441" s="11"/>
      <c r="C441" s="11"/>
      <c r="D441" s="11"/>
      <c r="E441" s="11"/>
      <c r="F441" s="13"/>
      <c r="G441" s="13">
        <f ca="1">SUBTOTAL(9,G433:G440)</f>
        <v>29560.799999999999</v>
      </c>
      <c r="H441" s="11"/>
      <c r="I441" s="11"/>
      <c r="J441" s="11"/>
      <c r="K441">
        <v>29560.799999999999</v>
      </c>
      <c r="L441">
        <f t="shared" si="271"/>
        <v>44</v>
      </c>
      <c r="M441" s="23">
        <f t="shared" ca="1" si="244"/>
        <v>1300675.2</v>
      </c>
    </row>
    <row r="442" spans="1:13" ht="39.75" customHeight="1" outlineLevel="2" x14ac:dyDescent="0.25">
      <c r="A442" s="4" t="str">
        <f>D442</f>
        <v>ЩО3ж (12 секция)</v>
      </c>
      <c r="B442" s="5"/>
      <c r="C442" s="17"/>
      <c r="D442" s="5" t="s">
        <v>92</v>
      </c>
      <c r="E442" s="7"/>
      <c r="F442" s="7"/>
      <c r="G442" s="8"/>
      <c r="H442" s="9">
        <v>1</v>
      </c>
      <c r="I442" s="10" t="s">
        <v>7</v>
      </c>
      <c r="J442" s="5" t="s">
        <v>9</v>
      </c>
      <c r="L442">
        <f>H442</f>
        <v>1</v>
      </c>
      <c r="M442" s="23">
        <f t="shared" si="244"/>
        <v>0</v>
      </c>
    </row>
    <row r="443" spans="1:13" ht="21" customHeight="1" outlineLevel="2" x14ac:dyDescent="0.25">
      <c r="A443" s="11" t="str">
        <f>A442</f>
        <v>ЩО3ж (12 секция)</v>
      </c>
      <c r="B443" s="12" t="s">
        <v>8</v>
      </c>
      <c r="C443" s="18" t="s">
        <v>254</v>
      </c>
      <c r="D443" s="11" t="s">
        <v>255</v>
      </c>
      <c r="E443" s="12">
        <v>10500</v>
      </c>
      <c r="F443" s="13">
        <f>0.6*E443</f>
        <v>6300</v>
      </c>
      <c r="G443" s="13">
        <f>H443*F443</f>
        <v>6300</v>
      </c>
      <c r="H443" s="14">
        <v>1</v>
      </c>
      <c r="I443" s="15" t="s">
        <v>13</v>
      </c>
      <c r="J443" s="12" t="s">
        <v>16</v>
      </c>
      <c r="K443">
        <v>6300</v>
      </c>
      <c r="L443">
        <f t="shared" ref="L443:L448" si="277">L442</f>
        <v>1</v>
      </c>
      <c r="M443" s="23">
        <f t="shared" si="244"/>
        <v>6300</v>
      </c>
    </row>
    <row r="444" spans="1:13" ht="21" customHeight="1" outlineLevel="2" x14ac:dyDescent="0.25">
      <c r="A444" s="11" t="str">
        <f t="shared" ref="A444:A445" si="278">A443</f>
        <v>ЩО3ж (12 секция)</v>
      </c>
      <c r="B444" s="12" t="s">
        <v>64</v>
      </c>
      <c r="C444" s="18">
        <v>193180</v>
      </c>
      <c r="D444" s="11" t="s">
        <v>60</v>
      </c>
      <c r="E444" s="12">
        <v>2493</v>
      </c>
      <c r="F444" s="13">
        <f t="shared" ref="F444:F445" si="279">E444*0.6</f>
        <v>1495.8</v>
      </c>
      <c r="G444" s="13">
        <f t="shared" ref="G444:G445" si="280">F444*H444</f>
        <v>1495.8</v>
      </c>
      <c r="H444" s="14">
        <v>1</v>
      </c>
      <c r="I444" s="15" t="s">
        <v>13</v>
      </c>
      <c r="J444" s="12" t="s">
        <v>36</v>
      </c>
      <c r="K444">
        <v>1495.8</v>
      </c>
      <c r="L444">
        <f t="shared" si="277"/>
        <v>1</v>
      </c>
      <c r="M444" s="23">
        <f t="shared" si="244"/>
        <v>1495.8</v>
      </c>
    </row>
    <row r="445" spans="1:13" ht="21" customHeight="1" outlineLevel="2" x14ac:dyDescent="0.25">
      <c r="A445" s="11" t="str">
        <f t="shared" si="278"/>
        <v>ЩО3ж (12 секция)</v>
      </c>
      <c r="B445" s="12" t="s">
        <v>12</v>
      </c>
      <c r="C445" s="18">
        <v>296709</v>
      </c>
      <c r="D445" s="11" t="s">
        <v>196</v>
      </c>
      <c r="E445" s="12">
        <v>699</v>
      </c>
      <c r="F445" s="13">
        <f t="shared" si="279"/>
        <v>419.4</v>
      </c>
      <c r="G445" s="13">
        <f t="shared" si="280"/>
        <v>2516.3999999999996</v>
      </c>
      <c r="H445" s="14">
        <v>6</v>
      </c>
      <c r="I445" s="15" t="s">
        <v>13</v>
      </c>
      <c r="J445" s="12" t="s">
        <v>36</v>
      </c>
      <c r="K445">
        <v>2516.3999999999996</v>
      </c>
      <c r="L445">
        <f t="shared" si="277"/>
        <v>1</v>
      </c>
      <c r="M445" s="23">
        <f t="shared" si="244"/>
        <v>2516.3999999999996</v>
      </c>
    </row>
    <row r="446" spans="1:13" ht="24" customHeight="1" outlineLevel="2" x14ac:dyDescent="0.25">
      <c r="A446" s="11" t="str">
        <f>A445</f>
        <v>ЩО3ж (12 секция)</v>
      </c>
      <c r="B446" s="11" t="s">
        <v>10</v>
      </c>
      <c r="C446" s="11" t="s">
        <v>10</v>
      </c>
      <c r="D446" s="11" t="s">
        <v>10</v>
      </c>
      <c r="E446" s="11">
        <f ca="1">OFFSET(E446,1,2)</f>
        <v>6000</v>
      </c>
      <c r="F446" s="13">
        <f ca="1">E446</f>
        <v>6000</v>
      </c>
      <c r="G446" s="13">
        <f ca="1">F446*H446</f>
        <v>6000</v>
      </c>
      <c r="H446" s="11">
        <v>1</v>
      </c>
      <c r="I446" s="11" t="s">
        <v>13</v>
      </c>
      <c r="J446" s="11" t="s">
        <v>10</v>
      </c>
      <c r="K446">
        <v>6000</v>
      </c>
      <c r="L446">
        <f t="shared" si="277"/>
        <v>1</v>
      </c>
      <c r="M446" s="23">
        <f t="shared" ca="1" si="244"/>
        <v>6000</v>
      </c>
    </row>
    <row r="447" spans="1:13" ht="21" customHeight="1" outlineLevel="2" x14ac:dyDescent="0.25">
      <c r="A447" s="11" t="str">
        <f t="shared" ref="A447" si="281">A446</f>
        <v>ЩО3ж (12 секция)</v>
      </c>
      <c r="B447" s="11" t="s">
        <v>11</v>
      </c>
      <c r="C447" s="11" t="s">
        <v>11</v>
      </c>
      <c r="D447" s="11" t="s">
        <v>11</v>
      </c>
      <c r="E447" s="11">
        <v>1</v>
      </c>
      <c r="F447" s="13">
        <v>100</v>
      </c>
      <c r="G447" s="13">
        <f t="shared" ref="G447" si="282">F447*H447</f>
        <v>6000</v>
      </c>
      <c r="H447" s="11">
        <f>60*E447</f>
        <v>60</v>
      </c>
      <c r="I447" s="11" t="s">
        <v>13</v>
      </c>
      <c r="J447" s="11" t="s">
        <v>11</v>
      </c>
      <c r="K447">
        <v>6000</v>
      </c>
      <c r="L447">
        <f t="shared" si="277"/>
        <v>1</v>
      </c>
      <c r="M447" s="23">
        <f t="shared" si="244"/>
        <v>6000</v>
      </c>
    </row>
    <row r="448" spans="1:13" ht="21" customHeight="1" outlineLevel="1" x14ac:dyDescent="0.25">
      <c r="A448" s="11" t="s">
        <v>324</v>
      </c>
      <c r="B448" s="11"/>
      <c r="C448" s="11"/>
      <c r="D448" s="11"/>
      <c r="E448" s="11"/>
      <c r="F448" s="13"/>
      <c r="G448" s="13">
        <f ca="1">SUBTOTAL(9,G442:G447)</f>
        <v>22312.2</v>
      </c>
      <c r="H448" s="11"/>
      <c r="I448" s="11"/>
      <c r="J448" s="11"/>
      <c r="K448">
        <v>22312.2</v>
      </c>
      <c r="L448">
        <f t="shared" si="277"/>
        <v>1</v>
      </c>
      <c r="M448" s="23">
        <f t="shared" ca="1" si="244"/>
        <v>22312.2</v>
      </c>
    </row>
    <row r="449" spans="1:13" ht="39.75" customHeight="1" outlineLevel="2" x14ac:dyDescent="0.25">
      <c r="A449" s="4" t="str">
        <f>D449</f>
        <v>ЩАО3ж (12 секция)</v>
      </c>
      <c r="B449" s="5"/>
      <c r="C449" s="17"/>
      <c r="D449" s="5" t="s">
        <v>93</v>
      </c>
      <c r="E449" s="7"/>
      <c r="F449" s="7"/>
      <c r="G449" s="8"/>
      <c r="H449" s="9">
        <v>1</v>
      </c>
      <c r="I449" s="10" t="s">
        <v>7</v>
      </c>
      <c r="J449" s="5" t="s">
        <v>9</v>
      </c>
      <c r="L449">
        <f>H449</f>
        <v>1</v>
      </c>
      <c r="M449" s="23">
        <f t="shared" si="244"/>
        <v>0</v>
      </c>
    </row>
    <row r="450" spans="1:13" ht="21" customHeight="1" outlineLevel="2" x14ac:dyDescent="0.25">
      <c r="A450" s="11" t="str">
        <f>A449</f>
        <v>ЩАО3ж (12 секция)</v>
      </c>
      <c r="B450" s="12" t="s">
        <v>8</v>
      </c>
      <c r="C450" s="18" t="s">
        <v>254</v>
      </c>
      <c r="D450" s="11" t="s">
        <v>255</v>
      </c>
      <c r="E450" s="12">
        <v>10500</v>
      </c>
      <c r="F450" s="13">
        <f>0.6*E450</f>
        <v>6300</v>
      </c>
      <c r="G450" s="13">
        <f>H450*F450</f>
        <v>6300</v>
      </c>
      <c r="H450" s="14">
        <v>1</v>
      </c>
      <c r="I450" s="15" t="s">
        <v>13</v>
      </c>
      <c r="J450" s="12" t="s">
        <v>16</v>
      </c>
      <c r="K450">
        <v>6300</v>
      </c>
      <c r="L450">
        <f t="shared" ref="L450:L455" si="283">L449</f>
        <v>1</v>
      </c>
      <c r="M450" s="23">
        <f t="shared" si="244"/>
        <v>6300</v>
      </c>
    </row>
    <row r="451" spans="1:13" ht="21" customHeight="1" outlineLevel="2" x14ac:dyDescent="0.25">
      <c r="A451" s="11" t="str">
        <f t="shared" ref="A451:A452" si="284">A450</f>
        <v>ЩАО3ж (12 секция)</v>
      </c>
      <c r="B451" s="12" t="s">
        <v>64</v>
      </c>
      <c r="C451" s="18">
        <v>193180</v>
      </c>
      <c r="D451" s="11" t="s">
        <v>60</v>
      </c>
      <c r="E451" s="12">
        <v>2493</v>
      </c>
      <c r="F451" s="13">
        <f t="shared" ref="F451:F452" si="285">E451*0.6</f>
        <v>1495.8</v>
      </c>
      <c r="G451" s="13">
        <f t="shared" ref="G451:G452" si="286">F451*H451</f>
        <v>1495.8</v>
      </c>
      <c r="H451" s="14">
        <v>1</v>
      </c>
      <c r="I451" s="15" t="s">
        <v>13</v>
      </c>
      <c r="J451" s="12" t="s">
        <v>36</v>
      </c>
      <c r="K451">
        <v>1495.8</v>
      </c>
      <c r="L451">
        <f t="shared" si="283"/>
        <v>1</v>
      </c>
      <c r="M451" s="23">
        <f t="shared" ref="M451:M514" si="287">L451*G451</f>
        <v>1495.8</v>
      </c>
    </row>
    <row r="452" spans="1:13" ht="21" customHeight="1" outlineLevel="2" x14ac:dyDescent="0.25">
      <c r="A452" s="11" t="str">
        <f t="shared" si="284"/>
        <v>ЩАО3ж (12 секция)</v>
      </c>
      <c r="B452" s="12" t="s">
        <v>12</v>
      </c>
      <c r="C452" s="18">
        <v>296709</v>
      </c>
      <c r="D452" s="11" t="s">
        <v>196</v>
      </c>
      <c r="E452" s="12">
        <v>699</v>
      </c>
      <c r="F452" s="13">
        <f t="shared" si="285"/>
        <v>419.4</v>
      </c>
      <c r="G452" s="13">
        <f t="shared" si="286"/>
        <v>1258.1999999999998</v>
      </c>
      <c r="H452" s="14">
        <v>3</v>
      </c>
      <c r="I452" s="15" t="s">
        <v>13</v>
      </c>
      <c r="J452" s="12" t="s">
        <v>36</v>
      </c>
      <c r="K452">
        <v>1258.1999999999998</v>
      </c>
      <c r="L452">
        <f t="shared" si="283"/>
        <v>1</v>
      </c>
      <c r="M452" s="23">
        <f t="shared" si="287"/>
        <v>1258.1999999999998</v>
      </c>
    </row>
    <row r="453" spans="1:13" ht="24" customHeight="1" outlineLevel="2" x14ac:dyDescent="0.25">
      <c r="A453" s="11" t="str">
        <f>A452</f>
        <v>ЩАО3ж (12 секция)</v>
      </c>
      <c r="B453" s="11" t="s">
        <v>10</v>
      </c>
      <c r="C453" s="11" t="s">
        <v>10</v>
      </c>
      <c r="D453" s="11" t="s">
        <v>10</v>
      </c>
      <c r="E453" s="11">
        <f ca="1">OFFSET(E453,1,2)</f>
        <v>6000</v>
      </c>
      <c r="F453" s="13">
        <f ca="1">E453</f>
        <v>6000</v>
      </c>
      <c r="G453" s="13">
        <f ca="1">F453*H453</f>
        <v>6000</v>
      </c>
      <c r="H453" s="11">
        <v>1</v>
      </c>
      <c r="I453" s="11" t="s">
        <v>13</v>
      </c>
      <c r="J453" s="11" t="s">
        <v>10</v>
      </c>
      <c r="K453">
        <v>6000</v>
      </c>
      <c r="L453">
        <f t="shared" si="283"/>
        <v>1</v>
      </c>
      <c r="M453" s="23">
        <f t="shared" ca="1" si="287"/>
        <v>6000</v>
      </c>
    </row>
    <row r="454" spans="1:13" ht="21" customHeight="1" outlineLevel="2" x14ac:dyDescent="0.25">
      <c r="A454" s="11" t="str">
        <f t="shared" ref="A454" si="288">A453</f>
        <v>ЩАО3ж (12 секция)</v>
      </c>
      <c r="B454" s="11" t="s">
        <v>11</v>
      </c>
      <c r="C454" s="11" t="s">
        <v>11</v>
      </c>
      <c r="D454" s="11" t="s">
        <v>11</v>
      </c>
      <c r="E454" s="11">
        <v>1</v>
      </c>
      <c r="F454" s="13">
        <v>100</v>
      </c>
      <c r="G454" s="13">
        <f t="shared" ref="G454" si="289">F454*H454</f>
        <v>6000</v>
      </c>
      <c r="H454" s="11">
        <f>60*E454</f>
        <v>60</v>
      </c>
      <c r="I454" s="11" t="s">
        <v>13</v>
      </c>
      <c r="J454" s="11" t="s">
        <v>11</v>
      </c>
      <c r="K454">
        <v>6000</v>
      </c>
      <c r="L454">
        <f t="shared" si="283"/>
        <v>1</v>
      </c>
      <c r="M454" s="23">
        <f t="shared" si="287"/>
        <v>6000</v>
      </c>
    </row>
    <row r="455" spans="1:13" ht="21" customHeight="1" outlineLevel="1" x14ac:dyDescent="0.25">
      <c r="A455" s="11" t="s">
        <v>325</v>
      </c>
      <c r="B455" s="11"/>
      <c r="C455" s="11"/>
      <c r="D455" s="11"/>
      <c r="E455" s="11"/>
      <c r="F455" s="13"/>
      <c r="G455" s="13">
        <f ca="1">SUBTOTAL(9,G449:G454)</f>
        <v>21054</v>
      </c>
      <c r="H455" s="11"/>
      <c r="I455" s="11"/>
      <c r="J455" s="11"/>
      <c r="K455">
        <v>21054</v>
      </c>
      <c r="L455">
        <f t="shared" si="283"/>
        <v>1</v>
      </c>
      <c r="M455" s="23">
        <f t="shared" ca="1" si="287"/>
        <v>21054</v>
      </c>
    </row>
    <row r="456" spans="1:13" ht="39.75" customHeight="1" outlineLevel="2" x14ac:dyDescent="0.25">
      <c r="A456" s="4" t="str">
        <f>D456</f>
        <v>Шкаф ЯРП-Инд (ЯРВ-100А) 460х250х145  IP31(12 секция)</v>
      </c>
      <c r="B456" s="5"/>
      <c r="C456" s="17"/>
      <c r="D456" s="5" t="s">
        <v>94</v>
      </c>
      <c r="E456" s="7"/>
      <c r="F456" s="7"/>
      <c r="G456" s="8"/>
      <c r="H456" s="9">
        <v>1</v>
      </c>
      <c r="I456" s="10" t="s">
        <v>7</v>
      </c>
      <c r="J456" s="5" t="s">
        <v>9</v>
      </c>
      <c r="L456">
        <f>H456</f>
        <v>1</v>
      </c>
      <c r="M456" s="23">
        <f t="shared" si="287"/>
        <v>0</v>
      </c>
    </row>
    <row r="457" spans="1:13" ht="39.75" customHeight="1" outlineLevel="1" x14ac:dyDescent="0.25">
      <c r="A457" s="4" t="s">
        <v>326</v>
      </c>
      <c r="B457" s="5"/>
      <c r="C457" s="17"/>
      <c r="D457" s="5"/>
      <c r="E457" s="7"/>
      <c r="F457" s="7"/>
      <c r="G457" s="8">
        <f>SUBTOTAL(9,G456:G456)</f>
        <v>0</v>
      </c>
      <c r="H457" s="9"/>
      <c r="I457" s="10"/>
      <c r="J457" s="5"/>
      <c r="K457">
        <v>0</v>
      </c>
      <c r="L457">
        <f>L456</f>
        <v>1</v>
      </c>
      <c r="M457" s="23">
        <f t="shared" si="287"/>
        <v>0</v>
      </c>
    </row>
    <row r="458" spans="1:13" ht="39.75" customHeight="1" outlineLevel="2" x14ac:dyDescent="0.25">
      <c r="A458" s="4" t="str">
        <f>D458</f>
        <v>ЩУ-Т1 (12 секция)</v>
      </c>
      <c r="B458" s="5"/>
      <c r="C458" s="17"/>
      <c r="D458" s="5" t="s">
        <v>95</v>
      </c>
      <c r="E458" s="7"/>
      <c r="F458" s="7"/>
      <c r="G458" s="8"/>
      <c r="H458" s="9">
        <v>1</v>
      </c>
      <c r="I458" s="10" t="s">
        <v>7</v>
      </c>
      <c r="J458" s="5" t="s">
        <v>9</v>
      </c>
      <c r="L458">
        <f>H458</f>
        <v>1</v>
      </c>
      <c r="M458" s="23">
        <f t="shared" si="287"/>
        <v>0</v>
      </c>
    </row>
    <row r="459" spans="1:13" ht="21" customHeight="1" outlineLevel="2" x14ac:dyDescent="0.25">
      <c r="A459" s="11" t="str">
        <f>A458</f>
        <v>ЩУ-Т1 (12 секция)</v>
      </c>
      <c r="B459" s="12" t="s">
        <v>8</v>
      </c>
      <c r="C459" s="18" t="s">
        <v>254</v>
      </c>
      <c r="D459" s="11" t="s">
        <v>255</v>
      </c>
      <c r="E459" s="12">
        <v>10500</v>
      </c>
      <c r="F459" s="13">
        <f>0.6*E459</f>
        <v>6300</v>
      </c>
      <c r="G459" s="13">
        <f>H459*F459</f>
        <v>6300</v>
      </c>
      <c r="H459" s="14">
        <v>1</v>
      </c>
      <c r="I459" s="15" t="s">
        <v>13</v>
      </c>
      <c r="J459" s="12" t="s">
        <v>16</v>
      </c>
      <c r="K459">
        <v>6300</v>
      </c>
      <c r="L459">
        <f t="shared" ref="L459:L467" si="290">L458</f>
        <v>1</v>
      </c>
      <c r="M459" s="23">
        <f t="shared" si="287"/>
        <v>6300</v>
      </c>
    </row>
    <row r="460" spans="1:13" ht="21" customHeight="1" outlineLevel="2" x14ac:dyDescent="0.25">
      <c r="A460" s="11" t="str">
        <f t="shared" ref="A460:A463" si="291">A459</f>
        <v>ЩУ-Т1 (12 секция)</v>
      </c>
      <c r="B460" s="12" t="s">
        <v>18</v>
      </c>
      <c r="C460" s="18">
        <v>105542</v>
      </c>
      <c r="D460" s="11" t="s">
        <v>65</v>
      </c>
      <c r="E460" s="12">
        <v>3513</v>
      </c>
      <c r="F460" s="13">
        <f t="shared" ref="F460:F463" si="292">E460*0.6</f>
        <v>2107.7999999999997</v>
      </c>
      <c r="G460" s="13">
        <f t="shared" ref="G460:G464" si="293">F460*H460</f>
        <v>2107.7999999999997</v>
      </c>
      <c r="H460" s="14">
        <v>1</v>
      </c>
      <c r="I460" s="15" t="s">
        <v>13</v>
      </c>
      <c r="J460" s="12" t="s">
        <v>36</v>
      </c>
      <c r="K460">
        <v>2107.7999999999997</v>
      </c>
      <c r="L460">
        <f t="shared" si="290"/>
        <v>1</v>
      </c>
      <c r="M460" s="23">
        <f t="shared" si="287"/>
        <v>2107.7999999999997</v>
      </c>
    </row>
    <row r="461" spans="1:13" ht="21" customHeight="1" outlineLevel="2" x14ac:dyDescent="0.25">
      <c r="A461" s="11" t="str">
        <f t="shared" si="291"/>
        <v>ЩУ-Т1 (12 секция)</v>
      </c>
      <c r="B461" s="12" t="s">
        <v>12</v>
      </c>
      <c r="C461" s="18"/>
      <c r="D461" s="11" t="s">
        <v>198</v>
      </c>
      <c r="E461" s="16">
        <v>1660</v>
      </c>
      <c r="F461" s="13">
        <f t="shared" si="292"/>
        <v>996</v>
      </c>
      <c r="G461" s="13">
        <f t="shared" si="293"/>
        <v>996</v>
      </c>
      <c r="H461" s="14">
        <v>1</v>
      </c>
      <c r="I461" s="15" t="s">
        <v>13</v>
      </c>
      <c r="J461" s="12" t="s">
        <v>36</v>
      </c>
      <c r="K461">
        <v>996</v>
      </c>
      <c r="L461">
        <f t="shared" si="290"/>
        <v>1</v>
      </c>
      <c r="M461" s="23">
        <f t="shared" si="287"/>
        <v>996</v>
      </c>
    </row>
    <row r="462" spans="1:13" ht="21" customHeight="1" outlineLevel="2" x14ac:dyDescent="0.25">
      <c r="A462" s="11" t="str">
        <f t="shared" si="291"/>
        <v>ЩУ-Т1 (12 секция)</v>
      </c>
      <c r="B462" s="12" t="s">
        <v>12</v>
      </c>
      <c r="C462" s="18">
        <v>296708</v>
      </c>
      <c r="D462" s="11" t="s">
        <v>31</v>
      </c>
      <c r="E462" s="12">
        <v>828</v>
      </c>
      <c r="F462" s="13">
        <f t="shared" si="292"/>
        <v>496.79999999999995</v>
      </c>
      <c r="G462" s="13">
        <f t="shared" si="293"/>
        <v>496.79999999999995</v>
      </c>
      <c r="H462" s="14">
        <v>1</v>
      </c>
      <c r="I462" s="15" t="s">
        <v>13</v>
      </c>
      <c r="J462" s="12" t="s">
        <v>36</v>
      </c>
      <c r="K462">
        <v>496.79999999999995</v>
      </c>
      <c r="L462">
        <f t="shared" si="290"/>
        <v>1</v>
      </c>
      <c r="M462" s="23">
        <f t="shared" si="287"/>
        <v>496.79999999999995</v>
      </c>
    </row>
    <row r="463" spans="1:13" ht="21" customHeight="1" outlineLevel="2" x14ac:dyDescent="0.25">
      <c r="A463" s="11" t="str">
        <f t="shared" si="291"/>
        <v>ЩУ-Т1 (12 секция)</v>
      </c>
      <c r="B463" s="12" t="s">
        <v>21</v>
      </c>
      <c r="C463" s="18" t="s">
        <v>70</v>
      </c>
      <c r="D463" s="11" t="s">
        <v>69</v>
      </c>
      <c r="E463" s="12">
        <v>3505</v>
      </c>
      <c r="F463" s="13">
        <f t="shared" si="292"/>
        <v>2103</v>
      </c>
      <c r="G463" s="13">
        <f t="shared" si="293"/>
        <v>2103</v>
      </c>
      <c r="H463" s="14">
        <v>1</v>
      </c>
      <c r="I463" s="15" t="s">
        <v>13</v>
      </c>
      <c r="J463" s="12" t="s">
        <v>36</v>
      </c>
      <c r="K463">
        <v>2103</v>
      </c>
      <c r="L463">
        <f t="shared" si="290"/>
        <v>1</v>
      </c>
      <c r="M463" s="23">
        <f t="shared" si="287"/>
        <v>2103</v>
      </c>
    </row>
    <row r="464" spans="1:13" ht="21" customHeight="1" outlineLevel="2" x14ac:dyDescent="0.25">
      <c r="A464" s="11" t="str">
        <f>A460</f>
        <v>ЩУ-Т1 (12 секция)</v>
      </c>
      <c r="B464" s="12" t="s">
        <v>71</v>
      </c>
      <c r="C464" s="18" t="s">
        <v>264</v>
      </c>
      <c r="D464" s="11" t="s">
        <v>263</v>
      </c>
      <c r="E464" s="16">
        <v>19505</v>
      </c>
      <c r="F464" s="13">
        <f>E464</f>
        <v>19505</v>
      </c>
      <c r="G464" s="13">
        <f t="shared" si="293"/>
        <v>19505</v>
      </c>
      <c r="H464" s="14">
        <v>1</v>
      </c>
      <c r="I464" s="15" t="s">
        <v>13</v>
      </c>
      <c r="J464" s="12" t="s">
        <v>20</v>
      </c>
      <c r="K464">
        <v>19505</v>
      </c>
      <c r="L464">
        <f t="shared" si="290"/>
        <v>1</v>
      </c>
      <c r="M464" s="23">
        <f t="shared" si="287"/>
        <v>19505</v>
      </c>
    </row>
    <row r="465" spans="1:13" ht="24" customHeight="1" outlineLevel="2" x14ac:dyDescent="0.25">
      <c r="A465" s="11" t="str">
        <f>A461</f>
        <v>ЩУ-Т1 (12 секция)</v>
      </c>
      <c r="B465" s="11" t="s">
        <v>10</v>
      </c>
      <c r="C465" s="11" t="s">
        <v>10</v>
      </c>
      <c r="D465" s="11" t="s">
        <v>10</v>
      </c>
      <c r="E465" s="11">
        <f ca="1">OFFSET(E465,1,2)</f>
        <v>6000</v>
      </c>
      <c r="F465" s="13">
        <f ca="1">E465</f>
        <v>6000</v>
      </c>
      <c r="G465" s="13">
        <f ca="1">F465*H465</f>
        <v>6000</v>
      </c>
      <c r="H465" s="11">
        <v>1</v>
      </c>
      <c r="I465" s="11" t="s">
        <v>13</v>
      </c>
      <c r="J465" s="11" t="s">
        <v>10</v>
      </c>
      <c r="K465">
        <v>6000</v>
      </c>
      <c r="L465">
        <f t="shared" si="290"/>
        <v>1</v>
      </c>
      <c r="M465" s="23">
        <f t="shared" ca="1" si="287"/>
        <v>6000</v>
      </c>
    </row>
    <row r="466" spans="1:13" ht="21" customHeight="1" outlineLevel="2" x14ac:dyDescent="0.25">
      <c r="A466" s="11" t="str">
        <f t="shared" ref="A466" si="294">A465</f>
        <v>ЩУ-Т1 (12 секция)</v>
      </c>
      <c r="B466" s="11" t="s">
        <v>11</v>
      </c>
      <c r="C466" s="11" t="s">
        <v>11</v>
      </c>
      <c r="D466" s="11" t="s">
        <v>11</v>
      </c>
      <c r="E466" s="11">
        <v>1</v>
      </c>
      <c r="F466" s="13">
        <v>100</v>
      </c>
      <c r="G466" s="13">
        <f t="shared" ref="G466" si="295">F466*H466</f>
        <v>6000</v>
      </c>
      <c r="H466" s="11">
        <f>60*E466</f>
        <v>60</v>
      </c>
      <c r="I466" s="11" t="s">
        <v>13</v>
      </c>
      <c r="J466" s="11" t="s">
        <v>11</v>
      </c>
      <c r="K466">
        <v>6000</v>
      </c>
      <c r="L466">
        <f t="shared" si="290"/>
        <v>1</v>
      </c>
      <c r="M466" s="23">
        <f t="shared" si="287"/>
        <v>6000</v>
      </c>
    </row>
    <row r="467" spans="1:13" ht="21" customHeight="1" outlineLevel="1" x14ac:dyDescent="0.25">
      <c r="A467" s="11" t="s">
        <v>327</v>
      </c>
      <c r="B467" s="11"/>
      <c r="C467" s="11"/>
      <c r="D467" s="11"/>
      <c r="E467" s="11"/>
      <c r="F467" s="13"/>
      <c r="G467" s="13">
        <f ca="1">SUBTOTAL(9,G458:G466)</f>
        <v>43508.6</v>
      </c>
      <c r="H467" s="11"/>
      <c r="I467" s="11"/>
      <c r="J467" s="11"/>
      <c r="K467">
        <v>43508.6</v>
      </c>
      <c r="L467">
        <f t="shared" si="290"/>
        <v>1</v>
      </c>
      <c r="M467" s="23">
        <f t="shared" ca="1" si="287"/>
        <v>43508.6</v>
      </c>
    </row>
    <row r="468" spans="1:13" ht="39.75" customHeight="1" outlineLevel="2" x14ac:dyDescent="0.25">
      <c r="A468" s="4" t="str">
        <f>D468</f>
        <v>ВЩж-13 (ВРУ1-13-20УХЛ) (13 секция)</v>
      </c>
      <c r="B468" s="5"/>
      <c r="C468" s="17"/>
      <c r="D468" s="5" t="s">
        <v>177</v>
      </c>
      <c r="E468" s="7"/>
      <c r="F468" s="7"/>
      <c r="G468" s="8"/>
      <c r="H468" s="9">
        <v>1</v>
      </c>
      <c r="I468" s="10" t="s">
        <v>7</v>
      </c>
      <c r="J468" s="5" t="s">
        <v>9</v>
      </c>
      <c r="L468">
        <f>H468</f>
        <v>1</v>
      </c>
      <c r="M468" s="23">
        <f t="shared" si="287"/>
        <v>0</v>
      </c>
    </row>
    <row r="469" spans="1:13" ht="21" customHeight="1" outlineLevel="2" x14ac:dyDescent="0.25">
      <c r="A469" s="11" t="str">
        <f>A468</f>
        <v>ВЩж-13 (ВРУ1-13-20УХЛ) (13 секция)</v>
      </c>
      <c r="B469" s="12" t="s">
        <v>8</v>
      </c>
      <c r="C469" s="18" t="s">
        <v>250</v>
      </c>
      <c r="D469" s="11" t="s">
        <v>251</v>
      </c>
      <c r="E469" s="12">
        <v>160000</v>
      </c>
      <c r="F469" s="13">
        <f>0.6*E469</f>
        <v>96000</v>
      </c>
      <c r="G469" s="13">
        <f>H469*F469</f>
        <v>96000</v>
      </c>
      <c r="H469" s="14">
        <v>1</v>
      </c>
      <c r="I469" s="15" t="s">
        <v>13</v>
      </c>
      <c r="J469" s="12" t="s">
        <v>16</v>
      </c>
      <c r="K469">
        <v>96000</v>
      </c>
      <c r="L469">
        <f t="shared" ref="L469:L481" si="296">L468</f>
        <v>1</v>
      </c>
      <c r="M469" s="23">
        <f t="shared" si="287"/>
        <v>96000</v>
      </c>
    </row>
    <row r="470" spans="1:13" ht="21" customHeight="1" outlineLevel="2" x14ac:dyDescent="0.25">
      <c r="A470" s="11" t="str">
        <f t="shared" ref="A470:A480" si="297">A469</f>
        <v>ВЩж-13 (ВРУ1-13-20УХЛ) (13 секция)</v>
      </c>
      <c r="B470" s="12" t="s">
        <v>43</v>
      </c>
      <c r="C470" s="18" t="s">
        <v>41</v>
      </c>
      <c r="D470" s="11" t="s">
        <v>42</v>
      </c>
      <c r="E470" s="12">
        <v>29135</v>
      </c>
      <c r="F470" s="13">
        <f t="shared" ref="F470:F472" si="298">E470</f>
        <v>29135</v>
      </c>
      <c r="G470" s="13">
        <f>F470*H470</f>
        <v>58270</v>
      </c>
      <c r="H470" s="14">
        <v>2</v>
      </c>
      <c r="I470" s="15" t="s">
        <v>13</v>
      </c>
      <c r="J470" s="12" t="s">
        <v>20</v>
      </c>
      <c r="K470">
        <v>58270</v>
      </c>
      <c r="L470">
        <f t="shared" si="296"/>
        <v>1</v>
      </c>
      <c r="M470" s="23">
        <f t="shared" si="287"/>
        <v>58270</v>
      </c>
    </row>
    <row r="471" spans="1:13" ht="21" customHeight="1" outlineLevel="2" x14ac:dyDescent="0.25">
      <c r="A471" s="11" t="str">
        <f t="shared" si="297"/>
        <v>ВЩж-13 (ВРУ1-13-20УХЛ) (13 секция)</v>
      </c>
      <c r="B471" s="12" t="s">
        <v>44</v>
      </c>
      <c r="C471" s="18" t="s">
        <v>269</v>
      </c>
      <c r="D471" s="11" t="s">
        <v>270</v>
      </c>
      <c r="E471" s="12">
        <v>6500</v>
      </c>
      <c r="F471" s="13">
        <f t="shared" si="298"/>
        <v>6500</v>
      </c>
      <c r="G471" s="13">
        <f t="shared" ref="G471:G478" si="299">F471*H471</f>
        <v>19500</v>
      </c>
      <c r="H471" s="14">
        <v>3</v>
      </c>
      <c r="I471" s="15" t="s">
        <v>13</v>
      </c>
      <c r="J471" s="12" t="s">
        <v>20</v>
      </c>
      <c r="K471">
        <v>19500</v>
      </c>
      <c r="L471">
        <f t="shared" si="296"/>
        <v>1</v>
      </c>
      <c r="M471" s="23">
        <f t="shared" si="287"/>
        <v>19500</v>
      </c>
    </row>
    <row r="472" spans="1:13" ht="21" customHeight="1" outlineLevel="2" x14ac:dyDescent="0.25">
      <c r="A472" s="11" t="str">
        <f t="shared" si="297"/>
        <v>ВЩж-13 (ВРУ1-13-20УХЛ) (13 секция)</v>
      </c>
      <c r="B472" s="12" t="s">
        <v>44</v>
      </c>
      <c r="C472" s="18" t="s">
        <v>265</v>
      </c>
      <c r="D472" s="11" t="s">
        <v>266</v>
      </c>
      <c r="E472" s="12">
        <v>6500</v>
      </c>
      <c r="F472" s="13">
        <f t="shared" si="298"/>
        <v>6500</v>
      </c>
      <c r="G472" s="13">
        <f t="shared" si="299"/>
        <v>19500</v>
      </c>
      <c r="H472" s="14">
        <v>3</v>
      </c>
      <c r="I472" s="15" t="s">
        <v>13</v>
      </c>
      <c r="J472" s="12" t="s">
        <v>20</v>
      </c>
      <c r="K472">
        <v>19500</v>
      </c>
      <c r="L472">
        <f t="shared" si="296"/>
        <v>1</v>
      </c>
      <c r="M472" s="23">
        <f t="shared" si="287"/>
        <v>19500</v>
      </c>
    </row>
    <row r="473" spans="1:13" ht="21" customHeight="1" outlineLevel="2" x14ac:dyDescent="0.25">
      <c r="A473" s="11" t="str">
        <f t="shared" si="297"/>
        <v>ВЩж-13 (ВРУ1-13-20УХЛ) (13 секция)</v>
      </c>
      <c r="B473" s="12" t="s">
        <v>134</v>
      </c>
      <c r="C473" s="18" t="s">
        <v>178</v>
      </c>
      <c r="D473" s="11" t="s">
        <v>179</v>
      </c>
      <c r="E473" s="12">
        <v>4969</v>
      </c>
      <c r="F473" s="13">
        <f t="shared" ref="F473:F476" si="300">E473*0.6</f>
        <v>2981.4</v>
      </c>
      <c r="G473" s="13">
        <f t="shared" si="299"/>
        <v>8944.2000000000007</v>
      </c>
      <c r="H473" s="14">
        <v>3</v>
      </c>
      <c r="I473" s="15" t="s">
        <v>13</v>
      </c>
      <c r="J473" s="12" t="s">
        <v>206</v>
      </c>
      <c r="K473">
        <v>8944.2000000000007</v>
      </c>
      <c r="L473">
        <f t="shared" si="296"/>
        <v>1</v>
      </c>
      <c r="M473" s="23">
        <f t="shared" si="287"/>
        <v>8944.2000000000007</v>
      </c>
    </row>
    <row r="474" spans="1:13" ht="21" customHeight="1" outlineLevel="2" x14ac:dyDescent="0.25">
      <c r="A474" s="11" t="str">
        <f t="shared" si="297"/>
        <v>ВЩж-13 (ВРУ1-13-20УХЛ) (13 секция)</v>
      </c>
      <c r="B474" s="12" t="s">
        <v>134</v>
      </c>
      <c r="C474" s="18" t="s">
        <v>155</v>
      </c>
      <c r="D474" s="11" t="s">
        <v>156</v>
      </c>
      <c r="E474" s="12">
        <v>3302</v>
      </c>
      <c r="F474" s="13">
        <f t="shared" si="300"/>
        <v>1981.1999999999998</v>
      </c>
      <c r="G474" s="13">
        <f t="shared" si="299"/>
        <v>5943.5999999999995</v>
      </c>
      <c r="H474" s="14">
        <v>3</v>
      </c>
      <c r="I474" s="15" t="s">
        <v>13</v>
      </c>
      <c r="J474" s="12" t="s">
        <v>206</v>
      </c>
      <c r="K474">
        <v>5943.5999999999995</v>
      </c>
      <c r="L474">
        <f t="shared" si="296"/>
        <v>1</v>
      </c>
      <c r="M474" s="23">
        <f t="shared" si="287"/>
        <v>5943.5999999999995</v>
      </c>
    </row>
    <row r="475" spans="1:13" ht="21" customHeight="1" outlineLevel="2" x14ac:dyDescent="0.25">
      <c r="A475" s="11" t="str">
        <f t="shared" si="297"/>
        <v>ВЩж-13 (ВРУ1-13-20УХЛ) (13 секция)</v>
      </c>
      <c r="B475" s="12" t="s">
        <v>134</v>
      </c>
      <c r="C475" s="18" t="s">
        <v>180</v>
      </c>
      <c r="D475" s="11" t="s">
        <v>181</v>
      </c>
      <c r="E475" s="12">
        <v>7443</v>
      </c>
      <c r="F475" s="13">
        <f t="shared" si="300"/>
        <v>4465.8</v>
      </c>
      <c r="G475" s="13">
        <f t="shared" ref="G475:G476" si="301">F475*H475</f>
        <v>13397.400000000001</v>
      </c>
      <c r="H475" s="14">
        <v>3</v>
      </c>
      <c r="I475" s="15" t="s">
        <v>13</v>
      </c>
      <c r="J475" s="12" t="s">
        <v>206</v>
      </c>
      <c r="K475">
        <v>13397.400000000001</v>
      </c>
      <c r="L475">
        <f t="shared" si="296"/>
        <v>1</v>
      </c>
      <c r="M475" s="23">
        <f t="shared" si="287"/>
        <v>13397.400000000001</v>
      </c>
    </row>
    <row r="476" spans="1:13" ht="21" customHeight="1" outlineLevel="2" x14ac:dyDescent="0.25">
      <c r="A476" s="11" t="str">
        <f t="shared" si="297"/>
        <v>ВЩж-13 (ВРУ1-13-20УХЛ) (13 секция)</v>
      </c>
      <c r="B476" s="12" t="s">
        <v>134</v>
      </c>
      <c r="C476" s="18" t="s">
        <v>157</v>
      </c>
      <c r="D476" s="11" t="s">
        <v>158</v>
      </c>
      <c r="E476" s="12">
        <v>4750</v>
      </c>
      <c r="F476" s="13">
        <f t="shared" si="300"/>
        <v>2850</v>
      </c>
      <c r="G476" s="13">
        <f t="shared" si="301"/>
        <v>8550</v>
      </c>
      <c r="H476" s="14">
        <v>3</v>
      </c>
      <c r="I476" s="15" t="s">
        <v>13</v>
      </c>
      <c r="J476" s="12" t="s">
        <v>206</v>
      </c>
      <c r="K476">
        <v>8550</v>
      </c>
      <c r="L476">
        <f t="shared" si="296"/>
        <v>1</v>
      </c>
      <c r="M476" s="23">
        <f t="shared" si="287"/>
        <v>8550</v>
      </c>
    </row>
    <row r="477" spans="1:13" ht="21" customHeight="1" outlineLevel="2" x14ac:dyDescent="0.25">
      <c r="A477" s="11" t="str">
        <f>A474</f>
        <v>ВЩж-13 (ВРУ1-13-20УХЛ) (13 секция)</v>
      </c>
      <c r="B477" s="12" t="s">
        <v>45</v>
      </c>
      <c r="C477" s="18" t="s">
        <v>241</v>
      </c>
      <c r="D477" s="11" t="s">
        <v>242</v>
      </c>
      <c r="E477" s="12">
        <v>290</v>
      </c>
      <c r="F477" s="13">
        <f>E477*0.6</f>
        <v>174</v>
      </c>
      <c r="G477" s="13">
        <f t="shared" si="299"/>
        <v>348</v>
      </c>
      <c r="H477" s="14">
        <v>2</v>
      </c>
      <c r="I477" s="15" t="s">
        <v>13</v>
      </c>
      <c r="J477" s="12" t="s">
        <v>236</v>
      </c>
      <c r="K477">
        <v>348</v>
      </c>
      <c r="L477">
        <f t="shared" si="296"/>
        <v>1</v>
      </c>
      <c r="M477" s="23">
        <f t="shared" si="287"/>
        <v>348</v>
      </c>
    </row>
    <row r="478" spans="1:13" ht="21" customHeight="1" outlineLevel="2" x14ac:dyDescent="0.25">
      <c r="A478" s="11" t="str">
        <f>A475</f>
        <v>ВЩж-13 (ВРУ1-13-20УХЛ) (13 секция)</v>
      </c>
      <c r="B478" s="12" t="s">
        <v>47</v>
      </c>
      <c r="C478" s="18" t="s">
        <v>233</v>
      </c>
      <c r="D478" s="11" t="s">
        <v>234</v>
      </c>
      <c r="E478" s="12">
        <v>664</v>
      </c>
      <c r="F478" s="13">
        <f>E478</f>
        <v>664</v>
      </c>
      <c r="G478" s="13">
        <f t="shared" si="299"/>
        <v>3984</v>
      </c>
      <c r="H478" s="14">
        <v>6</v>
      </c>
      <c r="I478" s="15" t="s">
        <v>235</v>
      </c>
      <c r="J478" s="12" t="s">
        <v>20</v>
      </c>
      <c r="K478">
        <v>3984</v>
      </c>
      <c r="L478">
        <f t="shared" si="296"/>
        <v>1</v>
      </c>
      <c r="M478" s="23">
        <f t="shared" si="287"/>
        <v>3984</v>
      </c>
    </row>
    <row r="479" spans="1:13" ht="24" customHeight="1" outlineLevel="2" x14ac:dyDescent="0.25">
      <c r="A479" s="11" t="str">
        <f>A477</f>
        <v>ВЩж-13 (ВРУ1-13-20УХЛ) (13 секция)</v>
      </c>
      <c r="B479" s="11" t="s">
        <v>10</v>
      </c>
      <c r="C479" s="11" t="s">
        <v>10</v>
      </c>
      <c r="D479" s="11" t="s">
        <v>10</v>
      </c>
      <c r="E479" s="11">
        <f ca="1">OFFSET(E479,1,2)</f>
        <v>30000</v>
      </c>
      <c r="F479" s="13">
        <f ca="1">E479</f>
        <v>30000</v>
      </c>
      <c r="G479" s="13">
        <f ca="1">F479*H479</f>
        <v>30000</v>
      </c>
      <c r="H479" s="11">
        <v>1</v>
      </c>
      <c r="I479" s="11" t="s">
        <v>13</v>
      </c>
      <c r="J479" s="11" t="s">
        <v>10</v>
      </c>
      <c r="K479">
        <v>30000</v>
      </c>
      <c r="L479">
        <f t="shared" si="296"/>
        <v>1</v>
      </c>
      <c r="M479" s="23">
        <f t="shared" ca="1" si="287"/>
        <v>30000</v>
      </c>
    </row>
    <row r="480" spans="1:13" ht="21" customHeight="1" outlineLevel="2" x14ac:dyDescent="0.25">
      <c r="A480" s="11" t="str">
        <f t="shared" si="297"/>
        <v>ВЩж-13 (ВРУ1-13-20УХЛ) (13 секция)</v>
      </c>
      <c r="B480" s="11" t="s">
        <v>11</v>
      </c>
      <c r="C480" s="11" t="s">
        <v>11</v>
      </c>
      <c r="D480" s="11" t="s">
        <v>11</v>
      </c>
      <c r="E480" s="11">
        <v>5</v>
      </c>
      <c r="F480" s="13">
        <v>100</v>
      </c>
      <c r="G480" s="13">
        <f t="shared" ref="G480" si="302">F480*H480</f>
        <v>30000</v>
      </c>
      <c r="H480" s="11">
        <f>60*E480</f>
        <v>300</v>
      </c>
      <c r="I480" s="11" t="s">
        <v>13</v>
      </c>
      <c r="J480" s="11" t="s">
        <v>11</v>
      </c>
      <c r="K480">
        <v>30000</v>
      </c>
      <c r="L480">
        <f t="shared" si="296"/>
        <v>1</v>
      </c>
      <c r="M480" s="23">
        <f t="shared" si="287"/>
        <v>30000</v>
      </c>
    </row>
    <row r="481" spans="1:13" ht="21" customHeight="1" outlineLevel="1" x14ac:dyDescent="0.25">
      <c r="A481" s="11" t="s">
        <v>328</v>
      </c>
      <c r="B481" s="11"/>
      <c r="C481" s="11"/>
      <c r="D481" s="11"/>
      <c r="E481" s="11"/>
      <c r="F481" s="13"/>
      <c r="G481" s="13">
        <f ca="1">SUBTOTAL(9,G468:G480)</f>
        <v>294437.2</v>
      </c>
      <c r="H481" s="11"/>
      <c r="I481" s="11"/>
      <c r="J481" s="11"/>
      <c r="K481">
        <v>294437.2</v>
      </c>
      <c r="L481">
        <f t="shared" si="296"/>
        <v>1</v>
      </c>
      <c r="M481" s="23">
        <f t="shared" ca="1" si="287"/>
        <v>294437.2</v>
      </c>
    </row>
    <row r="482" spans="1:13" ht="39.75" customHeight="1" outlineLevel="2" x14ac:dyDescent="0.25">
      <c r="A482" s="4" t="str">
        <f>D482</f>
        <v xml:space="preserve">РЩж-13 (ВРУ1-13-20УХЛ) (13 секция) </v>
      </c>
      <c r="B482" s="5"/>
      <c r="C482" s="17"/>
      <c r="D482" s="5" t="s">
        <v>182</v>
      </c>
      <c r="E482" s="7"/>
      <c r="F482" s="7"/>
      <c r="G482" s="8"/>
      <c r="H482" s="9">
        <v>1</v>
      </c>
      <c r="I482" s="10" t="s">
        <v>7</v>
      </c>
      <c r="J482" s="5" t="s">
        <v>9</v>
      </c>
      <c r="L482">
        <f>H482</f>
        <v>1</v>
      </c>
      <c r="M482" s="23">
        <f t="shared" si="287"/>
        <v>0</v>
      </c>
    </row>
    <row r="483" spans="1:13" ht="21" customHeight="1" outlineLevel="2" x14ac:dyDescent="0.25">
      <c r="A483" s="11" t="str">
        <f>A482</f>
        <v xml:space="preserve">РЩж-13 (ВРУ1-13-20УХЛ) (13 секция) </v>
      </c>
      <c r="B483" s="12" t="s">
        <v>8</v>
      </c>
      <c r="C483" s="18" t="s">
        <v>250</v>
      </c>
      <c r="D483" s="11" t="s">
        <v>251</v>
      </c>
      <c r="E483" s="12">
        <v>170000</v>
      </c>
      <c r="F483" s="13">
        <f>0.6*E483</f>
        <v>102000</v>
      </c>
      <c r="G483" s="13">
        <f>H483*F483</f>
        <v>102000</v>
      </c>
      <c r="H483" s="14">
        <v>1</v>
      </c>
      <c r="I483" s="15" t="s">
        <v>13</v>
      </c>
      <c r="J483" s="12" t="s">
        <v>16</v>
      </c>
      <c r="K483">
        <v>102000</v>
      </c>
      <c r="L483">
        <f t="shared" ref="L483:L493" si="303">L482</f>
        <v>1</v>
      </c>
      <c r="M483" s="23">
        <f t="shared" si="287"/>
        <v>102000</v>
      </c>
    </row>
    <row r="484" spans="1:13" ht="21" customHeight="1" outlineLevel="2" x14ac:dyDescent="0.25">
      <c r="A484" s="11" t="str">
        <f t="shared" ref="A484:A492" si="304">A483</f>
        <v xml:space="preserve">РЩж-13 (ВРУ1-13-20УХЛ) (13 секция) </v>
      </c>
      <c r="B484" s="12" t="s">
        <v>134</v>
      </c>
      <c r="C484" s="18" t="s">
        <v>160</v>
      </c>
      <c r="D484" s="11" t="s">
        <v>161</v>
      </c>
      <c r="E484" s="12">
        <v>2225</v>
      </c>
      <c r="F484" s="13">
        <f t="shared" ref="F484:F489" si="305">E484*0.6</f>
        <v>1335</v>
      </c>
      <c r="G484" s="13">
        <f t="shared" ref="G484:G488" si="306">F484*H484</f>
        <v>4005</v>
      </c>
      <c r="H484" s="14">
        <v>3</v>
      </c>
      <c r="I484" s="15" t="s">
        <v>13</v>
      </c>
      <c r="J484" s="12" t="s">
        <v>206</v>
      </c>
      <c r="K484">
        <v>4005</v>
      </c>
      <c r="L484">
        <f t="shared" si="303"/>
        <v>1</v>
      </c>
      <c r="M484" s="23">
        <f t="shared" si="287"/>
        <v>4005</v>
      </c>
    </row>
    <row r="485" spans="1:13" ht="21" customHeight="1" outlineLevel="2" x14ac:dyDescent="0.25">
      <c r="A485" s="11" t="str">
        <f t="shared" si="304"/>
        <v xml:space="preserve">РЩж-13 (ВРУ1-13-20УХЛ) (13 секция) </v>
      </c>
      <c r="B485" s="12" t="s">
        <v>134</v>
      </c>
      <c r="C485" s="18" t="s">
        <v>128</v>
      </c>
      <c r="D485" s="11" t="s">
        <v>129</v>
      </c>
      <c r="E485" s="12">
        <v>2225</v>
      </c>
      <c r="F485" s="13">
        <f t="shared" si="305"/>
        <v>1335</v>
      </c>
      <c r="G485" s="13">
        <f t="shared" si="306"/>
        <v>8010</v>
      </c>
      <c r="H485" s="14">
        <v>6</v>
      </c>
      <c r="I485" s="15" t="s">
        <v>13</v>
      </c>
      <c r="J485" s="12" t="s">
        <v>206</v>
      </c>
      <c r="K485">
        <v>8010</v>
      </c>
      <c r="L485">
        <f t="shared" si="303"/>
        <v>1</v>
      </c>
      <c r="M485" s="23">
        <f t="shared" si="287"/>
        <v>8010</v>
      </c>
    </row>
    <row r="486" spans="1:13" ht="21" customHeight="1" outlineLevel="2" x14ac:dyDescent="0.25">
      <c r="A486" s="11" t="str">
        <f t="shared" si="304"/>
        <v xml:space="preserve">РЩж-13 (ВРУ1-13-20УХЛ) (13 секция) </v>
      </c>
      <c r="B486" s="12" t="s">
        <v>134</v>
      </c>
      <c r="C486" s="18" t="s">
        <v>130</v>
      </c>
      <c r="D486" s="11" t="s">
        <v>131</v>
      </c>
      <c r="E486" s="12">
        <v>2210</v>
      </c>
      <c r="F486" s="13">
        <f t="shared" si="305"/>
        <v>1326</v>
      </c>
      <c r="G486" s="13">
        <f t="shared" ref="G486" si="307">F486*H486</f>
        <v>7956</v>
      </c>
      <c r="H486" s="14">
        <v>6</v>
      </c>
      <c r="I486" s="15" t="s">
        <v>13</v>
      </c>
      <c r="J486" s="12" t="s">
        <v>206</v>
      </c>
      <c r="K486">
        <v>7956</v>
      </c>
      <c r="L486">
        <f t="shared" si="303"/>
        <v>1</v>
      </c>
      <c r="M486" s="23">
        <f t="shared" si="287"/>
        <v>7956</v>
      </c>
    </row>
    <row r="487" spans="1:13" ht="21" customHeight="1" outlineLevel="2" x14ac:dyDescent="0.25">
      <c r="A487" s="11" t="str">
        <f t="shared" si="304"/>
        <v xml:space="preserve">РЩж-13 (ВРУ1-13-20УХЛ) (13 секция) </v>
      </c>
      <c r="B487" s="12" t="s">
        <v>134</v>
      </c>
      <c r="C487" s="18" t="s">
        <v>132</v>
      </c>
      <c r="D487" s="11" t="s">
        <v>133</v>
      </c>
      <c r="E487" s="12">
        <v>1510</v>
      </c>
      <c r="F487" s="13">
        <f t="shared" si="305"/>
        <v>906</v>
      </c>
      <c r="G487" s="13">
        <f t="shared" si="306"/>
        <v>5436</v>
      </c>
      <c r="H487" s="14">
        <v>6</v>
      </c>
      <c r="I487" s="15" t="s">
        <v>13</v>
      </c>
      <c r="J487" s="12" t="s">
        <v>206</v>
      </c>
      <c r="K487">
        <v>5436</v>
      </c>
      <c r="L487">
        <f t="shared" si="303"/>
        <v>1</v>
      </c>
      <c r="M487" s="23">
        <f t="shared" si="287"/>
        <v>5436</v>
      </c>
    </row>
    <row r="488" spans="1:13" ht="21" customHeight="1" outlineLevel="2" x14ac:dyDescent="0.25">
      <c r="A488" s="11" t="str">
        <f t="shared" si="304"/>
        <v xml:space="preserve">РЩж-13 (ВРУ1-13-20УХЛ) (13 секция) </v>
      </c>
      <c r="B488" s="12" t="s">
        <v>134</v>
      </c>
      <c r="C488" s="18" t="s">
        <v>135</v>
      </c>
      <c r="D488" s="11" t="s">
        <v>136</v>
      </c>
      <c r="E488" s="12">
        <v>3100</v>
      </c>
      <c r="F488" s="13">
        <f t="shared" si="305"/>
        <v>1860</v>
      </c>
      <c r="G488" s="13">
        <f t="shared" si="306"/>
        <v>27900</v>
      </c>
      <c r="H488" s="14">
        <v>15</v>
      </c>
      <c r="I488" s="15" t="s">
        <v>13</v>
      </c>
      <c r="J488" s="12" t="s">
        <v>206</v>
      </c>
      <c r="K488">
        <v>27900</v>
      </c>
      <c r="L488">
        <f t="shared" si="303"/>
        <v>1</v>
      </c>
      <c r="M488" s="23">
        <f t="shared" si="287"/>
        <v>27900</v>
      </c>
    </row>
    <row r="489" spans="1:13" ht="21" customHeight="1" outlineLevel="2" x14ac:dyDescent="0.25">
      <c r="A489" s="11" t="str">
        <f t="shared" si="304"/>
        <v xml:space="preserve">РЩж-13 (ВРУ1-13-20УХЛ) (13 секция) </v>
      </c>
      <c r="B489" s="12" t="s">
        <v>134</v>
      </c>
      <c r="C489" s="18" t="s">
        <v>137</v>
      </c>
      <c r="D489" s="11" t="s">
        <v>138</v>
      </c>
      <c r="E489" s="12">
        <v>2038</v>
      </c>
      <c r="F489" s="13">
        <f t="shared" si="305"/>
        <v>1222.8</v>
      </c>
      <c r="G489" s="13">
        <f t="shared" ref="G489:G490" si="308">F489*H489</f>
        <v>7336.7999999999993</v>
      </c>
      <c r="H489" s="14">
        <v>6</v>
      </c>
      <c r="I489" s="15" t="s">
        <v>13</v>
      </c>
      <c r="J489" s="12" t="s">
        <v>206</v>
      </c>
      <c r="K489">
        <v>7336.7999999999993</v>
      </c>
      <c r="L489">
        <f t="shared" si="303"/>
        <v>1</v>
      </c>
      <c r="M489" s="23">
        <f t="shared" si="287"/>
        <v>7336.7999999999993</v>
      </c>
    </row>
    <row r="490" spans="1:13" ht="21" customHeight="1" outlineLevel="2" x14ac:dyDescent="0.25">
      <c r="A490" s="11" t="str">
        <f>A487</f>
        <v xml:space="preserve">РЩж-13 (ВРУ1-13-20УХЛ) (13 секция) </v>
      </c>
      <c r="B490" s="12" t="s">
        <v>47</v>
      </c>
      <c r="C490" s="18" t="s">
        <v>233</v>
      </c>
      <c r="D490" s="11" t="s">
        <v>234</v>
      </c>
      <c r="E490" s="12">
        <v>664</v>
      </c>
      <c r="F490" s="13">
        <f>E490</f>
        <v>664</v>
      </c>
      <c r="G490" s="13">
        <f t="shared" si="308"/>
        <v>2656</v>
      </c>
      <c r="H490" s="14">
        <v>4</v>
      </c>
      <c r="I490" s="15" t="s">
        <v>235</v>
      </c>
      <c r="J490" s="12" t="s">
        <v>20</v>
      </c>
      <c r="K490">
        <v>2656</v>
      </c>
      <c r="L490">
        <f t="shared" si="303"/>
        <v>1</v>
      </c>
      <c r="M490" s="23">
        <f t="shared" si="287"/>
        <v>2656</v>
      </c>
    </row>
    <row r="491" spans="1:13" ht="24" customHeight="1" outlineLevel="2" x14ac:dyDescent="0.25">
      <c r="A491" s="11" t="str">
        <f>A487</f>
        <v xml:space="preserve">РЩж-13 (ВРУ1-13-20УХЛ) (13 секция) </v>
      </c>
      <c r="B491" s="11" t="s">
        <v>10</v>
      </c>
      <c r="C491" s="11" t="s">
        <v>10</v>
      </c>
      <c r="D491" s="11" t="s">
        <v>10</v>
      </c>
      <c r="E491" s="11">
        <f ca="1">OFFSET(E491,1,2)</f>
        <v>30000</v>
      </c>
      <c r="F491" s="13">
        <f ca="1">E491</f>
        <v>30000</v>
      </c>
      <c r="G491" s="13">
        <f ca="1">F491*H491</f>
        <v>30000</v>
      </c>
      <c r="H491" s="11">
        <v>1</v>
      </c>
      <c r="I491" s="11" t="s">
        <v>13</v>
      </c>
      <c r="J491" s="11" t="s">
        <v>10</v>
      </c>
      <c r="K491">
        <v>30000</v>
      </c>
      <c r="L491">
        <f t="shared" si="303"/>
        <v>1</v>
      </c>
      <c r="M491" s="23">
        <f t="shared" ca="1" si="287"/>
        <v>30000</v>
      </c>
    </row>
    <row r="492" spans="1:13" ht="21" customHeight="1" outlineLevel="2" x14ac:dyDescent="0.25">
      <c r="A492" s="11" t="str">
        <f t="shared" si="304"/>
        <v xml:space="preserve">РЩж-13 (ВРУ1-13-20УХЛ) (13 секция) </v>
      </c>
      <c r="B492" s="11" t="s">
        <v>11</v>
      </c>
      <c r="C492" s="11" t="s">
        <v>11</v>
      </c>
      <c r="D492" s="11" t="s">
        <v>11</v>
      </c>
      <c r="E492" s="11">
        <v>5</v>
      </c>
      <c r="F492" s="13">
        <v>100</v>
      </c>
      <c r="G492" s="13">
        <f t="shared" ref="G492" si="309">F492*H492</f>
        <v>30000</v>
      </c>
      <c r="H492" s="11">
        <f>60*E492</f>
        <v>300</v>
      </c>
      <c r="I492" s="11" t="s">
        <v>13</v>
      </c>
      <c r="J492" s="11" t="s">
        <v>11</v>
      </c>
      <c r="K492">
        <v>30000</v>
      </c>
      <c r="L492">
        <f t="shared" si="303"/>
        <v>1</v>
      </c>
      <c r="M492" s="23">
        <f t="shared" si="287"/>
        <v>30000</v>
      </c>
    </row>
    <row r="493" spans="1:13" ht="21" customHeight="1" outlineLevel="1" x14ac:dyDescent="0.25">
      <c r="A493" s="11" t="s">
        <v>329</v>
      </c>
      <c r="B493" s="11"/>
      <c r="C493" s="11"/>
      <c r="D493" s="11"/>
      <c r="E493" s="11"/>
      <c r="F493" s="13"/>
      <c r="G493" s="13">
        <f ca="1">SUBTOTAL(9,G482:G492)</f>
        <v>225299.8</v>
      </c>
      <c r="H493" s="11"/>
      <c r="I493" s="11"/>
      <c r="J493" s="11"/>
      <c r="K493">
        <v>225299.8</v>
      </c>
      <c r="L493">
        <f t="shared" si="303"/>
        <v>1</v>
      </c>
      <c r="M493" s="23">
        <f t="shared" ca="1" si="287"/>
        <v>225299.8</v>
      </c>
    </row>
    <row r="494" spans="1:13" ht="39.75" customHeight="1" outlineLevel="2" x14ac:dyDescent="0.25">
      <c r="A494" s="4" t="str">
        <f>D494</f>
        <v>АВР-3-1 100А (13 секция) Комплектно к ВРУ-Инд (ЩСП Секция-1) (ЩСП Секция-2)</v>
      </c>
      <c r="B494" s="5"/>
      <c r="C494" s="17"/>
      <c r="D494" s="5" t="s">
        <v>183</v>
      </c>
      <c r="E494" s="7"/>
      <c r="F494" s="7"/>
      <c r="G494" s="8"/>
      <c r="H494" s="9">
        <v>1</v>
      </c>
      <c r="I494" s="10" t="s">
        <v>7</v>
      </c>
      <c r="J494" s="5" t="s">
        <v>9</v>
      </c>
      <c r="L494">
        <f>H494</f>
        <v>1</v>
      </c>
      <c r="M494" s="23">
        <f t="shared" si="287"/>
        <v>0</v>
      </c>
    </row>
    <row r="495" spans="1:13" ht="21" customHeight="1" outlineLevel="2" x14ac:dyDescent="0.25">
      <c r="A495" s="11" t="str">
        <f>A494</f>
        <v>АВР-3-1 100А (13 секция) Комплектно к ВРУ-Инд (ЩСП Секция-1) (ЩСП Секция-2)</v>
      </c>
      <c r="B495" s="12" t="s">
        <v>8</v>
      </c>
      <c r="C495" s="18" t="s">
        <v>250</v>
      </c>
      <c r="D495" s="11" t="s">
        <v>251</v>
      </c>
      <c r="E495" s="12">
        <v>170000</v>
      </c>
      <c r="F495" s="13">
        <f>0.6*E495</f>
        <v>102000</v>
      </c>
      <c r="G495" s="13">
        <f>H495*F495</f>
        <v>102000</v>
      </c>
      <c r="H495" s="14">
        <v>1</v>
      </c>
      <c r="I495" s="15" t="s">
        <v>13</v>
      </c>
      <c r="J495" s="12" t="s">
        <v>16</v>
      </c>
      <c r="K495">
        <v>102000</v>
      </c>
      <c r="L495">
        <f t="shared" ref="L495:L514" si="310">L494</f>
        <v>1</v>
      </c>
      <c r="M495" s="23">
        <f t="shared" si="287"/>
        <v>102000</v>
      </c>
    </row>
    <row r="496" spans="1:13" ht="21" customHeight="1" outlineLevel="2" x14ac:dyDescent="0.25">
      <c r="A496" s="11" t="str">
        <f t="shared" ref="A496:A513" si="311">A495</f>
        <v>АВР-3-1 100А (13 секция) Комплектно к ВРУ-Инд (ЩСП Секция-1) (ЩСП Секция-2)</v>
      </c>
      <c r="B496" s="12" t="s">
        <v>46</v>
      </c>
      <c r="C496" s="18">
        <v>126511</v>
      </c>
      <c r="D496" s="11" t="s">
        <v>48</v>
      </c>
      <c r="E496" s="12">
        <v>28665</v>
      </c>
      <c r="F496" s="13">
        <f t="shared" ref="F496:F498" si="312">E496*0.6</f>
        <v>17199</v>
      </c>
      <c r="G496" s="13">
        <f t="shared" ref="G496:G511" si="313">F496*H496</f>
        <v>51597</v>
      </c>
      <c r="H496" s="14">
        <v>3</v>
      </c>
      <c r="I496" s="15" t="s">
        <v>13</v>
      </c>
      <c r="J496" s="12" t="s">
        <v>36</v>
      </c>
      <c r="K496">
        <v>51597</v>
      </c>
      <c r="L496">
        <f t="shared" si="310"/>
        <v>1</v>
      </c>
      <c r="M496" s="23">
        <f t="shared" si="287"/>
        <v>51597</v>
      </c>
    </row>
    <row r="497" spans="1:13" ht="21" customHeight="1" outlineLevel="2" x14ac:dyDescent="0.25">
      <c r="A497" s="11" t="str">
        <f>A495</f>
        <v>АВР-3-1 100А (13 секция) Комплектно к ВРУ-Инд (ЩСП Секция-1) (ЩСП Секция-2)</v>
      </c>
      <c r="B497" s="12" t="s">
        <v>12</v>
      </c>
      <c r="C497" s="18">
        <v>296825</v>
      </c>
      <c r="D497" s="11" t="s">
        <v>50</v>
      </c>
      <c r="E497" s="12">
        <v>2457</v>
      </c>
      <c r="F497" s="13">
        <f t="shared" si="312"/>
        <v>1474.2</v>
      </c>
      <c r="G497" s="13">
        <f t="shared" si="313"/>
        <v>4422.6000000000004</v>
      </c>
      <c r="H497" s="14">
        <v>3</v>
      </c>
      <c r="I497" s="15" t="s">
        <v>13</v>
      </c>
      <c r="J497" s="12" t="s">
        <v>36</v>
      </c>
      <c r="K497">
        <v>4422.6000000000004</v>
      </c>
      <c r="L497">
        <f t="shared" si="310"/>
        <v>1</v>
      </c>
      <c r="M497" s="23">
        <f t="shared" si="287"/>
        <v>4422.6000000000004</v>
      </c>
    </row>
    <row r="498" spans="1:13" ht="21" customHeight="1" outlineLevel="2" x14ac:dyDescent="0.25">
      <c r="A498" s="11" t="str">
        <f>A496</f>
        <v>АВР-3-1 100А (13 секция) Комплектно к ВРУ-Инд (ЩСП Секция-1) (ЩСП Секция-2)</v>
      </c>
      <c r="B498" s="12" t="s">
        <v>12</v>
      </c>
      <c r="C498" s="18">
        <v>296708</v>
      </c>
      <c r="D498" s="11" t="s">
        <v>31</v>
      </c>
      <c r="E498" s="12">
        <v>828</v>
      </c>
      <c r="F498" s="13">
        <f t="shared" si="312"/>
        <v>496.79999999999995</v>
      </c>
      <c r="G498" s="13">
        <f t="shared" si="313"/>
        <v>1490.3999999999999</v>
      </c>
      <c r="H498" s="14">
        <v>3</v>
      </c>
      <c r="I498" s="15" t="s">
        <v>13</v>
      </c>
      <c r="J498" s="12" t="s">
        <v>36</v>
      </c>
      <c r="K498">
        <v>1490.3999999999999</v>
      </c>
      <c r="L498">
        <f t="shared" si="310"/>
        <v>1</v>
      </c>
      <c r="M498" s="23">
        <f t="shared" si="287"/>
        <v>1490.3999999999999</v>
      </c>
    </row>
    <row r="499" spans="1:13" ht="21" customHeight="1" outlineLevel="2" x14ac:dyDescent="0.25">
      <c r="A499" s="11" t="str">
        <f>A496</f>
        <v>АВР-3-1 100А (13 секция) Комплектно к ВРУ-Инд (ЩСП Секция-1) (ЩСП Секция-2)</v>
      </c>
      <c r="B499" s="12" t="s">
        <v>44</v>
      </c>
      <c r="C499" s="18" t="s">
        <v>265</v>
      </c>
      <c r="D499" s="11" t="s">
        <v>266</v>
      </c>
      <c r="E499" s="12">
        <v>6500</v>
      </c>
      <c r="F499" s="13">
        <f>E499</f>
        <v>6500</v>
      </c>
      <c r="G499" s="13">
        <f t="shared" si="313"/>
        <v>39000</v>
      </c>
      <c r="H499" s="14">
        <v>6</v>
      </c>
      <c r="I499" s="15" t="s">
        <v>13</v>
      </c>
      <c r="J499" s="12" t="s">
        <v>20</v>
      </c>
      <c r="K499">
        <v>39000</v>
      </c>
      <c r="L499">
        <f t="shared" si="310"/>
        <v>1</v>
      </c>
      <c r="M499" s="23">
        <f t="shared" si="287"/>
        <v>39000</v>
      </c>
    </row>
    <row r="500" spans="1:13" ht="21" customHeight="1" outlineLevel="2" x14ac:dyDescent="0.25">
      <c r="A500" s="11" t="str">
        <f>A496</f>
        <v>АВР-3-1 100А (13 секция) Комплектно к ВРУ-Инд (ЩСП Секция-1) (ЩСП Секция-2)</v>
      </c>
      <c r="B500" s="12" t="s">
        <v>22</v>
      </c>
      <c r="C500" s="18">
        <v>285448</v>
      </c>
      <c r="D500" s="11" t="s">
        <v>54</v>
      </c>
      <c r="E500" s="12">
        <v>1763</v>
      </c>
      <c r="F500" s="13">
        <f t="shared" ref="F500:F504" si="314">E500*0.6</f>
        <v>1057.8</v>
      </c>
      <c r="G500" s="13">
        <f t="shared" si="313"/>
        <v>3173.3999999999996</v>
      </c>
      <c r="H500" s="14">
        <v>3</v>
      </c>
      <c r="I500" s="15" t="s">
        <v>13</v>
      </c>
      <c r="J500" s="12" t="s">
        <v>36</v>
      </c>
      <c r="K500">
        <v>3173.3999999999996</v>
      </c>
      <c r="L500">
        <f t="shared" si="310"/>
        <v>1</v>
      </c>
      <c r="M500" s="23">
        <f t="shared" si="287"/>
        <v>3173.3999999999996</v>
      </c>
    </row>
    <row r="501" spans="1:13" ht="21" customHeight="1" outlineLevel="2" x14ac:dyDescent="0.25">
      <c r="A501" s="11" t="str">
        <f>A497</f>
        <v>АВР-3-1 100А (13 секция) Комплектно к ВРУ-Инд (ЩСП Секция-1) (ЩСП Секция-2)</v>
      </c>
      <c r="B501" s="12" t="s">
        <v>221</v>
      </c>
      <c r="C501" s="18">
        <v>285981</v>
      </c>
      <c r="D501" s="11" t="s">
        <v>55</v>
      </c>
      <c r="E501" s="12">
        <v>1937</v>
      </c>
      <c r="F501" s="13">
        <f t="shared" si="314"/>
        <v>1162.2</v>
      </c>
      <c r="G501" s="13">
        <f t="shared" si="313"/>
        <v>3486.6000000000004</v>
      </c>
      <c r="H501" s="14">
        <v>3</v>
      </c>
      <c r="I501" s="15" t="s">
        <v>13</v>
      </c>
      <c r="J501" s="12" t="s">
        <v>36</v>
      </c>
      <c r="K501">
        <v>3486.6000000000004</v>
      </c>
      <c r="L501">
        <f t="shared" si="310"/>
        <v>1</v>
      </c>
      <c r="M501" s="23">
        <f t="shared" si="287"/>
        <v>3486.6000000000004</v>
      </c>
    </row>
    <row r="502" spans="1:13" ht="21" customHeight="1" outlineLevel="2" x14ac:dyDescent="0.25">
      <c r="A502" s="11" t="str">
        <f>A498</f>
        <v>АВР-3-1 100А (13 секция) Комплектно к ВРУ-Инд (ЩСП Секция-1) (ЩСП Секция-2)</v>
      </c>
      <c r="B502" s="12" t="s">
        <v>22</v>
      </c>
      <c r="C502" s="18" t="s">
        <v>53</v>
      </c>
      <c r="D502" s="11" t="s">
        <v>52</v>
      </c>
      <c r="E502" s="12">
        <v>5305</v>
      </c>
      <c r="F502" s="13">
        <f t="shared" si="314"/>
        <v>3183</v>
      </c>
      <c r="G502" s="13">
        <f t="shared" si="313"/>
        <v>9549</v>
      </c>
      <c r="H502" s="14">
        <v>3</v>
      </c>
      <c r="I502" s="15" t="s">
        <v>13</v>
      </c>
      <c r="J502" s="12" t="s">
        <v>36</v>
      </c>
      <c r="K502">
        <v>9549</v>
      </c>
      <c r="L502">
        <f t="shared" si="310"/>
        <v>1</v>
      </c>
      <c r="M502" s="23">
        <f t="shared" si="287"/>
        <v>9549</v>
      </c>
    </row>
    <row r="503" spans="1:13" ht="21" customHeight="1" outlineLevel="2" x14ac:dyDescent="0.25">
      <c r="A503" s="11" t="str">
        <f>A499</f>
        <v>АВР-3-1 100А (13 секция) Комплектно к ВРУ-Инд (ЩСП Секция-1) (ЩСП Секция-2)</v>
      </c>
      <c r="B503" s="12" t="s">
        <v>21</v>
      </c>
      <c r="C503" s="18">
        <v>836824</v>
      </c>
      <c r="D503" s="11" t="s">
        <v>51</v>
      </c>
      <c r="E503" s="12">
        <v>53690</v>
      </c>
      <c r="F503" s="13">
        <f t="shared" si="314"/>
        <v>32214</v>
      </c>
      <c r="G503" s="13">
        <f t="shared" si="313"/>
        <v>96642</v>
      </c>
      <c r="H503" s="14">
        <v>3</v>
      </c>
      <c r="I503" s="15" t="s">
        <v>13</v>
      </c>
      <c r="J503" s="12" t="s">
        <v>36</v>
      </c>
      <c r="K503">
        <v>96642</v>
      </c>
      <c r="L503">
        <f t="shared" si="310"/>
        <v>1</v>
      </c>
      <c r="M503" s="23">
        <f t="shared" si="287"/>
        <v>96642</v>
      </c>
    </row>
    <row r="504" spans="1:13" ht="32.25" customHeight="1" outlineLevel="2" x14ac:dyDescent="0.25">
      <c r="A504" s="11" t="str">
        <f t="shared" ref="A504" si="315">A503</f>
        <v>АВР-3-1 100А (13 секция) Комплектно к ВРУ-Инд (ЩСП Секция-1) (ЩСП Секция-2)</v>
      </c>
      <c r="B504" s="12" t="s">
        <v>22</v>
      </c>
      <c r="C504" s="18">
        <v>257987</v>
      </c>
      <c r="D504" s="11" t="s">
        <v>49</v>
      </c>
      <c r="E504" s="12">
        <v>9868</v>
      </c>
      <c r="F504" s="13">
        <f t="shared" si="314"/>
        <v>5920.8</v>
      </c>
      <c r="G504" s="13">
        <f t="shared" si="313"/>
        <v>17762.400000000001</v>
      </c>
      <c r="H504" s="14">
        <v>3</v>
      </c>
      <c r="I504" s="15" t="s">
        <v>13</v>
      </c>
      <c r="J504" s="12" t="s">
        <v>36</v>
      </c>
      <c r="K504">
        <v>17762.400000000001</v>
      </c>
      <c r="L504">
        <f t="shared" si="310"/>
        <v>1</v>
      </c>
      <c r="M504" s="23">
        <f t="shared" si="287"/>
        <v>17762.400000000001</v>
      </c>
    </row>
    <row r="505" spans="1:13" ht="21" customHeight="1" outlineLevel="2" x14ac:dyDescent="0.25">
      <c r="A505" s="11" t="str">
        <f>A503</f>
        <v>АВР-3-1 100А (13 секция) Комплектно к ВРУ-Инд (ЩСП Секция-1) (ЩСП Секция-2)</v>
      </c>
      <c r="B505" s="12" t="s">
        <v>45</v>
      </c>
      <c r="C505" s="18" t="s">
        <v>241</v>
      </c>
      <c r="D505" s="11" t="s">
        <v>242</v>
      </c>
      <c r="E505" s="12">
        <v>290</v>
      </c>
      <c r="F505" s="13">
        <f>E505*0.6</f>
        <v>174</v>
      </c>
      <c r="G505" s="13">
        <f t="shared" si="313"/>
        <v>348</v>
      </c>
      <c r="H505" s="14">
        <v>2</v>
      </c>
      <c r="I505" s="15" t="s">
        <v>13</v>
      </c>
      <c r="J505" s="12" t="s">
        <v>236</v>
      </c>
      <c r="K505">
        <v>348</v>
      </c>
      <c r="L505">
        <f t="shared" si="310"/>
        <v>1</v>
      </c>
      <c r="M505" s="23">
        <f t="shared" si="287"/>
        <v>348</v>
      </c>
    </row>
    <row r="506" spans="1:13" ht="21" customHeight="1" outlineLevel="2" x14ac:dyDescent="0.25">
      <c r="A506" s="11" t="str">
        <f t="shared" ref="A506:A511" si="316">A505</f>
        <v>АВР-3-1 100А (13 секция) Комплектно к ВРУ-Инд (ЩСП Секция-1) (ЩСП Секция-2)</v>
      </c>
      <c r="B506" s="12" t="s">
        <v>24</v>
      </c>
      <c r="C506" s="18">
        <v>574842</v>
      </c>
      <c r="D506" s="11" t="s">
        <v>34</v>
      </c>
      <c r="E506" s="12">
        <v>960</v>
      </c>
      <c r="F506" s="13">
        <f t="shared" ref="F506:F511" si="317">E506*0.6</f>
        <v>576</v>
      </c>
      <c r="G506" s="13">
        <f t="shared" si="313"/>
        <v>1728</v>
      </c>
      <c r="H506" s="14">
        <v>3</v>
      </c>
      <c r="I506" s="15" t="s">
        <v>19</v>
      </c>
      <c r="J506" s="12" t="s">
        <v>36</v>
      </c>
      <c r="K506">
        <v>1728</v>
      </c>
      <c r="L506">
        <f t="shared" si="310"/>
        <v>1</v>
      </c>
      <c r="M506" s="23">
        <f t="shared" si="287"/>
        <v>1728</v>
      </c>
    </row>
    <row r="507" spans="1:13" ht="21" customHeight="1" outlineLevel="2" x14ac:dyDescent="0.25">
      <c r="A507" s="11" t="str">
        <f t="shared" si="316"/>
        <v>АВР-3-1 100А (13 секция) Комплектно к ВРУ-Инд (ЩСП Секция-1) (ЩСП Секция-2)</v>
      </c>
      <c r="B507" s="12" t="s">
        <v>24</v>
      </c>
      <c r="C507" s="18">
        <v>574843</v>
      </c>
      <c r="D507" s="11" t="s">
        <v>35</v>
      </c>
      <c r="E507" s="12">
        <v>960</v>
      </c>
      <c r="F507" s="13">
        <f t="shared" si="317"/>
        <v>576</v>
      </c>
      <c r="G507" s="13">
        <f t="shared" si="313"/>
        <v>1728</v>
      </c>
      <c r="H507" s="14">
        <v>3</v>
      </c>
      <c r="I507" s="15" t="s">
        <v>19</v>
      </c>
      <c r="J507" s="12" t="s">
        <v>36</v>
      </c>
      <c r="K507">
        <v>1728</v>
      </c>
      <c r="L507">
        <f t="shared" si="310"/>
        <v>1</v>
      </c>
      <c r="M507" s="23">
        <f t="shared" si="287"/>
        <v>1728</v>
      </c>
    </row>
    <row r="508" spans="1:13" ht="22.5" customHeight="1" outlineLevel="2" x14ac:dyDescent="0.25">
      <c r="A508" s="11" t="str">
        <f t="shared" si="316"/>
        <v>АВР-3-1 100А (13 секция) Комплектно к ВРУ-Инд (ЩСП Секция-1) (ЩСП Секция-2)</v>
      </c>
      <c r="B508" s="12" t="s">
        <v>17</v>
      </c>
      <c r="C508" s="11">
        <v>574822</v>
      </c>
      <c r="D508" s="11" t="s">
        <v>32</v>
      </c>
      <c r="E508" s="11">
        <v>934</v>
      </c>
      <c r="F508" s="13">
        <f t="shared" si="317"/>
        <v>560.4</v>
      </c>
      <c r="G508" s="13">
        <f t="shared" si="313"/>
        <v>560.4</v>
      </c>
      <c r="H508" s="11">
        <v>1</v>
      </c>
      <c r="I508" s="11" t="s">
        <v>13</v>
      </c>
      <c r="J508" s="12" t="s">
        <v>36</v>
      </c>
      <c r="K508">
        <v>560.4</v>
      </c>
      <c r="L508">
        <f t="shared" si="310"/>
        <v>1</v>
      </c>
      <c r="M508" s="23">
        <f t="shared" si="287"/>
        <v>560.4</v>
      </c>
    </row>
    <row r="509" spans="1:13" ht="22.5" customHeight="1" outlineLevel="2" x14ac:dyDescent="0.25">
      <c r="A509" s="11" t="str">
        <f t="shared" si="316"/>
        <v>АВР-3-1 100А (13 секция) Комплектно к ВРУ-Инд (ЩСП Секция-1) (ЩСП Секция-2)</v>
      </c>
      <c r="B509" s="12" t="s">
        <v>23</v>
      </c>
      <c r="C509" s="11" t="s">
        <v>244</v>
      </c>
      <c r="D509" s="11" t="s">
        <v>243</v>
      </c>
      <c r="E509" s="11">
        <v>140</v>
      </c>
      <c r="F509" s="13">
        <f>E509*0.6</f>
        <v>84</v>
      </c>
      <c r="G509" s="13">
        <f t="shared" si="313"/>
        <v>252</v>
      </c>
      <c r="H509" s="11">
        <v>3</v>
      </c>
      <c r="I509" s="11" t="s">
        <v>13</v>
      </c>
      <c r="J509" s="12" t="s">
        <v>236</v>
      </c>
      <c r="K509">
        <v>252</v>
      </c>
      <c r="L509">
        <f t="shared" si="310"/>
        <v>1</v>
      </c>
      <c r="M509" s="23">
        <f t="shared" si="287"/>
        <v>252</v>
      </c>
    </row>
    <row r="510" spans="1:13" ht="21" customHeight="1" outlineLevel="2" x14ac:dyDescent="0.25">
      <c r="A510" s="11" t="str">
        <f t="shared" si="316"/>
        <v>АВР-3-1 100А (13 секция) Комплектно к ВРУ-Инд (ЩСП Секция-1) (ЩСП Секция-2)</v>
      </c>
      <c r="B510" s="12" t="s">
        <v>39</v>
      </c>
      <c r="C510" s="18">
        <v>593071</v>
      </c>
      <c r="D510" s="11" t="s">
        <v>56</v>
      </c>
      <c r="E510" s="12">
        <v>439</v>
      </c>
      <c r="F510" s="13">
        <f t="shared" si="317"/>
        <v>263.39999999999998</v>
      </c>
      <c r="G510" s="13">
        <f t="shared" si="313"/>
        <v>790.19999999999993</v>
      </c>
      <c r="H510" s="14">
        <v>3</v>
      </c>
      <c r="I510" s="15" t="s">
        <v>19</v>
      </c>
      <c r="J510" s="12" t="s">
        <v>36</v>
      </c>
      <c r="K510">
        <v>790.19999999999993</v>
      </c>
      <c r="L510">
        <f t="shared" si="310"/>
        <v>1</v>
      </c>
      <c r="M510" s="23">
        <f t="shared" si="287"/>
        <v>790.19999999999993</v>
      </c>
    </row>
    <row r="511" spans="1:13" ht="21" customHeight="1" outlineLevel="2" x14ac:dyDescent="0.25">
      <c r="A511" s="11" t="str">
        <f t="shared" si="316"/>
        <v>АВР-3-1 100А (13 секция) Комплектно к ВРУ-Инд (ЩСП Секция-1) (ЩСП Секция-2)</v>
      </c>
      <c r="B511" s="12" t="s">
        <v>57</v>
      </c>
      <c r="C511" s="18">
        <v>576728</v>
      </c>
      <c r="D511" s="11" t="s">
        <v>58</v>
      </c>
      <c r="E511" s="12">
        <v>272</v>
      </c>
      <c r="F511" s="13">
        <f t="shared" si="317"/>
        <v>163.19999999999999</v>
      </c>
      <c r="G511" s="13">
        <f t="shared" si="313"/>
        <v>652.79999999999995</v>
      </c>
      <c r="H511" s="14">
        <v>4</v>
      </c>
      <c r="I511" s="15" t="s">
        <v>19</v>
      </c>
      <c r="J511" s="12" t="s">
        <v>36</v>
      </c>
      <c r="K511">
        <v>652.79999999999995</v>
      </c>
      <c r="L511">
        <f t="shared" si="310"/>
        <v>1</v>
      </c>
      <c r="M511" s="23">
        <f t="shared" si="287"/>
        <v>652.79999999999995</v>
      </c>
    </row>
    <row r="512" spans="1:13" ht="24" customHeight="1" outlineLevel="2" x14ac:dyDescent="0.25">
      <c r="A512" s="11" t="str">
        <f>A508</f>
        <v>АВР-3-1 100А (13 секция) Комплектно к ВРУ-Инд (ЩСП Секция-1) (ЩСП Секция-2)</v>
      </c>
      <c r="B512" s="11" t="s">
        <v>10</v>
      </c>
      <c r="C512" s="11" t="s">
        <v>10</v>
      </c>
      <c r="D512" s="11" t="s">
        <v>10</v>
      </c>
      <c r="E512" s="11">
        <f ca="1">OFFSET(E512,1,2)</f>
        <v>48000</v>
      </c>
      <c r="F512" s="13">
        <f ca="1">E512</f>
        <v>48000</v>
      </c>
      <c r="G512" s="13">
        <f ca="1">F512*H512</f>
        <v>48000</v>
      </c>
      <c r="H512" s="11">
        <v>1</v>
      </c>
      <c r="I512" s="11" t="s">
        <v>13</v>
      </c>
      <c r="J512" s="11" t="s">
        <v>10</v>
      </c>
      <c r="K512">
        <v>48000</v>
      </c>
      <c r="L512">
        <f t="shared" si="310"/>
        <v>1</v>
      </c>
      <c r="M512" s="23">
        <f t="shared" ca="1" si="287"/>
        <v>48000</v>
      </c>
    </row>
    <row r="513" spans="1:13" ht="21" customHeight="1" outlineLevel="2" x14ac:dyDescent="0.25">
      <c r="A513" s="11" t="str">
        <f t="shared" si="311"/>
        <v>АВР-3-1 100А (13 секция) Комплектно к ВРУ-Инд (ЩСП Секция-1) (ЩСП Секция-2)</v>
      </c>
      <c r="B513" s="11" t="s">
        <v>11</v>
      </c>
      <c r="C513" s="11" t="s">
        <v>11</v>
      </c>
      <c r="D513" s="11" t="s">
        <v>11</v>
      </c>
      <c r="E513" s="11">
        <v>8</v>
      </c>
      <c r="F513" s="13">
        <v>100</v>
      </c>
      <c r="G513" s="13">
        <f t="shared" ref="G513" si="318">F513*H513</f>
        <v>48000</v>
      </c>
      <c r="H513" s="11">
        <f>60*E513</f>
        <v>480</v>
      </c>
      <c r="I513" s="11" t="s">
        <v>13</v>
      </c>
      <c r="J513" s="11" t="s">
        <v>11</v>
      </c>
      <c r="K513">
        <v>48000</v>
      </c>
      <c r="L513">
        <f t="shared" si="310"/>
        <v>1</v>
      </c>
      <c r="M513" s="23">
        <f t="shared" si="287"/>
        <v>48000</v>
      </c>
    </row>
    <row r="514" spans="1:13" ht="21" customHeight="1" outlineLevel="1" x14ac:dyDescent="0.25">
      <c r="A514" s="11" t="s">
        <v>330</v>
      </c>
      <c r="B514" s="11"/>
      <c r="C514" s="11"/>
      <c r="D514" s="11"/>
      <c r="E514" s="11"/>
      <c r="F514" s="13"/>
      <c r="G514" s="13">
        <f ca="1">SUBTOTAL(9,G494:G513)</f>
        <v>431182.80000000005</v>
      </c>
      <c r="H514" s="11"/>
      <c r="I514" s="11"/>
      <c r="J514" s="11"/>
      <c r="K514">
        <v>431182.80000000005</v>
      </c>
      <c r="L514">
        <f t="shared" si="310"/>
        <v>1</v>
      </c>
      <c r="M514" s="23">
        <f t="shared" ca="1" si="287"/>
        <v>431182.80000000005</v>
      </c>
    </row>
    <row r="515" spans="1:13" ht="39.75" customHeight="1" outlineLevel="2" x14ac:dyDescent="0.25">
      <c r="A515" s="4" t="str">
        <f>D515</f>
        <v>ВРУ-Инд. (ЩСП-13 Секция-1) (ЩСП-13 Секция-2) (13 секция)</v>
      </c>
      <c r="B515" s="5"/>
      <c r="C515" s="17"/>
      <c r="D515" s="5" t="s">
        <v>216</v>
      </c>
      <c r="E515" s="7"/>
      <c r="F515" s="7"/>
      <c r="G515" s="8"/>
      <c r="H515" s="9">
        <v>1</v>
      </c>
      <c r="I515" s="10" t="s">
        <v>7</v>
      </c>
      <c r="J515" s="5" t="s">
        <v>9</v>
      </c>
      <c r="L515">
        <f>H515</f>
        <v>1</v>
      </c>
      <c r="M515" s="23">
        <f t="shared" ref="M515:M578" si="319">L515*G515</f>
        <v>0</v>
      </c>
    </row>
    <row r="516" spans="1:13" ht="21" customHeight="1" outlineLevel="2" x14ac:dyDescent="0.25">
      <c r="A516" s="11" t="str">
        <f>A515</f>
        <v>ВРУ-Инд. (ЩСП-13 Секция-1) (ЩСП-13 Секция-2) (13 секция)</v>
      </c>
      <c r="B516" s="12" t="s">
        <v>8</v>
      </c>
      <c r="C516" s="18" t="s">
        <v>252</v>
      </c>
      <c r="D516" s="11" t="s">
        <v>275</v>
      </c>
      <c r="E516" s="12">
        <v>145000</v>
      </c>
      <c r="F516" s="13">
        <f>0.6*E516</f>
        <v>87000</v>
      </c>
      <c r="G516" s="13">
        <f>H516*F516</f>
        <v>87000</v>
      </c>
      <c r="H516" s="14">
        <v>1</v>
      </c>
      <c r="I516" s="15" t="s">
        <v>13</v>
      </c>
      <c r="J516" s="12" t="s">
        <v>16</v>
      </c>
      <c r="K516">
        <v>87000</v>
      </c>
      <c r="L516">
        <f t="shared" ref="L516:L524" si="320">L515</f>
        <v>1</v>
      </c>
      <c r="M516" s="23">
        <f t="shared" si="319"/>
        <v>87000</v>
      </c>
    </row>
    <row r="517" spans="1:13" ht="21" customHeight="1" outlineLevel="2" x14ac:dyDescent="0.25">
      <c r="A517" s="11" t="str">
        <f t="shared" ref="A517:A523" si="321">A516</f>
        <v>ВРУ-Инд. (ЩСП-13 Секция-1) (ЩСП-13 Секция-2) (13 секция)</v>
      </c>
      <c r="B517" s="12" t="s">
        <v>64</v>
      </c>
      <c r="C517" s="18">
        <v>193180</v>
      </c>
      <c r="D517" s="11" t="s">
        <v>60</v>
      </c>
      <c r="E517" s="12">
        <v>2493</v>
      </c>
      <c r="F517" s="13">
        <f t="shared" ref="F517:F521" si="322">E517*0.6</f>
        <v>1495.8</v>
      </c>
      <c r="G517" s="13">
        <f>F517*H517</f>
        <v>10470.6</v>
      </c>
      <c r="H517" s="14">
        <v>7</v>
      </c>
      <c r="I517" s="15" t="s">
        <v>13</v>
      </c>
      <c r="J517" s="12" t="s">
        <v>36</v>
      </c>
      <c r="K517">
        <v>10470.6</v>
      </c>
      <c r="L517">
        <f t="shared" si="320"/>
        <v>1</v>
      </c>
      <c r="M517" s="23">
        <f t="shared" si="319"/>
        <v>10470.6</v>
      </c>
    </row>
    <row r="518" spans="1:13" ht="21" customHeight="1" outlineLevel="2" x14ac:dyDescent="0.25">
      <c r="A518" s="11" t="str">
        <f t="shared" si="321"/>
        <v>ВРУ-Инд. (ЩСП-13 Секция-1) (ЩСП-13 Секция-2) (13 секция)</v>
      </c>
      <c r="B518" s="12" t="s">
        <v>64</v>
      </c>
      <c r="C518" s="18">
        <v>398044</v>
      </c>
      <c r="D518" s="11" t="s">
        <v>61</v>
      </c>
      <c r="E518" s="12">
        <v>3112</v>
      </c>
      <c r="F518" s="13">
        <f t="shared" si="322"/>
        <v>1867.1999999999998</v>
      </c>
      <c r="G518" s="13">
        <f t="shared" ref="G518:G521" si="323">F518*H518</f>
        <v>5601.5999999999995</v>
      </c>
      <c r="H518" s="14">
        <v>3</v>
      </c>
      <c r="I518" s="15" t="s">
        <v>13</v>
      </c>
      <c r="J518" s="12" t="s">
        <v>36</v>
      </c>
      <c r="K518">
        <v>5601.5999999999995</v>
      </c>
      <c r="L518">
        <f t="shared" si="320"/>
        <v>1</v>
      </c>
      <c r="M518" s="23">
        <f t="shared" si="319"/>
        <v>5601.5999999999995</v>
      </c>
    </row>
    <row r="519" spans="1:13" ht="21" customHeight="1" outlineLevel="2" x14ac:dyDescent="0.25">
      <c r="A519" s="11" t="str">
        <f t="shared" si="321"/>
        <v>ВРУ-Инд. (ЩСП-13 Секция-1) (ЩСП-13 Секция-2) (13 секция)</v>
      </c>
      <c r="B519" s="12" t="s">
        <v>12</v>
      </c>
      <c r="C519" s="18"/>
      <c r="D519" s="11" t="s">
        <v>62</v>
      </c>
      <c r="E519" s="12">
        <v>9555</v>
      </c>
      <c r="F519" s="13">
        <f t="shared" si="322"/>
        <v>5733</v>
      </c>
      <c r="G519" s="13">
        <f t="shared" si="323"/>
        <v>5733</v>
      </c>
      <c r="H519" s="14">
        <v>1</v>
      </c>
      <c r="I519" s="15" t="s">
        <v>13</v>
      </c>
      <c r="J519" s="12" t="s">
        <v>36</v>
      </c>
      <c r="K519">
        <v>5733</v>
      </c>
      <c r="L519">
        <f t="shared" si="320"/>
        <v>1</v>
      </c>
      <c r="M519" s="23">
        <f t="shared" si="319"/>
        <v>5733</v>
      </c>
    </row>
    <row r="520" spans="1:13" ht="21" customHeight="1" outlineLevel="2" x14ac:dyDescent="0.25">
      <c r="A520" s="11" t="str">
        <f t="shared" si="321"/>
        <v>ВРУ-Инд. (ЩСП-13 Секция-1) (ЩСП-13 Секция-2) (13 секция)</v>
      </c>
      <c r="B520" s="12" t="s">
        <v>12</v>
      </c>
      <c r="C520" s="18"/>
      <c r="D520" s="11" t="s">
        <v>203</v>
      </c>
      <c r="E520" s="16">
        <v>2916</v>
      </c>
      <c r="F520" s="13">
        <f t="shared" si="322"/>
        <v>1749.6</v>
      </c>
      <c r="G520" s="13">
        <f t="shared" si="323"/>
        <v>5248.7999999999993</v>
      </c>
      <c r="H520" s="14">
        <v>3</v>
      </c>
      <c r="I520" s="15" t="s">
        <v>13</v>
      </c>
      <c r="J520" s="12" t="s">
        <v>36</v>
      </c>
      <c r="K520">
        <v>5248.7999999999993</v>
      </c>
      <c r="L520">
        <f t="shared" si="320"/>
        <v>1</v>
      </c>
      <c r="M520" s="23">
        <f t="shared" si="319"/>
        <v>5248.7999999999993</v>
      </c>
    </row>
    <row r="521" spans="1:13" ht="21" customHeight="1" outlineLevel="2" x14ac:dyDescent="0.25">
      <c r="A521" s="11" t="str">
        <f t="shared" si="321"/>
        <v>ВРУ-Инд. (ЩСП-13 Секция-1) (ЩСП-13 Секция-2) (13 секция)</v>
      </c>
      <c r="B521" s="12" t="s">
        <v>12</v>
      </c>
      <c r="C521" s="18"/>
      <c r="D521" s="11" t="s">
        <v>195</v>
      </c>
      <c r="E521" s="16">
        <v>2785</v>
      </c>
      <c r="F521" s="13">
        <f t="shared" si="322"/>
        <v>1671</v>
      </c>
      <c r="G521" s="13">
        <f t="shared" si="323"/>
        <v>10026</v>
      </c>
      <c r="H521" s="14">
        <v>6</v>
      </c>
      <c r="I521" s="15" t="s">
        <v>13</v>
      </c>
      <c r="J521" s="12" t="s">
        <v>36</v>
      </c>
      <c r="K521">
        <v>10026</v>
      </c>
      <c r="L521">
        <f t="shared" si="320"/>
        <v>1</v>
      </c>
      <c r="M521" s="23">
        <f t="shared" si="319"/>
        <v>10026</v>
      </c>
    </row>
    <row r="522" spans="1:13" ht="24" customHeight="1" outlineLevel="2" x14ac:dyDescent="0.25">
      <c r="A522" s="11" t="str">
        <f t="shared" si="321"/>
        <v>ВРУ-Инд. (ЩСП-13 Секция-1) (ЩСП-13 Секция-2) (13 секция)</v>
      </c>
      <c r="B522" s="11" t="s">
        <v>10</v>
      </c>
      <c r="C522" s="11" t="s">
        <v>10</v>
      </c>
      <c r="D522" s="11" t="s">
        <v>10</v>
      </c>
      <c r="E522" s="11">
        <f ca="1">OFFSET(E522,1,2)</f>
        <v>30000</v>
      </c>
      <c r="F522" s="13">
        <f ca="1">E522</f>
        <v>30000</v>
      </c>
      <c r="G522" s="13">
        <f ca="1">F522*H522</f>
        <v>30000</v>
      </c>
      <c r="H522" s="11">
        <v>1</v>
      </c>
      <c r="I522" s="11" t="s">
        <v>13</v>
      </c>
      <c r="J522" s="11" t="s">
        <v>10</v>
      </c>
      <c r="K522">
        <v>30000</v>
      </c>
      <c r="L522">
        <f t="shared" si="320"/>
        <v>1</v>
      </c>
      <c r="M522" s="23">
        <f t="shared" ca="1" si="319"/>
        <v>30000</v>
      </c>
    </row>
    <row r="523" spans="1:13" ht="21" customHeight="1" outlineLevel="2" x14ac:dyDescent="0.25">
      <c r="A523" s="11" t="str">
        <f t="shared" si="321"/>
        <v>ВРУ-Инд. (ЩСП-13 Секция-1) (ЩСП-13 Секция-2) (13 секция)</v>
      </c>
      <c r="B523" s="11" t="s">
        <v>11</v>
      </c>
      <c r="C523" s="11" t="s">
        <v>11</v>
      </c>
      <c r="D523" s="11" t="s">
        <v>11</v>
      </c>
      <c r="E523" s="11">
        <v>5</v>
      </c>
      <c r="F523" s="13">
        <v>100</v>
      </c>
      <c r="G523" s="13">
        <f t="shared" ref="G523" si="324">F523*H523</f>
        <v>30000</v>
      </c>
      <c r="H523" s="11">
        <f>60*E523</f>
        <v>300</v>
      </c>
      <c r="I523" s="11" t="s">
        <v>13</v>
      </c>
      <c r="J523" s="11" t="s">
        <v>11</v>
      </c>
      <c r="K523">
        <v>30000</v>
      </c>
      <c r="L523">
        <f t="shared" si="320"/>
        <v>1</v>
      </c>
      <c r="M523" s="23">
        <f t="shared" si="319"/>
        <v>30000</v>
      </c>
    </row>
    <row r="524" spans="1:13" ht="21" customHeight="1" outlineLevel="1" x14ac:dyDescent="0.25">
      <c r="A524" s="11" t="s">
        <v>331</v>
      </c>
      <c r="B524" s="11"/>
      <c r="C524" s="11"/>
      <c r="D524" s="11"/>
      <c r="E524" s="11"/>
      <c r="F524" s="13"/>
      <c r="G524" s="13">
        <f ca="1">SUBTOTAL(9,G515:G523)</f>
        <v>184080</v>
      </c>
      <c r="H524" s="11"/>
      <c r="I524" s="11"/>
      <c r="J524" s="11"/>
      <c r="K524">
        <v>184080</v>
      </c>
      <c r="L524">
        <f t="shared" si="320"/>
        <v>1</v>
      </c>
      <c r="M524" s="23">
        <f t="shared" ca="1" si="319"/>
        <v>184080</v>
      </c>
    </row>
    <row r="525" spans="1:13" ht="39.75" customHeight="1" outlineLevel="2" x14ac:dyDescent="0.25">
      <c r="A525" s="4" t="str">
        <f>D525</f>
        <v>ПР-инд (УКРМ-0,4-10 У3)  10 кВар 5х5 (13 секция)</v>
      </c>
      <c r="B525" s="5"/>
      <c r="C525" s="17"/>
      <c r="D525" s="5" t="s">
        <v>184</v>
      </c>
      <c r="E525" s="7"/>
      <c r="F525" s="7"/>
      <c r="G525" s="8"/>
      <c r="H525" s="9">
        <v>1</v>
      </c>
      <c r="I525" s="10" t="s">
        <v>7</v>
      </c>
      <c r="J525" s="5" t="s">
        <v>9</v>
      </c>
      <c r="L525">
        <f>H525</f>
        <v>1</v>
      </c>
      <c r="M525" s="23">
        <f t="shared" si="319"/>
        <v>0</v>
      </c>
    </row>
    <row r="526" spans="1:13" ht="39.75" customHeight="1" outlineLevel="1" x14ac:dyDescent="0.25">
      <c r="A526" s="4" t="s">
        <v>332</v>
      </c>
      <c r="B526" s="5"/>
      <c r="C526" s="17"/>
      <c r="D526" s="5"/>
      <c r="E526" s="7"/>
      <c r="F526" s="7"/>
      <c r="G526" s="8">
        <f>SUBTOTAL(9,G525:G525)</f>
        <v>0</v>
      </c>
      <c r="H526" s="9"/>
      <c r="I526" s="10"/>
      <c r="J526" s="5"/>
      <c r="K526">
        <v>0</v>
      </c>
      <c r="L526">
        <f>L525</f>
        <v>1</v>
      </c>
      <c r="M526" s="23">
        <f t="shared" si="319"/>
        <v>0</v>
      </c>
    </row>
    <row r="527" spans="1:13" ht="39.75" customHeight="1" outlineLevel="2" x14ac:dyDescent="0.25">
      <c r="A527" s="4" t="str">
        <f>D527</f>
        <v>Щит освещения (ПР) (13 секция)</v>
      </c>
      <c r="B527" s="5"/>
      <c r="C527" s="17"/>
      <c r="D527" s="5" t="s">
        <v>96</v>
      </c>
      <c r="E527" s="7"/>
      <c r="F527" s="7"/>
      <c r="G527" s="8"/>
      <c r="H527" s="9">
        <v>1</v>
      </c>
      <c r="I527" s="10" t="s">
        <v>7</v>
      </c>
      <c r="J527" s="5" t="s">
        <v>9</v>
      </c>
      <c r="L527">
        <f>H527</f>
        <v>1</v>
      </c>
      <c r="M527" s="23">
        <f t="shared" si="319"/>
        <v>0</v>
      </c>
    </row>
    <row r="528" spans="1:13" ht="21" customHeight="1" outlineLevel="2" x14ac:dyDescent="0.25">
      <c r="A528" s="11" t="str">
        <f>A527</f>
        <v>Щит освещения (ПР) (13 секция)</v>
      </c>
      <c r="B528" s="12" t="s">
        <v>8</v>
      </c>
      <c r="C528" s="18" t="s">
        <v>253</v>
      </c>
      <c r="D528" s="11" t="s">
        <v>88</v>
      </c>
      <c r="E528" s="12">
        <v>30500</v>
      </c>
      <c r="F528" s="13">
        <f>0.6*E528</f>
        <v>18300</v>
      </c>
      <c r="G528" s="13">
        <f>H528*F528</f>
        <v>18300</v>
      </c>
      <c r="H528" s="14">
        <v>1</v>
      </c>
      <c r="I528" s="15" t="s">
        <v>13</v>
      </c>
      <c r="J528" s="12" t="s">
        <v>16</v>
      </c>
      <c r="K528">
        <v>18300</v>
      </c>
      <c r="L528">
        <f t="shared" ref="L528:L535" si="325">L527</f>
        <v>1</v>
      </c>
      <c r="M528" s="23">
        <f t="shared" si="319"/>
        <v>18300</v>
      </c>
    </row>
    <row r="529" spans="1:13" ht="21" customHeight="1" outlineLevel="2" x14ac:dyDescent="0.25">
      <c r="A529" s="11" t="str">
        <f t="shared" ref="A529:A534" si="326">A528</f>
        <v>Щит освещения (ПР) (13 секция)</v>
      </c>
      <c r="B529" s="12" t="s">
        <v>64</v>
      </c>
      <c r="C529" s="18">
        <v>398043</v>
      </c>
      <c r="D529" s="11" t="s">
        <v>63</v>
      </c>
      <c r="E529" s="12">
        <v>2493</v>
      </c>
      <c r="F529" s="13">
        <f t="shared" ref="F529:F532" si="327">E529*0.6</f>
        <v>1495.8</v>
      </c>
      <c r="G529" s="13">
        <f>F529*H529</f>
        <v>1495.8</v>
      </c>
      <c r="H529" s="14">
        <v>1</v>
      </c>
      <c r="I529" s="15" t="s">
        <v>13</v>
      </c>
      <c r="J529" s="12" t="s">
        <v>36</v>
      </c>
      <c r="K529">
        <v>1495.8</v>
      </c>
      <c r="L529">
        <f t="shared" si="325"/>
        <v>1</v>
      </c>
      <c r="M529" s="23">
        <f t="shared" si="319"/>
        <v>1495.8</v>
      </c>
    </row>
    <row r="530" spans="1:13" ht="21" customHeight="1" outlineLevel="2" x14ac:dyDescent="0.25">
      <c r="A530" s="11" t="str">
        <f t="shared" si="326"/>
        <v>Щит освещения (ПР) (13 секция)</v>
      </c>
      <c r="B530" s="12" t="s">
        <v>12</v>
      </c>
      <c r="C530" s="18"/>
      <c r="D530" s="11" t="s">
        <v>204</v>
      </c>
      <c r="E530" s="12">
        <v>732</v>
      </c>
      <c r="F530" s="13">
        <f t="shared" si="327"/>
        <v>439.2</v>
      </c>
      <c r="G530" s="13">
        <f t="shared" ref="G530:G532" si="328">F530*H530</f>
        <v>878.4</v>
      </c>
      <c r="H530" s="14">
        <v>2</v>
      </c>
      <c r="I530" s="15" t="s">
        <v>13</v>
      </c>
      <c r="J530" s="12" t="s">
        <v>36</v>
      </c>
      <c r="K530">
        <v>878.4</v>
      </c>
      <c r="L530">
        <f t="shared" si="325"/>
        <v>1</v>
      </c>
      <c r="M530" s="23">
        <f t="shared" si="319"/>
        <v>878.4</v>
      </c>
    </row>
    <row r="531" spans="1:13" ht="21" customHeight="1" outlineLevel="2" x14ac:dyDescent="0.25">
      <c r="A531" s="11" t="str">
        <f t="shared" si="326"/>
        <v>Щит освещения (ПР) (13 секция)</v>
      </c>
      <c r="B531" s="12" t="s">
        <v>18</v>
      </c>
      <c r="C531" s="18">
        <v>105542</v>
      </c>
      <c r="D531" s="11" t="s">
        <v>65</v>
      </c>
      <c r="E531" s="12">
        <v>3513</v>
      </c>
      <c r="F531" s="13">
        <f t="shared" si="327"/>
        <v>2107.7999999999997</v>
      </c>
      <c r="G531" s="13">
        <f t="shared" si="328"/>
        <v>2107.7999999999997</v>
      </c>
      <c r="H531" s="14">
        <v>1</v>
      </c>
      <c r="I531" s="15" t="s">
        <v>13</v>
      </c>
      <c r="J531" s="12" t="s">
        <v>36</v>
      </c>
      <c r="K531">
        <v>2107.7999999999997</v>
      </c>
      <c r="L531">
        <f t="shared" si="325"/>
        <v>1</v>
      </c>
      <c r="M531" s="23">
        <f t="shared" si="319"/>
        <v>2107.7999999999997</v>
      </c>
    </row>
    <row r="532" spans="1:13" ht="21" customHeight="1" outlineLevel="2" x14ac:dyDescent="0.25">
      <c r="A532" s="11" t="str">
        <f t="shared" si="326"/>
        <v>Щит освещения (ПР) (13 секция)</v>
      </c>
      <c r="B532" s="12" t="s">
        <v>12</v>
      </c>
      <c r="C532" s="18"/>
      <c r="D532" s="11" t="s">
        <v>195</v>
      </c>
      <c r="E532" s="16">
        <v>2785</v>
      </c>
      <c r="F532" s="13">
        <f t="shared" si="327"/>
        <v>1671</v>
      </c>
      <c r="G532" s="13">
        <f t="shared" si="328"/>
        <v>5013</v>
      </c>
      <c r="H532" s="14">
        <v>3</v>
      </c>
      <c r="I532" s="15" t="s">
        <v>13</v>
      </c>
      <c r="J532" s="12" t="s">
        <v>36</v>
      </c>
      <c r="K532">
        <v>5013</v>
      </c>
      <c r="L532">
        <f t="shared" si="325"/>
        <v>1</v>
      </c>
      <c r="M532" s="23">
        <f t="shared" si="319"/>
        <v>5013</v>
      </c>
    </row>
    <row r="533" spans="1:13" ht="24" customHeight="1" outlineLevel="2" x14ac:dyDescent="0.25">
      <c r="A533" s="11" t="str">
        <f t="shared" si="326"/>
        <v>Щит освещения (ПР) (13 секция)</v>
      </c>
      <c r="B533" s="11" t="s">
        <v>10</v>
      </c>
      <c r="C533" s="11" t="s">
        <v>10</v>
      </c>
      <c r="D533" s="11" t="s">
        <v>10</v>
      </c>
      <c r="E533" s="11">
        <f ca="1">OFFSET(E533,1,2)</f>
        <v>9000</v>
      </c>
      <c r="F533" s="13">
        <f ca="1">E533</f>
        <v>9000</v>
      </c>
      <c r="G533" s="13">
        <f ca="1">F533*H533</f>
        <v>9000</v>
      </c>
      <c r="H533" s="11">
        <v>1</v>
      </c>
      <c r="I533" s="11" t="s">
        <v>13</v>
      </c>
      <c r="J533" s="11" t="s">
        <v>10</v>
      </c>
      <c r="K533">
        <v>9000</v>
      </c>
      <c r="L533">
        <f t="shared" si="325"/>
        <v>1</v>
      </c>
      <c r="M533" s="23">
        <f t="shared" ca="1" si="319"/>
        <v>9000</v>
      </c>
    </row>
    <row r="534" spans="1:13" ht="21" customHeight="1" outlineLevel="2" x14ac:dyDescent="0.25">
      <c r="A534" s="11" t="str">
        <f t="shared" si="326"/>
        <v>Щит освещения (ПР) (13 секция)</v>
      </c>
      <c r="B534" s="11" t="s">
        <v>11</v>
      </c>
      <c r="C534" s="11" t="s">
        <v>11</v>
      </c>
      <c r="D534" s="11" t="s">
        <v>11</v>
      </c>
      <c r="E534" s="11">
        <v>1.5</v>
      </c>
      <c r="F534" s="13">
        <v>100</v>
      </c>
      <c r="G534" s="13">
        <f t="shared" ref="G534" si="329">F534*H534</f>
        <v>9000</v>
      </c>
      <c r="H534" s="11">
        <f>60*E534</f>
        <v>90</v>
      </c>
      <c r="I534" s="11" t="s">
        <v>13</v>
      </c>
      <c r="J534" s="11" t="s">
        <v>11</v>
      </c>
      <c r="K534">
        <v>9000</v>
      </c>
      <c r="L534">
        <f t="shared" si="325"/>
        <v>1</v>
      </c>
      <c r="M534" s="23">
        <f t="shared" si="319"/>
        <v>9000</v>
      </c>
    </row>
    <row r="535" spans="1:13" ht="21" customHeight="1" outlineLevel="1" x14ac:dyDescent="0.25">
      <c r="A535" s="11" t="s">
        <v>333</v>
      </c>
      <c r="B535" s="11"/>
      <c r="C535" s="11"/>
      <c r="D535" s="11"/>
      <c r="E535" s="11"/>
      <c r="F535" s="13"/>
      <c r="G535" s="13">
        <f ca="1">SUBTOTAL(9,G527:G534)</f>
        <v>45795</v>
      </c>
      <c r="H535" s="11"/>
      <c r="I535" s="11"/>
      <c r="J535" s="11"/>
      <c r="K535">
        <v>45795</v>
      </c>
      <c r="L535">
        <f t="shared" si="325"/>
        <v>1</v>
      </c>
      <c r="M535" s="23">
        <f t="shared" ca="1" si="319"/>
        <v>45795</v>
      </c>
    </row>
    <row r="536" spans="1:13" ht="39.75" customHeight="1" outlineLevel="2" x14ac:dyDescent="0.25">
      <c r="A536" s="4" t="str">
        <f>D536</f>
        <v>ЩЭ1 4 сч. (13 секция)</v>
      </c>
      <c r="B536" s="5"/>
      <c r="C536" s="17"/>
      <c r="D536" s="5" t="s">
        <v>185</v>
      </c>
      <c r="E536" s="7"/>
      <c r="F536" s="7"/>
      <c r="G536" s="8"/>
      <c r="H536" s="9">
        <v>10</v>
      </c>
      <c r="I536" s="10" t="s">
        <v>7</v>
      </c>
      <c r="J536" s="5" t="s">
        <v>9</v>
      </c>
      <c r="L536">
        <f>H536</f>
        <v>10</v>
      </c>
      <c r="M536" s="23">
        <f t="shared" si="319"/>
        <v>0</v>
      </c>
    </row>
    <row r="537" spans="1:13" ht="21" customHeight="1" outlineLevel="2" x14ac:dyDescent="0.25">
      <c r="A537" s="11" t="str">
        <f>A536</f>
        <v>ЩЭ1 4 сч. (13 секция)</v>
      </c>
      <c r="B537" s="12" t="s">
        <v>8</v>
      </c>
      <c r="C537" s="18" t="s">
        <v>225</v>
      </c>
      <c r="D537" s="11" t="s">
        <v>224</v>
      </c>
      <c r="E537" s="12">
        <v>45000</v>
      </c>
      <c r="F537" s="13">
        <f>0.6*E537</f>
        <v>27000</v>
      </c>
      <c r="G537" s="13">
        <f>H537*F537</f>
        <v>27000</v>
      </c>
      <c r="H537" s="14">
        <v>1</v>
      </c>
      <c r="I537" s="15" t="s">
        <v>13</v>
      </c>
      <c r="J537" s="12" t="s">
        <v>16</v>
      </c>
      <c r="K537">
        <v>27000</v>
      </c>
      <c r="L537">
        <f t="shared" ref="L537:L542" si="330">L536</f>
        <v>10</v>
      </c>
      <c r="M537" s="23">
        <f t="shared" si="319"/>
        <v>270000</v>
      </c>
    </row>
    <row r="538" spans="1:13" ht="21" customHeight="1" outlineLevel="2" x14ac:dyDescent="0.25">
      <c r="A538" s="11" t="str">
        <f t="shared" ref="A538:A541" si="331">A537</f>
        <v>ЩЭ1 4 сч. (13 секция)</v>
      </c>
      <c r="B538" s="12" t="s">
        <v>64</v>
      </c>
      <c r="C538" s="18">
        <v>193176</v>
      </c>
      <c r="D538" s="11" t="s">
        <v>66</v>
      </c>
      <c r="E538" s="12">
        <v>2093</v>
      </c>
      <c r="F538" s="13">
        <f t="shared" ref="F538:F539" si="332">E538*0.6</f>
        <v>1255.8</v>
      </c>
      <c r="G538" s="13">
        <f>F538*H538</f>
        <v>5023.2</v>
      </c>
      <c r="H538" s="14">
        <v>4</v>
      </c>
      <c r="I538" s="15" t="s">
        <v>13</v>
      </c>
      <c r="J538" s="12" t="s">
        <v>36</v>
      </c>
      <c r="K538">
        <v>5023.2</v>
      </c>
      <c r="L538">
        <f t="shared" si="330"/>
        <v>10</v>
      </c>
      <c r="M538" s="23">
        <f t="shared" si="319"/>
        <v>50232</v>
      </c>
    </row>
    <row r="539" spans="1:13" ht="21" customHeight="1" outlineLevel="2" x14ac:dyDescent="0.25">
      <c r="A539" s="11" t="str">
        <f t="shared" si="331"/>
        <v>ЩЭ1 4 сч. (13 секция)</v>
      </c>
      <c r="B539" s="12" t="s">
        <v>12</v>
      </c>
      <c r="C539" s="18"/>
      <c r="D539" s="11" t="s">
        <v>200</v>
      </c>
      <c r="E539" s="16">
        <v>1922</v>
      </c>
      <c r="F539" s="13">
        <f t="shared" si="332"/>
        <v>1153.2</v>
      </c>
      <c r="G539" s="13">
        <f t="shared" ref="G539" si="333">F539*H539</f>
        <v>4612.8</v>
      </c>
      <c r="H539" s="14">
        <v>4</v>
      </c>
      <c r="I539" s="15" t="s">
        <v>13</v>
      </c>
      <c r="J539" s="12" t="s">
        <v>36</v>
      </c>
      <c r="K539">
        <v>4612.8</v>
      </c>
      <c r="L539">
        <f t="shared" si="330"/>
        <v>10</v>
      </c>
      <c r="M539" s="23">
        <f t="shared" si="319"/>
        <v>46128</v>
      </c>
    </row>
    <row r="540" spans="1:13" ht="24" customHeight="1" outlineLevel="2" x14ac:dyDescent="0.25">
      <c r="A540" s="11" t="str">
        <f t="shared" si="331"/>
        <v>ЩЭ1 4 сч. (13 секция)</v>
      </c>
      <c r="B540" s="11" t="s">
        <v>10</v>
      </c>
      <c r="C540" s="11" t="s">
        <v>10</v>
      </c>
      <c r="D540" s="11" t="s">
        <v>10</v>
      </c>
      <c r="E540" s="11">
        <f ca="1">OFFSET(E540,1,2)</f>
        <v>24000</v>
      </c>
      <c r="F540" s="13">
        <f ca="1">E540</f>
        <v>24000</v>
      </c>
      <c r="G540" s="13">
        <f ca="1">F540*H540</f>
        <v>24000</v>
      </c>
      <c r="H540" s="11">
        <v>1</v>
      </c>
      <c r="I540" s="11" t="s">
        <v>13</v>
      </c>
      <c r="J540" s="11" t="s">
        <v>10</v>
      </c>
      <c r="K540">
        <v>24000</v>
      </c>
      <c r="L540">
        <f t="shared" si="330"/>
        <v>10</v>
      </c>
      <c r="M540" s="23">
        <f t="shared" ca="1" si="319"/>
        <v>240000</v>
      </c>
    </row>
    <row r="541" spans="1:13" ht="21" customHeight="1" outlineLevel="2" x14ac:dyDescent="0.25">
      <c r="A541" s="11" t="str">
        <f t="shared" si="331"/>
        <v>ЩЭ1 4 сч. (13 секция)</v>
      </c>
      <c r="B541" s="11" t="s">
        <v>11</v>
      </c>
      <c r="C541" s="11" t="s">
        <v>11</v>
      </c>
      <c r="D541" s="11" t="s">
        <v>11</v>
      </c>
      <c r="E541" s="11">
        <v>4</v>
      </c>
      <c r="F541" s="13">
        <v>100</v>
      </c>
      <c r="G541" s="13">
        <f t="shared" ref="G541" si="334">F541*H541</f>
        <v>24000</v>
      </c>
      <c r="H541" s="11">
        <f>60*E541</f>
        <v>240</v>
      </c>
      <c r="I541" s="11" t="s">
        <v>13</v>
      </c>
      <c r="J541" s="11" t="s">
        <v>11</v>
      </c>
      <c r="K541">
        <v>24000</v>
      </c>
      <c r="L541">
        <f t="shared" si="330"/>
        <v>10</v>
      </c>
      <c r="M541" s="23">
        <f t="shared" si="319"/>
        <v>240000</v>
      </c>
    </row>
    <row r="542" spans="1:13" ht="21" customHeight="1" outlineLevel="1" x14ac:dyDescent="0.25">
      <c r="A542" s="11" t="s">
        <v>334</v>
      </c>
      <c r="B542" s="11"/>
      <c r="C542" s="11"/>
      <c r="D542" s="11"/>
      <c r="E542" s="11"/>
      <c r="F542" s="13"/>
      <c r="G542" s="13">
        <f ca="1">SUBTOTAL(9,G536:G541)</f>
        <v>84636</v>
      </c>
      <c r="H542" s="11"/>
      <c r="I542" s="11"/>
      <c r="J542" s="11"/>
      <c r="K542">
        <v>84636</v>
      </c>
      <c r="L542">
        <f t="shared" si="330"/>
        <v>10</v>
      </c>
      <c r="M542" s="23">
        <f t="shared" ca="1" si="319"/>
        <v>846360</v>
      </c>
    </row>
    <row r="543" spans="1:13" ht="39.75" customHeight="1" outlineLevel="2" x14ac:dyDescent="0.25">
      <c r="A543" s="4" t="str">
        <f>D543</f>
        <v>ЩЭ2 (13 секция)</v>
      </c>
      <c r="B543" s="5"/>
      <c r="C543" s="17"/>
      <c r="D543" s="5" t="s">
        <v>97</v>
      </c>
      <c r="E543" s="7"/>
      <c r="F543" s="7"/>
      <c r="G543" s="8"/>
      <c r="H543" s="9">
        <v>8</v>
      </c>
      <c r="I543" s="10" t="s">
        <v>7</v>
      </c>
      <c r="J543" s="5" t="s">
        <v>9</v>
      </c>
      <c r="L543">
        <f>H543</f>
        <v>8</v>
      </c>
      <c r="M543" s="23">
        <f t="shared" si="319"/>
        <v>0</v>
      </c>
    </row>
    <row r="544" spans="1:13" ht="21" customHeight="1" outlineLevel="2" x14ac:dyDescent="0.25">
      <c r="A544" s="11" t="str">
        <f>A543</f>
        <v>ЩЭ2 (13 секция)</v>
      </c>
      <c r="B544" s="12" t="s">
        <v>8</v>
      </c>
      <c r="C544" s="18" t="s">
        <v>227</v>
      </c>
      <c r="D544" s="11" t="s">
        <v>226</v>
      </c>
      <c r="E544" s="12">
        <v>44500</v>
      </c>
      <c r="F544" s="13">
        <f>0.6*E544</f>
        <v>26700</v>
      </c>
      <c r="G544" s="13">
        <f>H544*F544</f>
        <v>26700</v>
      </c>
      <c r="H544" s="14">
        <v>1</v>
      </c>
      <c r="I544" s="15" t="s">
        <v>13</v>
      </c>
      <c r="J544" s="12" t="s">
        <v>16</v>
      </c>
      <c r="K544">
        <v>26700</v>
      </c>
      <c r="L544">
        <f t="shared" ref="L544:L549" si="335">L543</f>
        <v>8</v>
      </c>
      <c r="M544" s="23">
        <f t="shared" si="319"/>
        <v>213600</v>
      </c>
    </row>
    <row r="545" spans="1:13" ht="21" customHeight="1" outlineLevel="2" x14ac:dyDescent="0.25">
      <c r="A545" s="11" t="str">
        <f t="shared" ref="A545:A548" si="336">A544</f>
        <v>ЩЭ2 (13 секция)</v>
      </c>
      <c r="B545" s="12" t="s">
        <v>64</v>
      </c>
      <c r="C545" s="18">
        <v>193176</v>
      </c>
      <c r="D545" s="11" t="s">
        <v>66</v>
      </c>
      <c r="E545" s="12">
        <v>2093</v>
      </c>
      <c r="F545" s="13">
        <f t="shared" ref="F545:F546" si="337">E545*0.6</f>
        <v>1255.8</v>
      </c>
      <c r="G545" s="13">
        <f>F545*H545</f>
        <v>6279</v>
      </c>
      <c r="H545" s="14">
        <v>5</v>
      </c>
      <c r="I545" s="15" t="s">
        <v>13</v>
      </c>
      <c r="J545" s="12" t="s">
        <v>36</v>
      </c>
      <c r="K545">
        <v>6279</v>
      </c>
      <c r="L545">
        <f t="shared" si="335"/>
        <v>8</v>
      </c>
      <c r="M545" s="23">
        <f t="shared" si="319"/>
        <v>50232</v>
      </c>
    </row>
    <row r="546" spans="1:13" ht="21" customHeight="1" outlineLevel="2" x14ac:dyDescent="0.25">
      <c r="A546" s="11" t="str">
        <f t="shared" si="336"/>
        <v>ЩЭ2 (13 секция)</v>
      </c>
      <c r="B546" s="12" t="s">
        <v>12</v>
      </c>
      <c r="C546" s="18"/>
      <c r="D546" s="11" t="s">
        <v>200</v>
      </c>
      <c r="E546" s="16">
        <v>1922</v>
      </c>
      <c r="F546" s="13">
        <f t="shared" si="337"/>
        <v>1153.2</v>
      </c>
      <c r="G546" s="13">
        <f t="shared" ref="G546" si="338">F546*H546</f>
        <v>5766</v>
      </c>
      <c r="H546" s="14">
        <v>5</v>
      </c>
      <c r="I546" s="15" t="s">
        <v>13</v>
      </c>
      <c r="J546" s="12" t="s">
        <v>36</v>
      </c>
      <c r="K546">
        <v>5766</v>
      </c>
      <c r="L546">
        <f t="shared" si="335"/>
        <v>8</v>
      </c>
      <c r="M546" s="23">
        <f t="shared" si="319"/>
        <v>46128</v>
      </c>
    </row>
    <row r="547" spans="1:13" ht="24" customHeight="1" outlineLevel="2" x14ac:dyDescent="0.25">
      <c r="A547" s="11" t="str">
        <f t="shared" si="336"/>
        <v>ЩЭ2 (13 секция)</v>
      </c>
      <c r="B547" s="11" t="s">
        <v>10</v>
      </c>
      <c r="C547" s="11" t="s">
        <v>10</v>
      </c>
      <c r="D547" s="11" t="s">
        <v>10</v>
      </c>
      <c r="E547" s="11">
        <f ca="1">OFFSET(E547,1,2)</f>
        <v>24000</v>
      </c>
      <c r="F547" s="13">
        <f ca="1">E547</f>
        <v>24000</v>
      </c>
      <c r="G547" s="13">
        <f ca="1">F547*H547</f>
        <v>24000</v>
      </c>
      <c r="H547" s="11">
        <v>1</v>
      </c>
      <c r="I547" s="11" t="s">
        <v>13</v>
      </c>
      <c r="J547" s="11" t="s">
        <v>10</v>
      </c>
      <c r="K547">
        <v>24000</v>
      </c>
      <c r="L547">
        <f t="shared" si="335"/>
        <v>8</v>
      </c>
      <c r="M547" s="23">
        <f t="shared" ca="1" si="319"/>
        <v>192000</v>
      </c>
    </row>
    <row r="548" spans="1:13" ht="21" customHeight="1" outlineLevel="2" x14ac:dyDescent="0.25">
      <c r="A548" s="11" t="str">
        <f t="shared" si="336"/>
        <v>ЩЭ2 (13 секция)</v>
      </c>
      <c r="B548" s="11" t="s">
        <v>11</v>
      </c>
      <c r="C548" s="11" t="s">
        <v>11</v>
      </c>
      <c r="D548" s="11" t="s">
        <v>11</v>
      </c>
      <c r="E548" s="11">
        <v>4</v>
      </c>
      <c r="F548" s="13">
        <v>100</v>
      </c>
      <c r="G548" s="13">
        <f t="shared" ref="G548" si="339">F548*H548</f>
        <v>24000</v>
      </c>
      <c r="H548" s="11">
        <f>60*E548</f>
        <v>240</v>
      </c>
      <c r="I548" s="11" t="s">
        <v>13</v>
      </c>
      <c r="J548" s="11" t="s">
        <v>11</v>
      </c>
      <c r="K548">
        <v>24000</v>
      </c>
      <c r="L548">
        <f t="shared" si="335"/>
        <v>8</v>
      </c>
      <c r="M548" s="23">
        <f t="shared" si="319"/>
        <v>192000</v>
      </c>
    </row>
    <row r="549" spans="1:13" ht="21" customHeight="1" outlineLevel="1" x14ac:dyDescent="0.25">
      <c r="A549" s="11" t="s">
        <v>335</v>
      </c>
      <c r="B549" s="11"/>
      <c r="C549" s="11"/>
      <c r="D549" s="11"/>
      <c r="E549" s="11"/>
      <c r="F549" s="13"/>
      <c r="G549" s="13">
        <f ca="1">SUBTOTAL(9,G543:G548)</f>
        <v>86745</v>
      </c>
      <c r="H549" s="11"/>
      <c r="I549" s="11"/>
      <c r="J549" s="11"/>
      <c r="K549">
        <v>86745</v>
      </c>
      <c r="L549">
        <f t="shared" si="335"/>
        <v>8</v>
      </c>
      <c r="M549" s="23">
        <f t="shared" ca="1" si="319"/>
        <v>693960</v>
      </c>
    </row>
    <row r="550" spans="1:13" ht="39.75" customHeight="1" outlineLevel="2" x14ac:dyDescent="0.25">
      <c r="A550" s="4" t="str">
        <f>D550</f>
        <v>ЩК (13 секция)</v>
      </c>
      <c r="B550" s="5"/>
      <c r="C550" s="17"/>
      <c r="D550" s="5" t="s">
        <v>98</v>
      </c>
      <c r="E550" s="7"/>
      <c r="F550" s="7"/>
      <c r="G550" s="8"/>
      <c r="H550" s="9">
        <v>80</v>
      </c>
      <c r="I550" s="10" t="s">
        <v>7</v>
      </c>
      <c r="J550" s="5" t="s">
        <v>9</v>
      </c>
      <c r="L550">
        <f>H550</f>
        <v>80</v>
      </c>
      <c r="M550" s="23">
        <f t="shared" si="319"/>
        <v>0</v>
      </c>
    </row>
    <row r="551" spans="1:13" ht="21" customHeight="1" outlineLevel="2" x14ac:dyDescent="0.25">
      <c r="A551" s="11" t="str">
        <f>A550</f>
        <v>ЩК (13 секция)</v>
      </c>
      <c r="B551" s="12" t="s">
        <v>8</v>
      </c>
      <c r="C551" s="18" t="s">
        <v>223</v>
      </c>
      <c r="D551" s="11" t="s">
        <v>222</v>
      </c>
      <c r="E551" s="12">
        <v>10050</v>
      </c>
      <c r="F551" s="13">
        <f>E551*0.6</f>
        <v>6030</v>
      </c>
      <c r="G551" s="13">
        <f>H551*F551</f>
        <v>6030</v>
      </c>
      <c r="H551" s="14">
        <v>1</v>
      </c>
      <c r="I551" s="15" t="s">
        <v>13</v>
      </c>
      <c r="J551" s="12" t="s">
        <v>262</v>
      </c>
      <c r="K551">
        <v>6030</v>
      </c>
      <c r="L551">
        <f t="shared" ref="L551:L558" si="340">L550</f>
        <v>80</v>
      </c>
      <c r="M551" s="23">
        <f t="shared" si="319"/>
        <v>482400</v>
      </c>
    </row>
    <row r="552" spans="1:13" ht="21" customHeight="1" outlineLevel="2" x14ac:dyDescent="0.25">
      <c r="A552" s="11" t="str">
        <f t="shared" ref="A552:A555" si="341">A551</f>
        <v>ЩК (13 секция)</v>
      </c>
      <c r="B552" s="12" t="s">
        <v>12</v>
      </c>
      <c r="C552" s="18"/>
      <c r="D552" s="11" t="s">
        <v>199</v>
      </c>
      <c r="E552" s="16">
        <v>1671</v>
      </c>
      <c r="F552" s="13">
        <f t="shared" ref="F552:F555" si="342">E552*0.6</f>
        <v>1002.5999999999999</v>
      </c>
      <c r="G552" s="13">
        <f t="shared" ref="G552:G555" si="343">F552*H552</f>
        <v>1002.5999999999999</v>
      </c>
      <c r="H552" s="14">
        <v>1</v>
      </c>
      <c r="I552" s="15" t="s">
        <v>13</v>
      </c>
      <c r="J552" s="12" t="s">
        <v>36</v>
      </c>
      <c r="K552">
        <v>1002.5999999999999</v>
      </c>
      <c r="L552">
        <f t="shared" si="340"/>
        <v>80</v>
      </c>
      <c r="M552" s="23">
        <f t="shared" si="319"/>
        <v>80208</v>
      </c>
    </row>
    <row r="553" spans="1:13" ht="21" customHeight="1" outlineLevel="2" x14ac:dyDescent="0.25">
      <c r="A553" s="11" t="str">
        <f t="shared" si="341"/>
        <v>ЩК (13 секция)</v>
      </c>
      <c r="B553" s="12" t="s">
        <v>12</v>
      </c>
      <c r="C553" s="18"/>
      <c r="D553" s="11" t="s">
        <v>197</v>
      </c>
      <c r="E553" s="12">
        <v>710</v>
      </c>
      <c r="F553" s="13">
        <f t="shared" si="342"/>
        <v>426</v>
      </c>
      <c r="G553" s="13">
        <f t="shared" si="343"/>
        <v>426</v>
      </c>
      <c r="H553" s="14">
        <v>1</v>
      </c>
      <c r="I553" s="15" t="s">
        <v>13</v>
      </c>
      <c r="J553" s="12" t="s">
        <v>36</v>
      </c>
      <c r="K553">
        <v>426</v>
      </c>
      <c r="L553">
        <f t="shared" si="340"/>
        <v>80</v>
      </c>
      <c r="M553" s="23">
        <f t="shared" si="319"/>
        <v>34080</v>
      </c>
    </row>
    <row r="554" spans="1:13" ht="21" customHeight="1" outlineLevel="2" x14ac:dyDescent="0.25">
      <c r="A554" s="11" t="str">
        <f t="shared" si="341"/>
        <v>ЩК (13 секция)</v>
      </c>
      <c r="B554" s="12" t="s">
        <v>18</v>
      </c>
      <c r="C554" s="18">
        <v>105546</v>
      </c>
      <c r="D554" s="11" t="s">
        <v>67</v>
      </c>
      <c r="E554" s="12">
        <v>3513</v>
      </c>
      <c r="F554" s="13">
        <f t="shared" si="342"/>
        <v>2107.7999999999997</v>
      </c>
      <c r="G554" s="13">
        <f t="shared" si="343"/>
        <v>2107.7999999999997</v>
      </c>
      <c r="H554" s="14">
        <v>1</v>
      </c>
      <c r="I554" s="15" t="s">
        <v>13</v>
      </c>
      <c r="J554" s="12" t="s">
        <v>36</v>
      </c>
      <c r="K554">
        <v>2107.7999999999997</v>
      </c>
      <c r="L554">
        <f t="shared" si="340"/>
        <v>80</v>
      </c>
      <c r="M554" s="23">
        <f t="shared" si="319"/>
        <v>168623.99999999997</v>
      </c>
    </row>
    <row r="555" spans="1:13" ht="21" customHeight="1" outlineLevel="2" x14ac:dyDescent="0.25">
      <c r="A555" s="11" t="str">
        <f t="shared" si="341"/>
        <v>ЩК (13 секция)</v>
      </c>
      <c r="B555" s="12" t="s">
        <v>18</v>
      </c>
      <c r="C555" s="18">
        <v>105544</v>
      </c>
      <c r="D555" s="11" t="s">
        <v>68</v>
      </c>
      <c r="E555" s="12">
        <v>3331</v>
      </c>
      <c r="F555" s="13">
        <f t="shared" si="342"/>
        <v>1998.6</v>
      </c>
      <c r="G555" s="13">
        <f t="shared" si="343"/>
        <v>7994.4</v>
      </c>
      <c r="H555" s="14">
        <v>4</v>
      </c>
      <c r="I555" s="15" t="s">
        <v>13</v>
      </c>
      <c r="J555" s="12" t="s">
        <v>36</v>
      </c>
      <c r="K555">
        <v>7994.4</v>
      </c>
      <c r="L555">
        <f t="shared" si="340"/>
        <v>80</v>
      </c>
      <c r="M555" s="23">
        <f t="shared" si="319"/>
        <v>639552</v>
      </c>
    </row>
    <row r="556" spans="1:13" ht="24" customHeight="1" outlineLevel="2" x14ac:dyDescent="0.25">
      <c r="A556" s="11" t="str">
        <f>A553</f>
        <v>ЩК (13 секция)</v>
      </c>
      <c r="B556" s="11" t="s">
        <v>10</v>
      </c>
      <c r="C556" s="11" t="s">
        <v>10</v>
      </c>
      <c r="D556" s="11" t="s">
        <v>10</v>
      </c>
      <c r="E556" s="11">
        <f ca="1">OFFSET(E556,1,2)</f>
        <v>6000</v>
      </c>
      <c r="F556" s="13">
        <f ca="1">E556</f>
        <v>6000</v>
      </c>
      <c r="G556" s="13">
        <f ca="1">F556*H556</f>
        <v>6000</v>
      </c>
      <c r="H556" s="11">
        <v>1</v>
      </c>
      <c r="I556" s="11" t="s">
        <v>13</v>
      </c>
      <c r="J556" s="11" t="s">
        <v>10</v>
      </c>
      <c r="K556">
        <v>6000</v>
      </c>
      <c r="L556">
        <f t="shared" si="340"/>
        <v>80</v>
      </c>
      <c r="M556" s="23">
        <f t="shared" ca="1" si="319"/>
        <v>480000</v>
      </c>
    </row>
    <row r="557" spans="1:13" ht="21" customHeight="1" outlineLevel="2" x14ac:dyDescent="0.25">
      <c r="A557" s="11" t="str">
        <f t="shared" ref="A557" si="344">A556</f>
        <v>ЩК (13 секция)</v>
      </c>
      <c r="B557" s="11" t="s">
        <v>11</v>
      </c>
      <c r="C557" s="11" t="s">
        <v>11</v>
      </c>
      <c r="D557" s="11" t="s">
        <v>11</v>
      </c>
      <c r="E557" s="11">
        <v>1</v>
      </c>
      <c r="F557" s="13">
        <v>100</v>
      </c>
      <c r="G557" s="13">
        <f t="shared" ref="G557" si="345">F557*H557</f>
        <v>6000</v>
      </c>
      <c r="H557" s="11">
        <f>60*E557</f>
        <v>60</v>
      </c>
      <c r="I557" s="11" t="s">
        <v>13</v>
      </c>
      <c r="J557" s="11" t="s">
        <v>11</v>
      </c>
      <c r="K557">
        <v>6000</v>
      </c>
      <c r="L557">
        <f t="shared" si="340"/>
        <v>80</v>
      </c>
      <c r="M557" s="23">
        <f t="shared" si="319"/>
        <v>480000</v>
      </c>
    </row>
    <row r="558" spans="1:13" ht="21" customHeight="1" outlineLevel="1" x14ac:dyDescent="0.25">
      <c r="A558" s="11" t="s">
        <v>336</v>
      </c>
      <c r="B558" s="11"/>
      <c r="C558" s="11"/>
      <c r="D558" s="11"/>
      <c r="E558" s="11"/>
      <c r="F558" s="13"/>
      <c r="G558" s="13">
        <f ca="1">SUBTOTAL(9,G550:G557)</f>
        <v>29560.799999999999</v>
      </c>
      <c r="H558" s="11"/>
      <c r="I558" s="11"/>
      <c r="J558" s="11"/>
      <c r="K558">
        <v>29560.799999999999</v>
      </c>
      <c r="L558">
        <f t="shared" si="340"/>
        <v>80</v>
      </c>
      <c r="M558" s="23">
        <f t="shared" ca="1" si="319"/>
        <v>2364864</v>
      </c>
    </row>
    <row r="559" spans="1:13" ht="39.75" customHeight="1" outlineLevel="2" x14ac:dyDescent="0.25">
      <c r="A559" s="4" t="str">
        <f>D559</f>
        <v>ЩО1ж; ЩО2ж (13 секция)</v>
      </c>
      <c r="B559" s="5"/>
      <c r="C559" s="17"/>
      <c r="D559" s="5" t="s">
        <v>99</v>
      </c>
      <c r="E559" s="7"/>
      <c r="F559" s="7"/>
      <c r="G559" s="8"/>
      <c r="H559" s="9">
        <v>2</v>
      </c>
      <c r="I559" s="10" t="s">
        <v>7</v>
      </c>
      <c r="J559" s="5" t="s">
        <v>9</v>
      </c>
      <c r="L559">
        <f>H559</f>
        <v>2</v>
      </c>
      <c r="M559" s="23">
        <f t="shared" si="319"/>
        <v>0</v>
      </c>
    </row>
    <row r="560" spans="1:13" ht="21" customHeight="1" outlineLevel="2" x14ac:dyDescent="0.25">
      <c r="A560" s="11" t="str">
        <f>A559</f>
        <v>ЩО1ж; ЩО2ж (13 секция)</v>
      </c>
      <c r="B560" s="12" t="s">
        <v>8</v>
      </c>
      <c r="C560" s="18" t="s">
        <v>254</v>
      </c>
      <c r="D560" s="11" t="s">
        <v>255</v>
      </c>
      <c r="E560" s="12">
        <v>10500</v>
      </c>
      <c r="F560" s="13">
        <f>0.6*E560</f>
        <v>6300</v>
      </c>
      <c r="G560" s="13">
        <f>H560*F560</f>
        <v>6300</v>
      </c>
      <c r="H560" s="14">
        <v>1</v>
      </c>
      <c r="I560" s="15" t="s">
        <v>13</v>
      </c>
      <c r="J560" s="12" t="s">
        <v>16</v>
      </c>
      <c r="K560">
        <v>6300</v>
      </c>
      <c r="L560">
        <f t="shared" ref="L560:L565" si="346">L559</f>
        <v>2</v>
      </c>
      <c r="M560" s="23">
        <f t="shared" si="319"/>
        <v>12600</v>
      </c>
    </row>
    <row r="561" spans="1:13" ht="21" customHeight="1" outlineLevel="2" x14ac:dyDescent="0.25">
      <c r="A561" s="11" t="str">
        <f t="shared" ref="A561:A562" si="347">A560</f>
        <v>ЩО1ж; ЩО2ж (13 секция)</v>
      </c>
      <c r="B561" s="12" t="s">
        <v>64</v>
      </c>
      <c r="C561" s="18">
        <v>193180</v>
      </c>
      <c r="D561" s="11" t="s">
        <v>60</v>
      </c>
      <c r="E561" s="12">
        <v>2493</v>
      </c>
      <c r="F561" s="13">
        <f t="shared" ref="F561:F562" si="348">E561*0.6</f>
        <v>1495.8</v>
      </c>
      <c r="G561" s="13">
        <f t="shared" ref="G561:G562" si="349">F561*H561</f>
        <v>1495.8</v>
      </c>
      <c r="H561" s="14">
        <v>1</v>
      </c>
      <c r="I561" s="15" t="s">
        <v>13</v>
      </c>
      <c r="J561" s="12" t="s">
        <v>36</v>
      </c>
      <c r="K561">
        <v>1495.8</v>
      </c>
      <c r="L561">
        <f t="shared" si="346"/>
        <v>2</v>
      </c>
      <c r="M561" s="23">
        <f t="shared" si="319"/>
        <v>2991.6</v>
      </c>
    </row>
    <row r="562" spans="1:13" ht="21" customHeight="1" outlineLevel="2" x14ac:dyDescent="0.25">
      <c r="A562" s="11" t="str">
        <f t="shared" si="347"/>
        <v>ЩО1ж; ЩО2ж (13 секция)</v>
      </c>
      <c r="B562" s="12" t="s">
        <v>12</v>
      </c>
      <c r="C562" s="18">
        <v>296709</v>
      </c>
      <c r="D562" s="11" t="s">
        <v>196</v>
      </c>
      <c r="E562" s="12">
        <v>699</v>
      </c>
      <c r="F562" s="13">
        <f t="shared" si="348"/>
        <v>419.4</v>
      </c>
      <c r="G562" s="13">
        <f t="shared" si="349"/>
        <v>2516.3999999999996</v>
      </c>
      <c r="H562" s="14">
        <v>6</v>
      </c>
      <c r="I562" s="15" t="s">
        <v>13</v>
      </c>
      <c r="J562" s="12" t="s">
        <v>36</v>
      </c>
      <c r="K562">
        <v>2516.3999999999996</v>
      </c>
      <c r="L562">
        <f t="shared" si="346"/>
        <v>2</v>
      </c>
      <c r="M562" s="23">
        <f t="shared" si="319"/>
        <v>5032.7999999999993</v>
      </c>
    </row>
    <row r="563" spans="1:13" ht="24" customHeight="1" outlineLevel="2" x14ac:dyDescent="0.25">
      <c r="A563" s="11" t="str">
        <f>A562</f>
        <v>ЩО1ж; ЩО2ж (13 секция)</v>
      </c>
      <c r="B563" s="11" t="s">
        <v>10</v>
      </c>
      <c r="C563" s="11" t="s">
        <v>10</v>
      </c>
      <c r="D563" s="11" t="s">
        <v>10</v>
      </c>
      <c r="E563" s="11">
        <f ca="1">OFFSET(E563,1,2)</f>
        <v>6000</v>
      </c>
      <c r="F563" s="13">
        <f ca="1">E563</f>
        <v>6000</v>
      </c>
      <c r="G563" s="13">
        <f ca="1">F563*H563</f>
        <v>6000</v>
      </c>
      <c r="H563" s="11">
        <v>1</v>
      </c>
      <c r="I563" s="11" t="s">
        <v>13</v>
      </c>
      <c r="J563" s="11" t="s">
        <v>10</v>
      </c>
      <c r="K563">
        <v>6000</v>
      </c>
      <c r="L563">
        <f t="shared" si="346"/>
        <v>2</v>
      </c>
      <c r="M563" s="23">
        <f t="shared" ca="1" si="319"/>
        <v>12000</v>
      </c>
    </row>
    <row r="564" spans="1:13" ht="21" customHeight="1" outlineLevel="2" x14ac:dyDescent="0.25">
      <c r="A564" s="11" t="str">
        <f t="shared" ref="A564" si="350">A563</f>
        <v>ЩО1ж; ЩО2ж (13 секция)</v>
      </c>
      <c r="B564" s="11" t="s">
        <v>11</v>
      </c>
      <c r="C564" s="11" t="s">
        <v>11</v>
      </c>
      <c r="D564" s="11" t="s">
        <v>11</v>
      </c>
      <c r="E564" s="11">
        <v>1</v>
      </c>
      <c r="F564" s="13">
        <v>100</v>
      </c>
      <c r="G564" s="13">
        <f t="shared" ref="G564" si="351">F564*H564</f>
        <v>6000</v>
      </c>
      <c r="H564" s="11">
        <f>60*E564</f>
        <v>60</v>
      </c>
      <c r="I564" s="11" t="s">
        <v>13</v>
      </c>
      <c r="J564" s="11" t="s">
        <v>11</v>
      </c>
      <c r="K564">
        <v>6000</v>
      </c>
      <c r="L564">
        <f t="shared" si="346"/>
        <v>2</v>
      </c>
      <c r="M564" s="23">
        <f t="shared" si="319"/>
        <v>12000</v>
      </c>
    </row>
    <row r="565" spans="1:13" ht="21" customHeight="1" outlineLevel="1" x14ac:dyDescent="0.25">
      <c r="A565" s="11" t="s">
        <v>337</v>
      </c>
      <c r="B565" s="11"/>
      <c r="C565" s="11"/>
      <c r="D565" s="11"/>
      <c r="E565" s="11"/>
      <c r="F565" s="13"/>
      <c r="G565" s="13">
        <f ca="1">SUBTOTAL(9,G559:G564)</f>
        <v>22312.2</v>
      </c>
      <c r="H565" s="11"/>
      <c r="I565" s="11"/>
      <c r="J565" s="11"/>
      <c r="K565">
        <v>22312.2</v>
      </c>
      <c r="L565">
        <f t="shared" si="346"/>
        <v>2</v>
      </c>
      <c r="M565" s="23">
        <f t="shared" ca="1" si="319"/>
        <v>44624.4</v>
      </c>
    </row>
    <row r="566" spans="1:13" ht="39.75" customHeight="1" outlineLevel="2" x14ac:dyDescent="0.25">
      <c r="A566" s="4" t="str">
        <f>D566</f>
        <v>ЩАО1ж; ЩАО2ж (13 секция)</v>
      </c>
      <c r="B566" s="5"/>
      <c r="C566" s="17"/>
      <c r="D566" s="5" t="s">
        <v>217</v>
      </c>
      <c r="E566" s="7"/>
      <c r="F566" s="7"/>
      <c r="G566" s="8"/>
      <c r="H566" s="9">
        <v>2</v>
      </c>
      <c r="I566" s="10" t="s">
        <v>7</v>
      </c>
      <c r="J566" s="5" t="s">
        <v>9</v>
      </c>
      <c r="L566">
        <f>H566</f>
        <v>2</v>
      </c>
      <c r="M566" s="23">
        <f t="shared" si="319"/>
        <v>0</v>
      </c>
    </row>
    <row r="567" spans="1:13" ht="21" customHeight="1" outlineLevel="2" x14ac:dyDescent="0.25">
      <c r="A567" s="11" t="str">
        <f>A566</f>
        <v>ЩАО1ж; ЩАО2ж (13 секция)</v>
      </c>
      <c r="B567" s="12" t="s">
        <v>8</v>
      </c>
      <c r="C567" s="18" t="s">
        <v>254</v>
      </c>
      <c r="D567" s="11" t="s">
        <v>255</v>
      </c>
      <c r="E567" s="12">
        <v>10500</v>
      </c>
      <c r="F567" s="13">
        <f>0.6*E567</f>
        <v>6300</v>
      </c>
      <c r="G567" s="13">
        <f>H567*F567</f>
        <v>6300</v>
      </c>
      <c r="H567" s="14">
        <v>1</v>
      </c>
      <c r="I567" s="15" t="s">
        <v>13</v>
      </c>
      <c r="J567" s="12" t="s">
        <v>16</v>
      </c>
      <c r="K567">
        <v>6300</v>
      </c>
      <c r="L567">
        <f t="shared" ref="L567:L572" si="352">L566</f>
        <v>2</v>
      </c>
      <c r="M567" s="23">
        <f t="shared" si="319"/>
        <v>12600</v>
      </c>
    </row>
    <row r="568" spans="1:13" ht="21" customHeight="1" outlineLevel="2" x14ac:dyDescent="0.25">
      <c r="A568" s="11" t="str">
        <f t="shared" ref="A568:A569" si="353">A567</f>
        <v>ЩАО1ж; ЩАО2ж (13 секция)</v>
      </c>
      <c r="B568" s="12" t="s">
        <v>64</v>
      </c>
      <c r="C568" s="18">
        <v>193180</v>
      </c>
      <c r="D568" s="11" t="s">
        <v>60</v>
      </c>
      <c r="E568" s="12">
        <v>2493</v>
      </c>
      <c r="F568" s="13">
        <f t="shared" ref="F568:F569" si="354">E568*0.6</f>
        <v>1495.8</v>
      </c>
      <c r="G568" s="13">
        <f t="shared" ref="G568:G569" si="355">F568*H568</f>
        <v>1495.8</v>
      </c>
      <c r="H568" s="14">
        <v>1</v>
      </c>
      <c r="I568" s="15" t="s">
        <v>13</v>
      </c>
      <c r="J568" s="12" t="s">
        <v>36</v>
      </c>
      <c r="K568">
        <v>1495.8</v>
      </c>
      <c r="L568">
        <f t="shared" si="352"/>
        <v>2</v>
      </c>
      <c r="M568" s="23">
        <f t="shared" si="319"/>
        <v>2991.6</v>
      </c>
    </row>
    <row r="569" spans="1:13" ht="21" customHeight="1" outlineLevel="2" x14ac:dyDescent="0.25">
      <c r="A569" s="11" t="str">
        <f t="shared" si="353"/>
        <v>ЩАО1ж; ЩАО2ж (13 секция)</v>
      </c>
      <c r="B569" s="12" t="s">
        <v>12</v>
      </c>
      <c r="C569" s="18">
        <v>296709</v>
      </c>
      <c r="D569" s="11" t="s">
        <v>196</v>
      </c>
      <c r="E569" s="12">
        <v>699</v>
      </c>
      <c r="F569" s="13">
        <f t="shared" si="354"/>
        <v>419.4</v>
      </c>
      <c r="G569" s="13">
        <f t="shared" si="355"/>
        <v>1677.6</v>
      </c>
      <c r="H569" s="14">
        <v>4</v>
      </c>
      <c r="I569" s="15" t="s">
        <v>13</v>
      </c>
      <c r="J569" s="12" t="s">
        <v>36</v>
      </c>
      <c r="K569">
        <v>1677.6</v>
      </c>
      <c r="L569">
        <f t="shared" si="352"/>
        <v>2</v>
      </c>
      <c r="M569" s="23">
        <f t="shared" si="319"/>
        <v>3355.2</v>
      </c>
    </row>
    <row r="570" spans="1:13" ht="24" customHeight="1" outlineLevel="2" x14ac:dyDescent="0.25">
      <c r="A570" s="11" t="str">
        <f>A569</f>
        <v>ЩАО1ж; ЩАО2ж (13 секция)</v>
      </c>
      <c r="B570" s="11" t="s">
        <v>10</v>
      </c>
      <c r="C570" s="11" t="s">
        <v>10</v>
      </c>
      <c r="D570" s="11" t="s">
        <v>10</v>
      </c>
      <c r="E570" s="11">
        <f ca="1">OFFSET(E570,1,2)</f>
        <v>6000</v>
      </c>
      <c r="F570" s="13">
        <f ca="1">E570</f>
        <v>6000</v>
      </c>
      <c r="G570" s="13">
        <f ca="1">F570*H570</f>
        <v>6000</v>
      </c>
      <c r="H570" s="11">
        <v>1</v>
      </c>
      <c r="I570" s="11" t="s">
        <v>13</v>
      </c>
      <c r="J570" s="11" t="s">
        <v>10</v>
      </c>
      <c r="K570">
        <v>6000</v>
      </c>
      <c r="L570">
        <f t="shared" si="352"/>
        <v>2</v>
      </c>
      <c r="M570" s="23">
        <f t="shared" ca="1" si="319"/>
        <v>12000</v>
      </c>
    </row>
    <row r="571" spans="1:13" ht="21" customHeight="1" outlineLevel="2" x14ac:dyDescent="0.25">
      <c r="A571" s="11" t="str">
        <f t="shared" ref="A571" si="356">A570</f>
        <v>ЩАО1ж; ЩАО2ж (13 секция)</v>
      </c>
      <c r="B571" s="11" t="s">
        <v>11</v>
      </c>
      <c r="C571" s="11" t="s">
        <v>11</v>
      </c>
      <c r="D571" s="11" t="s">
        <v>11</v>
      </c>
      <c r="E571" s="11">
        <v>1</v>
      </c>
      <c r="F571" s="13">
        <v>100</v>
      </c>
      <c r="G571" s="13">
        <f t="shared" ref="G571" si="357">F571*H571</f>
        <v>6000</v>
      </c>
      <c r="H571" s="11">
        <f>60*E571</f>
        <v>60</v>
      </c>
      <c r="I571" s="11" t="s">
        <v>13</v>
      </c>
      <c r="J571" s="11" t="s">
        <v>11</v>
      </c>
      <c r="K571">
        <v>6000</v>
      </c>
      <c r="L571">
        <f t="shared" si="352"/>
        <v>2</v>
      </c>
      <c r="M571" s="23">
        <f t="shared" si="319"/>
        <v>12000</v>
      </c>
    </row>
    <row r="572" spans="1:13" ht="21" customHeight="1" outlineLevel="1" x14ac:dyDescent="0.25">
      <c r="A572" s="11" t="s">
        <v>338</v>
      </c>
      <c r="B572" s="11"/>
      <c r="C572" s="11"/>
      <c r="D572" s="11"/>
      <c r="E572" s="11"/>
      <c r="F572" s="13"/>
      <c r="G572" s="13">
        <f ca="1">SUBTOTAL(9,G566:G571)</f>
        <v>21473.4</v>
      </c>
      <c r="H572" s="11"/>
      <c r="I572" s="11"/>
      <c r="J572" s="11"/>
      <c r="K572">
        <v>21473.4</v>
      </c>
      <c r="L572">
        <f t="shared" si="352"/>
        <v>2</v>
      </c>
      <c r="M572" s="23">
        <f t="shared" ca="1" si="319"/>
        <v>42946.8</v>
      </c>
    </row>
    <row r="573" spans="1:13" ht="39.75" customHeight="1" outlineLevel="2" x14ac:dyDescent="0.25">
      <c r="A573" s="4" t="str">
        <f>D573</f>
        <v>Шкаф ЯРП-Инд (ЯРВ-100А) 460х250х145  IP31 (13 секция)</v>
      </c>
      <c r="B573" s="5"/>
      <c r="C573" s="17"/>
      <c r="D573" s="5" t="s">
        <v>101</v>
      </c>
      <c r="E573" s="7"/>
      <c r="F573" s="7"/>
      <c r="G573" s="8"/>
      <c r="H573" s="9">
        <v>1</v>
      </c>
      <c r="I573" s="10" t="s">
        <v>7</v>
      </c>
      <c r="J573" s="5" t="s">
        <v>9</v>
      </c>
      <c r="L573">
        <f>H573</f>
        <v>1</v>
      </c>
      <c r="M573" s="23">
        <f t="shared" si="319"/>
        <v>0</v>
      </c>
    </row>
    <row r="574" spans="1:13" ht="39.75" customHeight="1" outlineLevel="1" x14ac:dyDescent="0.25">
      <c r="A574" s="4" t="s">
        <v>339</v>
      </c>
      <c r="B574" s="5"/>
      <c r="C574" s="17"/>
      <c r="D574" s="5"/>
      <c r="E574" s="7"/>
      <c r="F574" s="7"/>
      <c r="G574" s="8">
        <f>SUBTOTAL(9,G573:G573)</f>
        <v>0</v>
      </c>
      <c r="H574" s="9"/>
      <c r="I574" s="10"/>
      <c r="J574" s="5"/>
      <c r="K574">
        <v>0</v>
      </c>
      <c r="L574">
        <f>L573</f>
        <v>1</v>
      </c>
      <c r="M574" s="23">
        <f t="shared" si="319"/>
        <v>0</v>
      </c>
    </row>
    <row r="575" spans="1:13" ht="39.75" customHeight="1" outlineLevel="2" x14ac:dyDescent="0.25">
      <c r="A575" s="4" t="str">
        <f>D575</f>
        <v>ЩУ-Т1 (13 секция)</v>
      </c>
      <c r="B575" s="5"/>
      <c r="C575" s="17"/>
      <c r="D575" s="5" t="s">
        <v>100</v>
      </c>
      <c r="E575" s="7"/>
      <c r="F575" s="7"/>
      <c r="G575" s="8"/>
      <c r="H575" s="9">
        <v>1</v>
      </c>
      <c r="I575" s="10" t="s">
        <v>7</v>
      </c>
      <c r="J575" s="5" t="s">
        <v>9</v>
      </c>
      <c r="L575">
        <f>H575</f>
        <v>1</v>
      </c>
      <c r="M575" s="23">
        <f t="shared" si="319"/>
        <v>0</v>
      </c>
    </row>
    <row r="576" spans="1:13" ht="21" customHeight="1" outlineLevel="2" x14ac:dyDescent="0.25">
      <c r="A576" s="11" t="str">
        <f>A575</f>
        <v>ЩУ-Т1 (13 секция)</v>
      </c>
      <c r="B576" s="12" t="s">
        <v>8</v>
      </c>
      <c r="C576" s="18" t="s">
        <v>254</v>
      </c>
      <c r="D576" s="11" t="s">
        <v>255</v>
      </c>
      <c r="E576" s="12">
        <v>10500</v>
      </c>
      <c r="F576" s="13">
        <f>0.6*E576</f>
        <v>6300</v>
      </c>
      <c r="G576" s="13">
        <f>H576*F576</f>
        <v>6300</v>
      </c>
      <c r="H576" s="14">
        <v>1</v>
      </c>
      <c r="I576" s="15" t="s">
        <v>13</v>
      </c>
      <c r="J576" s="12" t="s">
        <v>16</v>
      </c>
      <c r="K576">
        <v>6300</v>
      </c>
      <c r="L576">
        <f t="shared" ref="L576:L584" si="358">L575</f>
        <v>1</v>
      </c>
      <c r="M576" s="23">
        <f t="shared" si="319"/>
        <v>6300</v>
      </c>
    </row>
    <row r="577" spans="1:13" ht="21" customHeight="1" outlineLevel="2" x14ac:dyDescent="0.25">
      <c r="A577" s="11" t="str">
        <f t="shared" ref="A577:A580" si="359">A576</f>
        <v>ЩУ-Т1 (13 секция)</v>
      </c>
      <c r="B577" s="12" t="s">
        <v>18</v>
      </c>
      <c r="C577" s="18">
        <v>105542</v>
      </c>
      <c r="D577" s="11" t="s">
        <v>65</v>
      </c>
      <c r="E577" s="12">
        <v>3513</v>
      </c>
      <c r="F577" s="13">
        <f t="shared" ref="F577:F580" si="360">E577*0.6</f>
        <v>2107.7999999999997</v>
      </c>
      <c r="G577" s="13">
        <f t="shared" ref="G577:G581" si="361">F577*H577</f>
        <v>2107.7999999999997</v>
      </c>
      <c r="H577" s="14">
        <v>1</v>
      </c>
      <c r="I577" s="15" t="s">
        <v>13</v>
      </c>
      <c r="J577" s="12" t="s">
        <v>36</v>
      </c>
      <c r="K577">
        <v>2107.7999999999997</v>
      </c>
      <c r="L577">
        <f t="shared" si="358"/>
        <v>1</v>
      </c>
      <c r="M577" s="23">
        <f t="shared" si="319"/>
        <v>2107.7999999999997</v>
      </c>
    </row>
    <row r="578" spans="1:13" ht="21" customHeight="1" outlineLevel="2" x14ac:dyDescent="0.25">
      <c r="A578" s="11" t="str">
        <f t="shared" si="359"/>
        <v>ЩУ-Т1 (13 секция)</v>
      </c>
      <c r="B578" s="12" t="s">
        <v>12</v>
      </c>
      <c r="C578" s="18"/>
      <c r="D578" s="11" t="s">
        <v>198</v>
      </c>
      <c r="E578" s="16">
        <v>1660</v>
      </c>
      <c r="F578" s="13">
        <f t="shared" si="360"/>
        <v>996</v>
      </c>
      <c r="G578" s="13">
        <f t="shared" si="361"/>
        <v>996</v>
      </c>
      <c r="H578" s="14">
        <v>1</v>
      </c>
      <c r="I578" s="15" t="s">
        <v>13</v>
      </c>
      <c r="J578" s="12" t="s">
        <v>36</v>
      </c>
      <c r="K578">
        <v>996</v>
      </c>
      <c r="L578">
        <f t="shared" si="358"/>
        <v>1</v>
      </c>
      <c r="M578" s="23">
        <f t="shared" si="319"/>
        <v>996</v>
      </c>
    </row>
    <row r="579" spans="1:13" ht="21" customHeight="1" outlineLevel="2" x14ac:dyDescent="0.25">
      <c r="A579" s="11" t="str">
        <f t="shared" si="359"/>
        <v>ЩУ-Т1 (13 секция)</v>
      </c>
      <c r="B579" s="12" t="s">
        <v>12</v>
      </c>
      <c r="C579" s="18">
        <v>296708</v>
      </c>
      <c r="D579" s="11" t="s">
        <v>31</v>
      </c>
      <c r="E579" s="12">
        <v>828</v>
      </c>
      <c r="F579" s="13">
        <f t="shared" si="360"/>
        <v>496.79999999999995</v>
      </c>
      <c r="G579" s="13">
        <f t="shared" si="361"/>
        <v>496.79999999999995</v>
      </c>
      <c r="H579" s="14">
        <v>1</v>
      </c>
      <c r="I579" s="15" t="s">
        <v>13</v>
      </c>
      <c r="J579" s="12" t="s">
        <v>36</v>
      </c>
      <c r="K579">
        <v>496.79999999999995</v>
      </c>
      <c r="L579">
        <f t="shared" si="358"/>
        <v>1</v>
      </c>
      <c r="M579" s="23">
        <f t="shared" ref="M579:M642" si="362">L579*G579</f>
        <v>496.79999999999995</v>
      </c>
    </row>
    <row r="580" spans="1:13" ht="21" customHeight="1" outlineLevel="2" x14ac:dyDescent="0.25">
      <c r="A580" s="11" t="str">
        <f t="shared" si="359"/>
        <v>ЩУ-Т1 (13 секция)</v>
      </c>
      <c r="B580" s="12" t="s">
        <v>21</v>
      </c>
      <c r="C580" s="18" t="s">
        <v>70</v>
      </c>
      <c r="D580" s="11" t="s">
        <v>69</v>
      </c>
      <c r="E580" s="12">
        <v>3505</v>
      </c>
      <c r="F580" s="13">
        <f t="shared" si="360"/>
        <v>2103</v>
      </c>
      <c r="G580" s="13">
        <f t="shared" si="361"/>
        <v>2103</v>
      </c>
      <c r="H580" s="14">
        <v>1</v>
      </c>
      <c r="I580" s="15" t="s">
        <v>13</v>
      </c>
      <c r="J580" s="12" t="s">
        <v>36</v>
      </c>
      <c r="K580">
        <v>2103</v>
      </c>
      <c r="L580">
        <f t="shared" si="358"/>
        <v>1</v>
      </c>
      <c r="M580" s="23">
        <f t="shared" si="362"/>
        <v>2103</v>
      </c>
    </row>
    <row r="581" spans="1:13" ht="21" customHeight="1" outlineLevel="2" x14ac:dyDescent="0.25">
      <c r="A581" s="11" t="str">
        <f>A577</f>
        <v>ЩУ-Т1 (13 секция)</v>
      </c>
      <c r="B581" s="12" t="s">
        <v>71</v>
      </c>
      <c r="C581" s="18" t="s">
        <v>264</v>
      </c>
      <c r="D581" s="11" t="s">
        <v>263</v>
      </c>
      <c r="E581" s="16">
        <v>19505</v>
      </c>
      <c r="F581" s="13">
        <f>E581</f>
        <v>19505</v>
      </c>
      <c r="G581" s="13">
        <f t="shared" si="361"/>
        <v>19505</v>
      </c>
      <c r="H581" s="14">
        <v>1</v>
      </c>
      <c r="I581" s="15" t="s">
        <v>13</v>
      </c>
      <c r="J581" s="12" t="s">
        <v>20</v>
      </c>
      <c r="K581">
        <v>19505</v>
      </c>
      <c r="L581">
        <f t="shared" si="358"/>
        <v>1</v>
      </c>
      <c r="M581" s="23">
        <f t="shared" si="362"/>
        <v>19505</v>
      </c>
    </row>
    <row r="582" spans="1:13" ht="24" customHeight="1" outlineLevel="2" x14ac:dyDescent="0.25">
      <c r="A582" s="11" t="str">
        <f>A578</f>
        <v>ЩУ-Т1 (13 секция)</v>
      </c>
      <c r="B582" s="11" t="s">
        <v>10</v>
      </c>
      <c r="C582" s="11" t="s">
        <v>10</v>
      </c>
      <c r="D582" s="11" t="s">
        <v>10</v>
      </c>
      <c r="E582" s="11">
        <f ca="1">OFFSET(E582,1,2)</f>
        <v>6000</v>
      </c>
      <c r="F582" s="13">
        <f ca="1">E582</f>
        <v>6000</v>
      </c>
      <c r="G582" s="13">
        <f ca="1">F582*H582</f>
        <v>6000</v>
      </c>
      <c r="H582" s="11">
        <v>1</v>
      </c>
      <c r="I582" s="11" t="s">
        <v>13</v>
      </c>
      <c r="J582" s="11" t="s">
        <v>10</v>
      </c>
      <c r="K582">
        <v>6000</v>
      </c>
      <c r="L582">
        <f t="shared" si="358"/>
        <v>1</v>
      </c>
      <c r="M582" s="23">
        <f t="shared" ca="1" si="362"/>
        <v>6000</v>
      </c>
    </row>
    <row r="583" spans="1:13" ht="21" customHeight="1" outlineLevel="2" x14ac:dyDescent="0.25">
      <c r="A583" s="11" t="str">
        <f t="shared" ref="A583" si="363">A582</f>
        <v>ЩУ-Т1 (13 секция)</v>
      </c>
      <c r="B583" s="11" t="s">
        <v>11</v>
      </c>
      <c r="C583" s="11" t="s">
        <v>11</v>
      </c>
      <c r="D583" s="11" t="s">
        <v>11</v>
      </c>
      <c r="E583" s="11">
        <v>1</v>
      </c>
      <c r="F583" s="13">
        <v>100</v>
      </c>
      <c r="G583" s="13">
        <f t="shared" ref="G583" si="364">F583*H583</f>
        <v>6000</v>
      </c>
      <c r="H583" s="11">
        <f>60*E583</f>
        <v>60</v>
      </c>
      <c r="I583" s="11" t="s">
        <v>13</v>
      </c>
      <c r="J583" s="11" t="s">
        <v>11</v>
      </c>
      <c r="K583">
        <v>6000</v>
      </c>
      <c r="L583">
        <f t="shared" si="358"/>
        <v>1</v>
      </c>
      <c r="M583" s="23">
        <f t="shared" si="362"/>
        <v>6000</v>
      </c>
    </row>
    <row r="584" spans="1:13" ht="21" customHeight="1" outlineLevel="1" x14ac:dyDescent="0.25">
      <c r="A584" s="11" t="s">
        <v>340</v>
      </c>
      <c r="B584" s="11"/>
      <c r="C584" s="11"/>
      <c r="D584" s="11"/>
      <c r="E584" s="11"/>
      <c r="F584" s="13"/>
      <c r="G584" s="13">
        <f ca="1">SUBTOTAL(9,G575:G583)</f>
        <v>43508.6</v>
      </c>
      <c r="H584" s="11"/>
      <c r="I584" s="11"/>
      <c r="J584" s="11"/>
      <c r="K584">
        <v>43508.6</v>
      </c>
      <c r="L584">
        <f t="shared" si="358"/>
        <v>1</v>
      </c>
      <c r="M584" s="23">
        <f t="shared" ca="1" si="362"/>
        <v>43508.6</v>
      </c>
    </row>
    <row r="585" spans="1:13" ht="39.75" customHeight="1" outlineLevel="2" x14ac:dyDescent="0.25">
      <c r="A585" s="4" t="str">
        <f>D585</f>
        <v>ЩЭ1 4 сч. (14 секция)</v>
      </c>
      <c r="B585" s="5"/>
      <c r="C585" s="17"/>
      <c r="D585" s="5" t="s">
        <v>186</v>
      </c>
      <c r="E585" s="7"/>
      <c r="F585" s="7"/>
      <c r="G585" s="8"/>
      <c r="H585" s="9">
        <v>1</v>
      </c>
      <c r="I585" s="10" t="s">
        <v>7</v>
      </c>
      <c r="J585" s="5" t="s">
        <v>9</v>
      </c>
      <c r="L585">
        <f>H585</f>
        <v>1</v>
      </c>
      <c r="M585" s="23">
        <f t="shared" si="362"/>
        <v>0</v>
      </c>
    </row>
    <row r="586" spans="1:13" ht="21" customHeight="1" outlineLevel="2" x14ac:dyDescent="0.25">
      <c r="A586" s="11" t="str">
        <f>A585</f>
        <v>ЩЭ1 4 сч. (14 секция)</v>
      </c>
      <c r="B586" s="12" t="s">
        <v>8</v>
      </c>
      <c r="C586" s="18" t="s">
        <v>225</v>
      </c>
      <c r="D586" s="11" t="s">
        <v>224</v>
      </c>
      <c r="E586" s="12">
        <v>45000</v>
      </c>
      <c r="F586" s="13">
        <f>0.6*E586</f>
        <v>27000</v>
      </c>
      <c r="G586" s="13">
        <f>H586*F586</f>
        <v>27000</v>
      </c>
      <c r="H586" s="14">
        <v>1</v>
      </c>
      <c r="I586" s="15" t="s">
        <v>13</v>
      </c>
      <c r="J586" s="12" t="s">
        <v>16</v>
      </c>
      <c r="K586">
        <v>27000</v>
      </c>
      <c r="L586">
        <f t="shared" ref="L586:L591" si="365">L585</f>
        <v>1</v>
      </c>
      <c r="M586" s="23">
        <f t="shared" si="362"/>
        <v>27000</v>
      </c>
    </row>
    <row r="587" spans="1:13" ht="21" customHeight="1" outlineLevel="2" x14ac:dyDescent="0.25">
      <c r="A587" s="11" t="str">
        <f t="shared" ref="A587:A590" si="366">A586</f>
        <v>ЩЭ1 4 сч. (14 секция)</v>
      </c>
      <c r="B587" s="12" t="s">
        <v>64</v>
      </c>
      <c r="C587" s="18">
        <v>193176</v>
      </c>
      <c r="D587" s="11" t="s">
        <v>66</v>
      </c>
      <c r="E587" s="12">
        <v>2093</v>
      </c>
      <c r="F587" s="13">
        <f t="shared" ref="F587:F588" si="367">E587*0.6</f>
        <v>1255.8</v>
      </c>
      <c r="G587" s="13">
        <f>F587*H587</f>
        <v>5023.2</v>
      </c>
      <c r="H587" s="14">
        <v>4</v>
      </c>
      <c r="I587" s="15" t="s">
        <v>13</v>
      </c>
      <c r="J587" s="12" t="s">
        <v>36</v>
      </c>
      <c r="K587">
        <v>5023.2</v>
      </c>
      <c r="L587">
        <f t="shared" si="365"/>
        <v>1</v>
      </c>
      <c r="M587" s="23">
        <f t="shared" si="362"/>
        <v>5023.2</v>
      </c>
    </row>
    <row r="588" spans="1:13" ht="21" customHeight="1" outlineLevel="2" x14ac:dyDescent="0.25">
      <c r="A588" s="11" t="str">
        <f t="shared" si="366"/>
        <v>ЩЭ1 4 сч. (14 секция)</v>
      </c>
      <c r="B588" s="12" t="s">
        <v>12</v>
      </c>
      <c r="C588" s="18"/>
      <c r="D588" s="11" t="s">
        <v>200</v>
      </c>
      <c r="E588" s="16">
        <v>1922</v>
      </c>
      <c r="F588" s="13">
        <f t="shared" si="367"/>
        <v>1153.2</v>
      </c>
      <c r="G588" s="13">
        <f t="shared" ref="G588" si="368">F588*H588</f>
        <v>4612.8</v>
      </c>
      <c r="H588" s="14">
        <v>4</v>
      </c>
      <c r="I588" s="15" t="s">
        <v>13</v>
      </c>
      <c r="J588" s="12" t="s">
        <v>36</v>
      </c>
      <c r="K588">
        <v>4612.8</v>
      </c>
      <c r="L588">
        <f t="shared" si="365"/>
        <v>1</v>
      </c>
      <c r="M588" s="23">
        <f t="shared" si="362"/>
        <v>4612.8</v>
      </c>
    </row>
    <row r="589" spans="1:13" ht="24" customHeight="1" outlineLevel="2" x14ac:dyDescent="0.25">
      <c r="A589" s="11" t="str">
        <f t="shared" si="366"/>
        <v>ЩЭ1 4 сч. (14 секция)</v>
      </c>
      <c r="B589" s="11" t="s">
        <v>10</v>
      </c>
      <c r="C589" s="11" t="s">
        <v>10</v>
      </c>
      <c r="D589" s="11" t="s">
        <v>10</v>
      </c>
      <c r="E589" s="11">
        <f ca="1">OFFSET(E589,1,2)</f>
        <v>24000</v>
      </c>
      <c r="F589" s="13">
        <f ca="1">E589</f>
        <v>24000</v>
      </c>
      <c r="G589" s="13">
        <f ca="1">F589*H589</f>
        <v>24000</v>
      </c>
      <c r="H589" s="11">
        <v>1</v>
      </c>
      <c r="I589" s="11" t="s">
        <v>13</v>
      </c>
      <c r="J589" s="11" t="s">
        <v>10</v>
      </c>
      <c r="K589">
        <v>24000</v>
      </c>
      <c r="L589">
        <f t="shared" si="365"/>
        <v>1</v>
      </c>
      <c r="M589" s="23">
        <f t="shared" ca="1" si="362"/>
        <v>24000</v>
      </c>
    </row>
    <row r="590" spans="1:13" ht="21" customHeight="1" outlineLevel="2" x14ac:dyDescent="0.25">
      <c r="A590" s="11" t="str">
        <f t="shared" si="366"/>
        <v>ЩЭ1 4 сч. (14 секция)</v>
      </c>
      <c r="B590" s="11" t="s">
        <v>11</v>
      </c>
      <c r="C590" s="11" t="s">
        <v>11</v>
      </c>
      <c r="D590" s="11" t="s">
        <v>11</v>
      </c>
      <c r="E590" s="11">
        <v>4</v>
      </c>
      <c r="F590" s="13">
        <v>100</v>
      </c>
      <c r="G590" s="13">
        <f t="shared" ref="G590" si="369">F590*H590</f>
        <v>24000</v>
      </c>
      <c r="H590" s="11">
        <f>60*E590</f>
        <v>240</v>
      </c>
      <c r="I590" s="11" t="s">
        <v>13</v>
      </c>
      <c r="J590" s="11" t="s">
        <v>11</v>
      </c>
      <c r="K590">
        <v>24000</v>
      </c>
      <c r="L590">
        <f t="shared" si="365"/>
        <v>1</v>
      </c>
      <c r="M590" s="23">
        <f t="shared" si="362"/>
        <v>24000</v>
      </c>
    </row>
    <row r="591" spans="1:13" ht="21" customHeight="1" outlineLevel="1" x14ac:dyDescent="0.25">
      <c r="A591" s="11" t="s">
        <v>341</v>
      </c>
      <c r="B591" s="11"/>
      <c r="C591" s="11"/>
      <c r="D591" s="11"/>
      <c r="E591" s="11"/>
      <c r="F591" s="13"/>
      <c r="G591" s="13">
        <f ca="1">SUBTOTAL(9,G585:G590)</f>
        <v>84636</v>
      </c>
      <c r="H591" s="11"/>
      <c r="I591" s="11"/>
      <c r="J591" s="11"/>
      <c r="K591">
        <v>84636</v>
      </c>
      <c r="L591">
        <f t="shared" si="365"/>
        <v>1</v>
      </c>
      <c r="M591" s="23">
        <f t="shared" ca="1" si="362"/>
        <v>84636</v>
      </c>
    </row>
    <row r="592" spans="1:13" ht="39.75" customHeight="1" outlineLevel="2" x14ac:dyDescent="0.25">
      <c r="A592" s="4" t="str">
        <f>D592</f>
        <v>ЩЭ2 (14 секция)</v>
      </c>
      <c r="B592" s="5"/>
      <c r="C592" s="17"/>
      <c r="D592" s="5" t="s">
        <v>102</v>
      </c>
      <c r="E592" s="7"/>
      <c r="F592" s="7"/>
      <c r="G592" s="8"/>
      <c r="H592" s="9">
        <v>8</v>
      </c>
      <c r="I592" s="10" t="s">
        <v>7</v>
      </c>
      <c r="J592" s="5" t="s">
        <v>9</v>
      </c>
      <c r="L592">
        <f>H592</f>
        <v>8</v>
      </c>
      <c r="M592" s="23">
        <f t="shared" si="362"/>
        <v>0</v>
      </c>
    </row>
    <row r="593" spans="1:13" ht="21" customHeight="1" outlineLevel="2" x14ac:dyDescent="0.25">
      <c r="A593" s="11" t="str">
        <f>A592</f>
        <v>ЩЭ2 (14 секция)</v>
      </c>
      <c r="B593" s="12" t="s">
        <v>8</v>
      </c>
      <c r="C593" s="18" t="s">
        <v>227</v>
      </c>
      <c r="D593" s="11" t="s">
        <v>226</v>
      </c>
      <c r="E593" s="12">
        <v>44500</v>
      </c>
      <c r="F593" s="13">
        <f>0.6*E593</f>
        <v>26700</v>
      </c>
      <c r="G593" s="13">
        <f>H593*F593</f>
        <v>26700</v>
      </c>
      <c r="H593" s="14">
        <v>1</v>
      </c>
      <c r="I593" s="15" t="s">
        <v>13</v>
      </c>
      <c r="J593" s="12" t="s">
        <v>16</v>
      </c>
      <c r="K593">
        <v>26700</v>
      </c>
      <c r="L593">
        <f t="shared" ref="L593:L598" si="370">L592</f>
        <v>8</v>
      </c>
      <c r="M593" s="23">
        <f t="shared" si="362"/>
        <v>213600</v>
      </c>
    </row>
    <row r="594" spans="1:13" ht="21" customHeight="1" outlineLevel="2" x14ac:dyDescent="0.25">
      <c r="A594" s="11" t="str">
        <f t="shared" ref="A594:A597" si="371">A593</f>
        <v>ЩЭ2 (14 секция)</v>
      </c>
      <c r="B594" s="12" t="s">
        <v>64</v>
      </c>
      <c r="C594" s="18">
        <v>193176</v>
      </c>
      <c r="D594" s="11" t="s">
        <v>66</v>
      </c>
      <c r="E594" s="12">
        <v>2093</v>
      </c>
      <c r="F594" s="13">
        <f t="shared" ref="F594:F595" si="372">E594*0.6</f>
        <v>1255.8</v>
      </c>
      <c r="G594" s="13">
        <f>F594*H594</f>
        <v>6279</v>
      </c>
      <c r="H594" s="14">
        <v>5</v>
      </c>
      <c r="I594" s="15" t="s">
        <v>13</v>
      </c>
      <c r="J594" s="12" t="s">
        <v>36</v>
      </c>
      <c r="K594">
        <v>6279</v>
      </c>
      <c r="L594">
        <f t="shared" si="370"/>
        <v>8</v>
      </c>
      <c r="M594" s="23">
        <f t="shared" si="362"/>
        <v>50232</v>
      </c>
    </row>
    <row r="595" spans="1:13" ht="21" customHeight="1" outlineLevel="2" x14ac:dyDescent="0.25">
      <c r="A595" s="11" t="str">
        <f t="shared" si="371"/>
        <v>ЩЭ2 (14 секция)</v>
      </c>
      <c r="B595" s="12" t="s">
        <v>12</v>
      </c>
      <c r="C595" s="18"/>
      <c r="D595" s="11" t="s">
        <v>200</v>
      </c>
      <c r="E595" s="16">
        <v>1922</v>
      </c>
      <c r="F595" s="13">
        <f t="shared" si="372"/>
        <v>1153.2</v>
      </c>
      <c r="G595" s="13">
        <f t="shared" ref="G595" si="373">F595*H595</f>
        <v>5766</v>
      </c>
      <c r="H595" s="14">
        <v>5</v>
      </c>
      <c r="I595" s="15" t="s">
        <v>13</v>
      </c>
      <c r="J595" s="12" t="s">
        <v>36</v>
      </c>
      <c r="K595">
        <v>5766</v>
      </c>
      <c r="L595">
        <f t="shared" si="370"/>
        <v>8</v>
      </c>
      <c r="M595" s="23">
        <f t="shared" si="362"/>
        <v>46128</v>
      </c>
    </row>
    <row r="596" spans="1:13" ht="24" customHeight="1" outlineLevel="2" x14ac:dyDescent="0.25">
      <c r="A596" s="11" t="str">
        <f t="shared" si="371"/>
        <v>ЩЭ2 (14 секция)</v>
      </c>
      <c r="B596" s="11" t="s">
        <v>10</v>
      </c>
      <c r="C596" s="11" t="s">
        <v>10</v>
      </c>
      <c r="D596" s="11" t="s">
        <v>10</v>
      </c>
      <c r="E596" s="11">
        <f ca="1">OFFSET(E596,1,2)</f>
        <v>24000</v>
      </c>
      <c r="F596" s="13">
        <f ca="1">E596</f>
        <v>24000</v>
      </c>
      <c r="G596" s="13">
        <f ca="1">F596*H596</f>
        <v>24000</v>
      </c>
      <c r="H596" s="11">
        <v>1</v>
      </c>
      <c r="I596" s="11" t="s">
        <v>13</v>
      </c>
      <c r="J596" s="11" t="s">
        <v>10</v>
      </c>
      <c r="K596">
        <v>24000</v>
      </c>
      <c r="L596">
        <f t="shared" si="370"/>
        <v>8</v>
      </c>
      <c r="M596" s="23">
        <f t="shared" ca="1" si="362"/>
        <v>192000</v>
      </c>
    </row>
    <row r="597" spans="1:13" ht="21" customHeight="1" outlineLevel="2" x14ac:dyDescent="0.25">
      <c r="A597" s="11" t="str">
        <f t="shared" si="371"/>
        <v>ЩЭ2 (14 секция)</v>
      </c>
      <c r="B597" s="11" t="s">
        <v>11</v>
      </c>
      <c r="C597" s="11" t="s">
        <v>11</v>
      </c>
      <c r="D597" s="11" t="s">
        <v>11</v>
      </c>
      <c r="E597" s="11">
        <v>4</v>
      </c>
      <c r="F597" s="13">
        <v>100</v>
      </c>
      <c r="G597" s="13">
        <f t="shared" ref="G597" si="374">F597*H597</f>
        <v>24000</v>
      </c>
      <c r="H597" s="11">
        <f>60*E597</f>
        <v>240</v>
      </c>
      <c r="I597" s="11" t="s">
        <v>13</v>
      </c>
      <c r="J597" s="11" t="s">
        <v>11</v>
      </c>
      <c r="K597">
        <v>24000</v>
      </c>
      <c r="L597">
        <f t="shared" si="370"/>
        <v>8</v>
      </c>
      <c r="M597" s="23">
        <f t="shared" si="362"/>
        <v>192000</v>
      </c>
    </row>
    <row r="598" spans="1:13" ht="21" customHeight="1" outlineLevel="1" x14ac:dyDescent="0.25">
      <c r="A598" s="11" t="s">
        <v>342</v>
      </c>
      <c r="B598" s="11"/>
      <c r="C598" s="11"/>
      <c r="D598" s="11"/>
      <c r="E598" s="11"/>
      <c r="F598" s="13"/>
      <c r="G598" s="13">
        <f ca="1">SUBTOTAL(9,G592:G597)</f>
        <v>86745</v>
      </c>
      <c r="H598" s="11"/>
      <c r="I598" s="11"/>
      <c r="J598" s="11"/>
      <c r="K598">
        <v>86745</v>
      </c>
      <c r="L598">
        <f t="shared" si="370"/>
        <v>8</v>
      </c>
      <c r="M598" s="23">
        <f t="shared" ca="1" si="362"/>
        <v>693960</v>
      </c>
    </row>
    <row r="599" spans="1:13" ht="39.75" customHeight="1" outlineLevel="2" x14ac:dyDescent="0.25">
      <c r="A599" s="4" t="str">
        <f>D599</f>
        <v>ЩК (14 секция)</v>
      </c>
      <c r="B599" s="5"/>
      <c r="C599" s="17"/>
      <c r="D599" s="5" t="s">
        <v>103</v>
      </c>
      <c r="E599" s="7"/>
      <c r="F599" s="7"/>
      <c r="G599" s="8"/>
      <c r="H599" s="9">
        <v>44</v>
      </c>
      <c r="I599" s="10" t="s">
        <v>7</v>
      </c>
      <c r="J599" s="5" t="s">
        <v>9</v>
      </c>
      <c r="L599">
        <f>H599</f>
        <v>44</v>
      </c>
      <c r="M599" s="23">
        <f t="shared" si="362"/>
        <v>0</v>
      </c>
    </row>
    <row r="600" spans="1:13" ht="21" customHeight="1" outlineLevel="2" x14ac:dyDescent="0.25">
      <c r="A600" s="11" t="str">
        <f>A599</f>
        <v>ЩК (14 секция)</v>
      </c>
      <c r="B600" s="12" t="s">
        <v>8</v>
      </c>
      <c r="C600" s="18" t="s">
        <v>223</v>
      </c>
      <c r="D600" s="11" t="s">
        <v>222</v>
      </c>
      <c r="E600" s="12">
        <v>10050</v>
      </c>
      <c r="F600" s="13">
        <f>E600*0.6</f>
        <v>6030</v>
      </c>
      <c r="G600" s="13">
        <f>H600*F600</f>
        <v>6030</v>
      </c>
      <c r="H600" s="14">
        <v>1</v>
      </c>
      <c r="I600" s="15" t="s">
        <v>13</v>
      </c>
      <c r="J600" s="12" t="s">
        <v>262</v>
      </c>
      <c r="K600">
        <v>6030</v>
      </c>
      <c r="L600">
        <f t="shared" ref="L600:L607" si="375">L599</f>
        <v>44</v>
      </c>
      <c r="M600" s="23">
        <f t="shared" si="362"/>
        <v>265320</v>
      </c>
    </row>
    <row r="601" spans="1:13" ht="21" customHeight="1" outlineLevel="2" x14ac:dyDescent="0.25">
      <c r="A601" s="11" t="str">
        <f t="shared" ref="A601:A604" si="376">A600</f>
        <v>ЩК (14 секция)</v>
      </c>
      <c r="B601" s="12" t="s">
        <v>12</v>
      </c>
      <c r="C601" s="18"/>
      <c r="D601" s="11" t="s">
        <v>199</v>
      </c>
      <c r="E601" s="16">
        <v>1671</v>
      </c>
      <c r="F601" s="13">
        <f t="shared" ref="F601:F604" si="377">E601*0.6</f>
        <v>1002.5999999999999</v>
      </c>
      <c r="G601" s="13">
        <f t="shared" ref="G601:G604" si="378">F601*H601</f>
        <v>1002.5999999999999</v>
      </c>
      <c r="H601" s="14">
        <v>1</v>
      </c>
      <c r="I601" s="15" t="s">
        <v>13</v>
      </c>
      <c r="J601" s="12" t="s">
        <v>36</v>
      </c>
      <c r="K601">
        <v>1002.5999999999999</v>
      </c>
      <c r="L601">
        <f t="shared" si="375"/>
        <v>44</v>
      </c>
      <c r="M601" s="23">
        <f t="shared" si="362"/>
        <v>44114.399999999994</v>
      </c>
    </row>
    <row r="602" spans="1:13" ht="21" customHeight="1" outlineLevel="2" x14ac:dyDescent="0.25">
      <c r="A602" s="11" t="str">
        <f t="shared" si="376"/>
        <v>ЩК (14 секция)</v>
      </c>
      <c r="B602" s="12" t="s">
        <v>12</v>
      </c>
      <c r="C602" s="18"/>
      <c r="D602" s="11" t="s">
        <v>197</v>
      </c>
      <c r="E602" s="12">
        <v>710</v>
      </c>
      <c r="F602" s="13">
        <f t="shared" si="377"/>
        <v>426</v>
      </c>
      <c r="G602" s="13">
        <f t="shared" si="378"/>
        <v>426</v>
      </c>
      <c r="H602" s="14">
        <v>1</v>
      </c>
      <c r="I602" s="15" t="s">
        <v>13</v>
      </c>
      <c r="J602" s="12" t="s">
        <v>36</v>
      </c>
      <c r="K602">
        <v>426</v>
      </c>
      <c r="L602">
        <f t="shared" si="375"/>
        <v>44</v>
      </c>
      <c r="M602" s="23">
        <f t="shared" si="362"/>
        <v>18744</v>
      </c>
    </row>
    <row r="603" spans="1:13" ht="21" customHeight="1" outlineLevel="2" x14ac:dyDescent="0.25">
      <c r="A603" s="11" t="str">
        <f t="shared" si="376"/>
        <v>ЩК (14 секция)</v>
      </c>
      <c r="B603" s="12" t="s">
        <v>18</v>
      </c>
      <c r="C603" s="18">
        <v>105546</v>
      </c>
      <c r="D603" s="11" t="s">
        <v>67</v>
      </c>
      <c r="E603" s="12">
        <v>3513</v>
      </c>
      <c r="F603" s="13">
        <f t="shared" si="377"/>
        <v>2107.7999999999997</v>
      </c>
      <c r="G603" s="13">
        <f t="shared" si="378"/>
        <v>2107.7999999999997</v>
      </c>
      <c r="H603" s="14">
        <v>1</v>
      </c>
      <c r="I603" s="15" t="s">
        <v>13</v>
      </c>
      <c r="J603" s="12" t="s">
        <v>36</v>
      </c>
      <c r="K603">
        <v>2107.7999999999997</v>
      </c>
      <c r="L603">
        <f t="shared" si="375"/>
        <v>44</v>
      </c>
      <c r="M603" s="23">
        <f t="shared" si="362"/>
        <v>92743.199999999983</v>
      </c>
    </row>
    <row r="604" spans="1:13" ht="21" customHeight="1" outlineLevel="2" x14ac:dyDescent="0.25">
      <c r="A604" s="11" t="str">
        <f t="shared" si="376"/>
        <v>ЩК (14 секция)</v>
      </c>
      <c r="B604" s="12" t="s">
        <v>18</v>
      </c>
      <c r="C604" s="18">
        <v>105544</v>
      </c>
      <c r="D604" s="11" t="s">
        <v>68</v>
      </c>
      <c r="E604" s="12">
        <v>3331</v>
      </c>
      <c r="F604" s="13">
        <f t="shared" si="377"/>
        <v>1998.6</v>
      </c>
      <c r="G604" s="13">
        <f t="shared" si="378"/>
        <v>7994.4</v>
      </c>
      <c r="H604" s="14">
        <v>4</v>
      </c>
      <c r="I604" s="15" t="s">
        <v>13</v>
      </c>
      <c r="J604" s="12" t="s">
        <v>36</v>
      </c>
      <c r="K604">
        <v>7994.4</v>
      </c>
      <c r="L604">
        <f t="shared" si="375"/>
        <v>44</v>
      </c>
      <c r="M604" s="23">
        <f t="shared" si="362"/>
        <v>351753.6</v>
      </c>
    </row>
    <row r="605" spans="1:13" ht="24" customHeight="1" outlineLevel="2" x14ac:dyDescent="0.25">
      <c r="A605" s="11" t="str">
        <f>A602</f>
        <v>ЩК (14 секция)</v>
      </c>
      <c r="B605" s="11" t="s">
        <v>10</v>
      </c>
      <c r="C605" s="11" t="s">
        <v>10</v>
      </c>
      <c r="D605" s="11" t="s">
        <v>10</v>
      </c>
      <c r="E605" s="11">
        <f ca="1">OFFSET(E605,1,2)</f>
        <v>6000</v>
      </c>
      <c r="F605" s="13">
        <f ca="1">E605</f>
        <v>6000</v>
      </c>
      <c r="G605" s="13">
        <f ca="1">F605*H605</f>
        <v>6000</v>
      </c>
      <c r="H605" s="11">
        <v>1</v>
      </c>
      <c r="I605" s="11" t="s">
        <v>13</v>
      </c>
      <c r="J605" s="11" t="s">
        <v>10</v>
      </c>
      <c r="K605">
        <v>6000</v>
      </c>
      <c r="L605">
        <f t="shared" si="375"/>
        <v>44</v>
      </c>
      <c r="M605" s="23">
        <f t="shared" ca="1" si="362"/>
        <v>264000</v>
      </c>
    </row>
    <row r="606" spans="1:13" ht="21" customHeight="1" outlineLevel="2" x14ac:dyDescent="0.25">
      <c r="A606" s="11" t="str">
        <f t="shared" ref="A606" si="379">A605</f>
        <v>ЩК (14 секция)</v>
      </c>
      <c r="B606" s="11" t="s">
        <v>11</v>
      </c>
      <c r="C606" s="11" t="s">
        <v>11</v>
      </c>
      <c r="D606" s="11" t="s">
        <v>11</v>
      </c>
      <c r="E606" s="11">
        <v>1</v>
      </c>
      <c r="F606" s="13">
        <v>100</v>
      </c>
      <c r="G606" s="13">
        <f t="shared" ref="G606" si="380">F606*H606</f>
        <v>6000</v>
      </c>
      <c r="H606" s="11">
        <f>60*E606</f>
        <v>60</v>
      </c>
      <c r="I606" s="11" t="s">
        <v>13</v>
      </c>
      <c r="J606" s="11" t="s">
        <v>11</v>
      </c>
      <c r="K606">
        <v>6000</v>
      </c>
      <c r="L606">
        <f t="shared" si="375"/>
        <v>44</v>
      </c>
      <c r="M606" s="23">
        <f t="shared" si="362"/>
        <v>264000</v>
      </c>
    </row>
    <row r="607" spans="1:13" ht="21" customHeight="1" outlineLevel="1" x14ac:dyDescent="0.25">
      <c r="A607" s="11" t="s">
        <v>343</v>
      </c>
      <c r="B607" s="11"/>
      <c r="C607" s="11"/>
      <c r="D607" s="11"/>
      <c r="E607" s="11"/>
      <c r="F607" s="13"/>
      <c r="G607" s="13">
        <f ca="1">SUBTOTAL(9,G599:G606)</f>
        <v>29560.799999999999</v>
      </c>
      <c r="H607" s="11"/>
      <c r="I607" s="11"/>
      <c r="J607" s="11"/>
      <c r="K607">
        <v>29560.799999999999</v>
      </c>
      <c r="L607">
        <f t="shared" si="375"/>
        <v>44</v>
      </c>
      <c r="M607" s="23">
        <f t="shared" ca="1" si="362"/>
        <v>1300675.2</v>
      </c>
    </row>
    <row r="608" spans="1:13" ht="39.75" customHeight="1" outlineLevel="2" x14ac:dyDescent="0.25">
      <c r="A608" s="4" t="str">
        <f>D608</f>
        <v>ЩО3ж (14 секция)</v>
      </c>
      <c r="B608" s="5"/>
      <c r="C608" s="17"/>
      <c r="D608" s="5" t="s">
        <v>218</v>
      </c>
      <c r="E608" s="7"/>
      <c r="F608" s="7"/>
      <c r="G608" s="8"/>
      <c r="H608" s="9">
        <v>1</v>
      </c>
      <c r="I608" s="10" t="s">
        <v>7</v>
      </c>
      <c r="J608" s="5" t="s">
        <v>9</v>
      </c>
      <c r="L608">
        <f>H608</f>
        <v>1</v>
      </c>
      <c r="M608" s="23">
        <f t="shared" si="362"/>
        <v>0</v>
      </c>
    </row>
    <row r="609" spans="1:13" ht="21" customHeight="1" outlineLevel="2" x14ac:dyDescent="0.25">
      <c r="A609" s="11" t="str">
        <f>A608</f>
        <v>ЩО3ж (14 секция)</v>
      </c>
      <c r="B609" s="12" t="s">
        <v>8</v>
      </c>
      <c r="C609" s="18" t="s">
        <v>254</v>
      </c>
      <c r="D609" s="11" t="s">
        <v>255</v>
      </c>
      <c r="E609" s="12">
        <v>10500</v>
      </c>
      <c r="F609" s="13">
        <f>0.6*E609</f>
        <v>6300</v>
      </c>
      <c r="G609" s="13">
        <f>H609*F609</f>
        <v>6300</v>
      </c>
      <c r="H609" s="14">
        <v>1</v>
      </c>
      <c r="I609" s="15" t="s">
        <v>13</v>
      </c>
      <c r="J609" s="12" t="s">
        <v>16</v>
      </c>
      <c r="K609">
        <v>6300</v>
      </c>
      <c r="L609">
        <f t="shared" ref="L609:L614" si="381">L608</f>
        <v>1</v>
      </c>
      <c r="M609" s="23">
        <f t="shared" si="362"/>
        <v>6300</v>
      </c>
    </row>
    <row r="610" spans="1:13" ht="21" customHeight="1" outlineLevel="2" x14ac:dyDescent="0.25">
      <c r="A610" s="11" t="str">
        <f t="shared" ref="A610:A611" si="382">A609</f>
        <v>ЩО3ж (14 секция)</v>
      </c>
      <c r="B610" s="12" t="s">
        <v>64</v>
      </c>
      <c r="C610" s="18">
        <v>193180</v>
      </c>
      <c r="D610" s="11" t="s">
        <v>60</v>
      </c>
      <c r="E610" s="12">
        <v>2493</v>
      </c>
      <c r="F610" s="13">
        <f t="shared" ref="F610:F611" si="383">E610*0.6</f>
        <v>1495.8</v>
      </c>
      <c r="G610" s="13">
        <f t="shared" ref="G610:G611" si="384">F610*H610</f>
        <v>1495.8</v>
      </c>
      <c r="H610" s="14">
        <v>1</v>
      </c>
      <c r="I610" s="15" t="s">
        <v>13</v>
      </c>
      <c r="J610" s="12" t="s">
        <v>36</v>
      </c>
      <c r="K610">
        <v>1495.8</v>
      </c>
      <c r="L610">
        <f t="shared" si="381"/>
        <v>1</v>
      </c>
      <c r="M610" s="23">
        <f t="shared" si="362"/>
        <v>1495.8</v>
      </c>
    </row>
    <row r="611" spans="1:13" ht="21" customHeight="1" outlineLevel="2" x14ac:dyDescent="0.25">
      <c r="A611" s="11" t="str">
        <f t="shared" si="382"/>
        <v>ЩО3ж (14 секция)</v>
      </c>
      <c r="B611" s="12" t="s">
        <v>12</v>
      </c>
      <c r="C611" s="18">
        <v>296709</v>
      </c>
      <c r="D611" s="11" t="s">
        <v>196</v>
      </c>
      <c r="E611" s="12">
        <v>699</v>
      </c>
      <c r="F611" s="13">
        <f t="shared" si="383"/>
        <v>419.4</v>
      </c>
      <c r="G611" s="13">
        <f t="shared" si="384"/>
        <v>2516.3999999999996</v>
      </c>
      <c r="H611" s="14">
        <v>6</v>
      </c>
      <c r="I611" s="15" t="s">
        <v>13</v>
      </c>
      <c r="J611" s="12" t="s">
        <v>36</v>
      </c>
      <c r="K611">
        <v>2516.3999999999996</v>
      </c>
      <c r="L611">
        <f t="shared" si="381"/>
        <v>1</v>
      </c>
      <c r="M611" s="23">
        <f t="shared" si="362"/>
        <v>2516.3999999999996</v>
      </c>
    </row>
    <row r="612" spans="1:13" ht="24" customHeight="1" outlineLevel="2" x14ac:dyDescent="0.25">
      <c r="A612" s="11" t="str">
        <f>A611</f>
        <v>ЩО3ж (14 секция)</v>
      </c>
      <c r="B612" s="11" t="s">
        <v>10</v>
      </c>
      <c r="C612" s="11" t="s">
        <v>10</v>
      </c>
      <c r="D612" s="11" t="s">
        <v>10</v>
      </c>
      <c r="E612" s="11">
        <f ca="1">OFFSET(E612,1,2)</f>
        <v>6000</v>
      </c>
      <c r="F612" s="13">
        <f ca="1">E612</f>
        <v>6000</v>
      </c>
      <c r="G612" s="13">
        <f ca="1">F612*H612</f>
        <v>6000</v>
      </c>
      <c r="H612" s="11">
        <v>1</v>
      </c>
      <c r="I612" s="11" t="s">
        <v>13</v>
      </c>
      <c r="J612" s="11" t="s">
        <v>10</v>
      </c>
      <c r="K612">
        <v>6000</v>
      </c>
      <c r="L612">
        <f t="shared" si="381"/>
        <v>1</v>
      </c>
      <c r="M612" s="23">
        <f t="shared" ca="1" si="362"/>
        <v>6000</v>
      </c>
    </row>
    <row r="613" spans="1:13" ht="21" customHeight="1" outlineLevel="2" x14ac:dyDescent="0.25">
      <c r="A613" s="11" t="str">
        <f t="shared" ref="A613" si="385">A612</f>
        <v>ЩО3ж (14 секция)</v>
      </c>
      <c r="B613" s="11" t="s">
        <v>11</v>
      </c>
      <c r="C613" s="11" t="s">
        <v>11</v>
      </c>
      <c r="D613" s="11" t="s">
        <v>11</v>
      </c>
      <c r="E613" s="11">
        <v>1</v>
      </c>
      <c r="F613" s="13">
        <v>100</v>
      </c>
      <c r="G613" s="13">
        <f t="shared" ref="G613" si="386">F613*H613</f>
        <v>6000</v>
      </c>
      <c r="H613" s="11">
        <f>60*E613</f>
        <v>60</v>
      </c>
      <c r="I613" s="11" t="s">
        <v>13</v>
      </c>
      <c r="J613" s="11" t="s">
        <v>11</v>
      </c>
      <c r="K613">
        <v>6000</v>
      </c>
      <c r="L613">
        <f t="shared" si="381"/>
        <v>1</v>
      </c>
      <c r="M613" s="23">
        <f t="shared" si="362"/>
        <v>6000</v>
      </c>
    </row>
    <row r="614" spans="1:13" ht="21" customHeight="1" outlineLevel="1" x14ac:dyDescent="0.25">
      <c r="A614" s="11" t="s">
        <v>344</v>
      </c>
      <c r="B614" s="11"/>
      <c r="C614" s="11"/>
      <c r="D614" s="11"/>
      <c r="E614" s="11"/>
      <c r="F614" s="13"/>
      <c r="G614" s="13">
        <f ca="1">SUBTOTAL(9,G608:G613)</f>
        <v>22312.2</v>
      </c>
      <c r="H614" s="11"/>
      <c r="I614" s="11"/>
      <c r="J614" s="11"/>
      <c r="K614">
        <v>22312.2</v>
      </c>
      <c r="L614">
        <f t="shared" si="381"/>
        <v>1</v>
      </c>
      <c r="M614" s="23">
        <f t="shared" ca="1" si="362"/>
        <v>22312.2</v>
      </c>
    </row>
    <row r="615" spans="1:13" ht="39.75" customHeight="1" outlineLevel="2" x14ac:dyDescent="0.25">
      <c r="A615" s="4" t="str">
        <f>D615</f>
        <v>ЩАО3ж (14 секция)</v>
      </c>
      <c r="B615" s="5"/>
      <c r="C615" s="17"/>
      <c r="D615" s="5" t="s">
        <v>104</v>
      </c>
      <c r="E615" s="7"/>
      <c r="F615" s="7"/>
      <c r="G615" s="8"/>
      <c r="H615" s="9">
        <v>1</v>
      </c>
      <c r="I615" s="10" t="s">
        <v>7</v>
      </c>
      <c r="J615" s="5" t="s">
        <v>9</v>
      </c>
      <c r="L615">
        <f>H615</f>
        <v>1</v>
      </c>
      <c r="M615" s="23">
        <f t="shared" si="362"/>
        <v>0</v>
      </c>
    </row>
    <row r="616" spans="1:13" ht="21" customHeight="1" outlineLevel="2" x14ac:dyDescent="0.25">
      <c r="A616" s="11" t="str">
        <f>A615</f>
        <v>ЩАО3ж (14 секция)</v>
      </c>
      <c r="B616" s="12" t="s">
        <v>8</v>
      </c>
      <c r="C616" s="18" t="s">
        <v>254</v>
      </c>
      <c r="D616" s="11" t="s">
        <v>255</v>
      </c>
      <c r="E616" s="12">
        <v>10500</v>
      </c>
      <c r="F616" s="13">
        <f>0.6*E616</f>
        <v>6300</v>
      </c>
      <c r="G616" s="13">
        <f>H616*F616</f>
        <v>6300</v>
      </c>
      <c r="H616" s="14">
        <v>1</v>
      </c>
      <c r="I616" s="15" t="s">
        <v>13</v>
      </c>
      <c r="J616" s="12" t="s">
        <v>16</v>
      </c>
      <c r="K616">
        <v>6300</v>
      </c>
      <c r="L616">
        <f t="shared" ref="L616:L621" si="387">L615</f>
        <v>1</v>
      </c>
      <c r="M616" s="23">
        <f t="shared" si="362"/>
        <v>6300</v>
      </c>
    </row>
    <row r="617" spans="1:13" ht="21" customHeight="1" outlineLevel="2" x14ac:dyDescent="0.25">
      <c r="A617" s="11" t="str">
        <f t="shared" ref="A617:A618" si="388">A616</f>
        <v>ЩАО3ж (14 секция)</v>
      </c>
      <c r="B617" s="12" t="s">
        <v>64</v>
      </c>
      <c r="C617" s="18">
        <v>193180</v>
      </c>
      <c r="D617" s="11" t="s">
        <v>60</v>
      </c>
      <c r="E617" s="12">
        <v>2493</v>
      </c>
      <c r="F617" s="13">
        <f t="shared" ref="F617:F618" si="389">E617*0.6</f>
        <v>1495.8</v>
      </c>
      <c r="G617" s="13">
        <f t="shared" ref="G617:G618" si="390">F617*H617</f>
        <v>1495.8</v>
      </c>
      <c r="H617" s="14">
        <v>1</v>
      </c>
      <c r="I617" s="15" t="s">
        <v>13</v>
      </c>
      <c r="J617" s="12" t="s">
        <v>36</v>
      </c>
      <c r="K617">
        <v>1495.8</v>
      </c>
      <c r="L617">
        <f t="shared" si="387"/>
        <v>1</v>
      </c>
      <c r="M617" s="23">
        <f t="shared" si="362"/>
        <v>1495.8</v>
      </c>
    </row>
    <row r="618" spans="1:13" ht="21" customHeight="1" outlineLevel="2" x14ac:dyDescent="0.25">
      <c r="A618" s="11" t="str">
        <f t="shared" si="388"/>
        <v>ЩАО3ж (14 секция)</v>
      </c>
      <c r="B618" s="12" t="s">
        <v>12</v>
      </c>
      <c r="C618" s="18">
        <v>296709</v>
      </c>
      <c r="D618" s="11" t="s">
        <v>196</v>
      </c>
      <c r="E618" s="12">
        <v>699</v>
      </c>
      <c r="F618" s="13">
        <f t="shared" si="389"/>
        <v>419.4</v>
      </c>
      <c r="G618" s="13">
        <f t="shared" si="390"/>
        <v>1258.1999999999998</v>
      </c>
      <c r="H618" s="14">
        <v>3</v>
      </c>
      <c r="I618" s="15" t="s">
        <v>13</v>
      </c>
      <c r="J618" s="12" t="s">
        <v>36</v>
      </c>
      <c r="K618">
        <v>1258.1999999999998</v>
      </c>
      <c r="L618">
        <f t="shared" si="387"/>
        <v>1</v>
      </c>
      <c r="M618" s="23">
        <f t="shared" si="362"/>
        <v>1258.1999999999998</v>
      </c>
    </row>
    <row r="619" spans="1:13" ht="24" customHeight="1" outlineLevel="2" x14ac:dyDescent="0.25">
      <c r="A619" s="11" t="str">
        <f>A618</f>
        <v>ЩАО3ж (14 секция)</v>
      </c>
      <c r="B619" s="11" t="s">
        <v>10</v>
      </c>
      <c r="C619" s="11" t="s">
        <v>10</v>
      </c>
      <c r="D619" s="11" t="s">
        <v>10</v>
      </c>
      <c r="E619" s="11">
        <f ca="1">OFFSET(E619,1,2)</f>
        <v>6000</v>
      </c>
      <c r="F619" s="13">
        <f ca="1">E619</f>
        <v>6000</v>
      </c>
      <c r="G619" s="13">
        <f ca="1">F619*H619</f>
        <v>6000</v>
      </c>
      <c r="H619" s="11">
        <v>1</v>
      </c>
      <c r="I619" s="11" t="s">
        <v>13</v>
      </c>
      <c r="J619" s="11" t="s">
        <v>10</v>
      </c>
      <c r="K619">
        <v>6000</v>
      </c>
      <c r="L619">
        <f t="shared" si="387"/>
        <v>1</v>
      </c>
      <c r="M619" s="23">
        <f t="shared" ca="1" si="362"/>
        <v>6000</v>
      </c>
    </row>
    <row r="620" spans="1:13" ht="21" customHeight="1" outlineLevel="2" x14ac:dyDescent="0.25">
      <c r="A620" s="11" t="str">
        <f t="shared" ref="A620" si="391">A619</f>
        <v>ЩАО3ж (14 секция)</v>
      </c>
      <c r="B620" s="11" t="s">
        <v>11</v>
      </c>
      <c r="C620" s="11" t="s">
        <v>11</v>
      </c>
      <c r="D620" s="11" t="s">
        <v>11</v>
      </c>
      <c r="E620" s="11">
        <v>1</v>
      </c>
      <c r="F620" s="13">
        <v>100</v>
      </c>
      <c r="G620" s="13">
        <f t="shared" ref="G620" si="392">F620*H620</f>
        <v>6000</v>
      </c>
      <c r="H620" s="11">
        <f>60*E620</f>
        <v>60</v>
      </c>
      <c r="I620" s="11" t="s">
        <v>13</v>
      </c>
      <c r="J620" s="11" t="s">
        <v>11</v>
      </c>
      <c r="K620">
        <v>6000</v>
      </c>
      <c r="L620">
        <f t="shared" si="387"/>
        <v>1</v>
      </c>
      <c r="M620" s="23">
        <f t="shared" si="362"/>
        <v>6000</v>
      </c>
    </row>
    <row r="621" spans="1:13" ht="21" customHeight="1" outlineLevel="1" x14ac:dyDescent="0.25">
      <c r="A621" s="11" t="s">
        <v>345</v>
      </c>
      <c r="B621" s="11"/>
      <c r="C621" s="11"/>
      <c r="D621" s="11"/>
      <c r="E621" s="11"/>
      <c r="F621" s="13"/>
      <c r="G621" s="13">
        <f ca="1">SUBTOTAL(9,G615:G620)</f>
        <v>21054</v>
      </c>
      <c r="H621" s="11"/>
      <c r="I621" s="11"/>
      <c r="J621" s="11"/>
      <c r="K621">
        <v>21054</v>
      </c>
      <c r="L621">
        <f t="shared" si="387"/>
        <v>1</v>
      </c>
      <c r="M621" s="23">
        <f t="shared" ca="1" si="362"/>
        <v>21054</v>
      </c>
    </row>
    <row r="622" spans="1:13" ht="39.75" customHeight="1" outlineLevel="2" x14ac:dyDescent="0.25">
      <c r="A622" s="4" t="str">
        <f>D622</f>
        <v>Шкаф ЯРП-Инд (ЯРВ-100А) 460х250х145  IP31 (14 секция)</v>
      </c>
      <c r="B622" s="5"/>
      <c r="C622" s="17"/>
      <c r="D622" s="5" t="s">
        <v>105</v>
      </c>
      <c r="E622" s="7"/>
      <c r="F622" s="7"/>
      <c r="G622" s="8"/>
      <c r="H622" s="9">
        <v>1</v>
      </c>
      <c r="I622" s="10" t="s">
        <v>7</v>
      </c>
      <c r="J622" s="5" t="s">
        <v>9</v>
      </c>
      <c r="L622">
        <f>H622</f>
        <v>1</v>
      </c>
      <c r="M622" s="23">
        <f t="shared" si="362"/>
        <v>0</v>
      </c>
    </row>
    <row r="623" spans="1:13" ht="39.75" customHeight="1" outlineLevel="1" x14ac:dyDescent="0.25">
      <c r="A623" s="4" t="s">
        <v>346</v>
      </c>
      <c r="B623" s="5"/>
      <c r="C623" s="17"/>
      <c r="D623" s="5"/>
      <c r="E623" s="7"/>
      <c r="F623" s="7"/>
      <c r="G623" s="8">
        <f>SUBTOTAL(9,G622:G622)</f>
        <v>0</v>
      </c>
      <c r="H623" s="9"/>
      <c r="I623" s="10"/>
      <c r="J623" s="5"/>
      <c r="K623">
        <v>0</v>
      </c>
      <c r="L623">
        <f>L622</f>
        <v>1</v>
      </c>
      <c r="M623" s="23">
        <f t="shared" si="362"/>
        <v>0</v>
      </c>
    </row>
    <row r="624" spans="1:13" ht="39.75" customHeight="1" outlineLevel="2" x14ac:dyDescent="0.25">
      <c r="A624" s="4" t="str">
        <f>D624</f>
        <v>ЩУ-Т1 (14 секция)</v>
      </c>
      <c r="B624" s="5"/>
      <c r="C624" s="17"/>
      <c r="D624" s="5" t="s">
        <v>106</v>
      </c>
      <c r="E624" s="7"/>
      <c r="F624" s="7"/>
      <c r="G624" s="8"/>
      <c r="H624" s="9">
        <v>1</v>
      </c>
      <c r="I624" s="10" t="s">
        <v>7</v>
      </c>
      <c r="J624" s="5" t="s">
        <v>9</v>
      </c>
      <c r="L624">
        <f>H624</f>
        <v>1</v>
      </c>
      <c r="M624" s="23">
        <f t="shared" si="362"/>
        <v>0</v>
      </c>
    </row>
    <row r="625" spans="1:13" ht="21" customHeight="1" outlineLevel="2" x14ac:dyDescent="0.25">
      <c r="A625" s="11" t="str">
        <f>A624</f>
        <v>ЩУ-Т1 (14 секция)</v>
      </c>
      <c r="B625" s="12" t="s">
        <v>8</v>
      </c>
      <c r="C625" s="18" t="s">
        <v>254</v>
      </c>
      <c r="D625" s="11" t="s">
        <v>255</v>
      </c>
      <c r="E625" s="12">
        <v>10500</v>
      </c>
      <c r="F625" s="13">
        <f>0.6*E625</f>
        <v>6300</v>
      </c>
      <c r="G625" s="13">
        <f>H625*F625</f>
        <v>6300</v>
      </c>
      <c r="H625" s="14">
        <v>1</v>
      </c>
      <c r="I625" s="15" t="s">
        <v>13</v>
      </c>
      <c r="J625" s="12" t="s">
        <v>16</v>
      </c>
      <c r="K625">
        <v>6300</v>
      </c>
      <c r="L625">
        <f t="shared" ref="L625:L633" si="393">L624</f>
        <v>1</v>
      </c>
      <c r="M625" s="23">
        <f t="shared" si="362"/>
        <v>6300</v>
      </c>
    </row>
    <row r="626" spans="1:13" ht="21" customHeight="1" outlineLevel="2" x14ac:dyDescent="0.25">
      <c r="A626" s="11" t="str">
        <f t="shared" ref="A626:A629" si="394">A625</f>
        <v>ЩУ-Т1 (14 секция)</v>
      </c>
      <c r="B626" s="12" t="s">
        <v>18</v>
      </c>
      <c r="C626" s="18">
        <v>105542</v>
      </c>
      <c r="D626" s="11" t="s">
        <v>65</v>
      </c>
      <c r="E626" s="12">
        <v>3513</v>
      </c>
      <c r="F626" s="13">
        <f t="shared" ref="F626:F629" si="395">E626*0.6</f>
        <v>2107.7999999999997</v>
      </c>
      <c r="G626" s="13">
        <f t="shared" ref="G626:G630" si="396">F626*H626</f>
        <v>2107.7999999999997</v>
      </c>
      <c r="H626" s="14">
        <v>1</v>
      </c>
      <c r="I626" s="15" t="s">
        <v>13</v>
      </c>
      <c r="J626" s="12" t="s">
        <v>36</v>
      </c>
      <c r="K626">
        <v>2107.7999999999997</v>
      </c>
      <c r="L626">
        <f t="shared" si="393"/>
        <v>1</v>
      </c>
      <c r="M626" s="23">
        <f t="shared" si="362"/>
        <v>2107.7999999999997</v>
      </c>
    </row>
    <row r="627" spans="1:13" ht="21" customHeight="1" outlineLevel="2" x14ac:dyDescent="0.25">
      <c r="A627" s="11" t="str">
        <f t="shared" si="394"/>
        <v>ЩУ-Т1 (14 секция)</v>
      </c>
      <c r="B627" s="12" t="s">
        <v>12</v>
      </c>
      <c r="C627" s="18"/>
      <c r="D627" s="11" t="s">
        <v>198</v>
      </c>
      <c r="E627" s="16">
        <v>1660</v>
      </c>
      <c r="F627" s="13">
        <f t="shared" si="395"/>
        <v>996</v>
      </c>
      <c r="G627" s="13">
        <f t="shared" si="396"/>
        <v>996</v>
      </c>
      <c r="H627" s="14">
        <v>1</v>
      </c>
      <c r="I627" s="15" t="s">
        <v>13</v>
      </c>
      <c r="J627" s="12" t="s">
        <v>36</v>
      </c>
      <c r="K627">
        <v>996</v>
      </c>
      <c r="L627">
        <f t="shared" si="393"/>
        <v>1</v>
      </c>
      <c r="M627" s="23">
        <f t="shared" si="362"/>
        <v>996</v>
      </c>
    </row>
    <row r="628" spans="1:13" ht="21" customHeight="1" outlineLevel="2" x14ac:dyDescent="0.25">
      <c r="A628" s="11" t="str">
        <f t="shared" si="394"/>
        <v>ЩУ-Т1 (14 секция)</v>
      </c>
      <c r="B628" s="12" t="s">
        <v>12</v>
      </c>
      <c r="C628" s="18">
        <v>296708</v>
      </c>
      <c r="D628" s="11" t="s">
        <v>31</v>
      </c>
      <c r="E628" s="12">
        <v>828</v>
      </c>
      <c r="F628" s="13">
        <f t="shared" si="395"/>
        <v>496.79999999999995</v>
      </c>
      <c r="G628" s="13">
        <f t="shared" si="396"/>
        <v>496.79999999999995</v>
      </c>
      <c r="H628" s="14">
        <v>1</v>
      </c>
      <c r="I628" s="15" t="s">
        <v>13</v>
      </c>
      <c r="J628" s="12" t="s">
        <v>36</v>
      </c>
      <c r="K628">
        <v>496.79999999999995</v>
      </c>
      <c r="L628">
        <f t="shared" si="393"/>
        <v>1</v>
      </c>
      <c r="M628" s="23">
        <f t="shared" si="362"/>
        <v>496.79999999999995</v>
      </c>
    </row>
    <row r="629" spans="1:13" ht="21" customHeight="1" outlineLevel="2" x14ac:dyDescent="0.25">
      <c r="A629" s="11" t="str">
        <f t="shared" si="394"/>
        <v>ЩУ-Т1 (14 секция)</v>
      </c>
      <c r="B629" s="12" t="s">
        <v>21</v>
      </c>
      <c r="C629" s="18" t="s">
        <v>70</v>
      </c>
      <c r="D629" s="11" t="s">
        <v>69</v>
      </c>
      <c r="E629" s="12">
        <v>3505</v>
      </c>
      <c r="F629" s="13">
        <f t="shared" si="395"/>
        <v>2103</v>
      </c>
      <c r="G629" s="13">
        <f t="shared" si="396"/>
        <v>2103</v>
      </c>
      <c r="H629" s="14">
        <v>1</v>
      </c>
      <c r="I629" s="15" t="s">
        <v>13</v>
      </c>
      <c r="J629" s="12" t="s">
        <v>36</v>
      </c>
      <c r="K629">
        <v>2103</v>
      </c>
      <c r="L629">
        <f t="shared" si="393"/>
        <v>1</v>
      </c>
      <c r="M629" s="23">
        <f t="shared" si="362"/>
        <v>2103</v>
      </c>
    </row>
    <row r="630" spans="1:13" ht="21" customHeight="1" outlineLevel="2" x14ac:dyDescent="0.25">
      <c r="A630" s="11" t="str">
        <f>A626</f>
        <v>ЩУ-Т1 (14 секция)</v>
      </c>
      <c r="B630" s="12" t="s">
        <v>71</v>
      </c>
      <c r="C630" s="18" t="s">
        <v>264</v>
      </c>
      <c r="D630" s="11" t="s">
        <v>263</v>
      </c>
      <c r="E630" s="16">
        <v>19505</v>
      </c>
      <c r="F630" s="13">
        <f>E630</f>
        <v>19505</v>
      </c>
      <c r="G630" s="13">
        <f t="shared" si="396"/>
        <v>19505</v>
      </c>
      <c r="H630" s="14">
        <v>1</v>
      </c>
      <c r="I630" s="15" t="s">
        <v>13</v>
      </c>
      <c r="J630" s="12" t="s">
        <v>20</v>
      </c>
      <c r="K630">
        <v>19505</v>
      </c>
      <c r="L630">
        <f t="shared" si="393"/>
        <v>1</v>
      </c>
      <c r="M630" s="23">
        <f t="shared" si="362"/>
        <v>19505</v>
      </c>
    </row>
    <row r="631" spans="1:13" ht="24" customHeight="1" outlineLevel="2" x14ac:dyDescent="0.25">
      <c r="A631" s="11" t="str">
        <f>A627</f>
        <v>ЩУ-Т1 (14 секция)</v>
      </c>
      <c r="B631" s="11" t="s">
        <v>10</v>
      </c>
      <c r="C631" s="11" t="s">
        <v>10</v>
      </c>
      <c r="D631" s="11" t="s">
        <v>10</v>
      </c>
      <c r="E631" s="11">
        <f ca="1">OFFSET(E631,1,2)</f>
        <v>6000</v>
      </c>
      <c r="F631" s="13">
        <f ca="1">E631</f>
        <v>6000</v>
      </c>
      <c r="G631" s="13">
        <f ca="1">F631*H631</f>
        <v>6000</v>
      </c>
      <c r="H631" s="11">
        <v>1</v>
      </c>
      <c r="I631" s="11" t="s">
        <v>13</v>
      </c>
      <c r="J631" s="11" t="s">
        <v>10</v>
      </c>
      <c r="K631">
        <v>6000</v>
      </c>
      <c r="L631">
        <f t="shared" si="393"/>
        <v>1</v>
      </c>
      <c r="M631" s="23">
        <f t="shared" ca="1" si="362"/>
        <v>6000</v>
      </c>
    </row>
    <row r="632" spans="1:13" ht="21" customHeight="1" outlineLevel="2" x14ac:dyDescent="0.25">
      <c r="A632" s="11" t="str">
        <f t="shared" ref="A632" si="397">A631</f>
        <v>ЩУ-Т1 (14 секция)</v>
      </c>
      <c r="B632" s="11" t="s">
        <v>11</v>
      </c>
      <c r="C632" s="11" t="s">
        <v>11</v>
      </c>
      <c r="D632" s="11" t="s">
        <v>11</v>
      </c>
      <c r="E632" s="11">
        <v>1</v>
      </c>
      <c r="F632" s="13">
        <v>100</v>
      </c>
      <c r="G632" s="13">
        <f t="shared" ref="G632" si="398">F632*H632</f>
        <v>6000</v>
      </c>
      <c r="H632" s="11">
        <f>60*E632</f>
        <v>60</v>
      </c>
      <c r="I632" s="11" t="s">
        <v>13</v>
      </c>
      <c r="J632" s="11" t="s">
        <v>11</v>
      </c>
      <c r="K632">
        <v>6000</v>
      </c>
      <c r="L632">
        <f t="shared" si="393"/>
        <v>1</v>
      </c>
      <c r="M632" s="23">
        <f t="shared" si="362"/>
        <v>6000</v>
      </c>
    </row>
    <row r="633" spans="1:13" ht="21" customHeight="1" outlineLevel="1" x14ac:dyDescent="0.25">
      <c r="A633" s="11" t="s">
        <v>347</v>
      </c>
      <c r="B633" s="11"/>
      <c r="C633" s="11"/>
      <c r="D633" s="11"/>
      <c r="E633" s="11"/>
      <c r="F633" s="13"/>
      <c r="G633" s="13">
        <f ca="1">SUBTOTAL(9,G624:G632)</f>
        <v>43508.6</v>
      </c>
      <c r="H633" s="11"/>
      <c r="I633" s="11"/>
      <c r="J633" s="11"/>
      <c r="K633">
        <v>43508.6</v>
      </c>
      <c r="L633">
        <f t="shared" si="393"/>
        <v>1</v>
      </c>
      <c r="M633" s="23">
        <f t="shared" ca="1" si="362"/>
        <v>43508.6</v>
      </c>
    </row>
    <row r="634" spans="1:13" ht="39.75" customHeight="1" outlineLevel="2" x14ac:dyDescent="0.25">
      <c r="A634" s="4" t="str">
        <f>D634</f>
        <v>ВЩж-15 (ВРУ1-13-20УХЛ) (15 секция)</v>
      </c>
      <c r="B634" s="5"/>
      <c r="C634" s="17"/>
      <c r="D634" s="5" t="s">
        <v>187</v>
      </c>
      <c r="E634" s="7"/>
      <c r="F634" s="7"/>
      <c r="G634" s="8"/>
      <c r="H634" s="9">
        <v>1</v>
      </c>
      <c r="I634" s="10" t="s">
        <v>7</v>
      </c>
      <c r="J634" s="5" t="s">
        <v>9</v>
      </c>
      <c r="L634">
        <f>H634</f>
        <v>1</v>
      </c>
      <c r="M634" s="23">
        <f t="shared" si="362"/>
        <v>0</v>
      </c>
    </row>
    <row r="635" spans="1:13" ht="21" customHeight="1" outlineLevel="2" x14ac:dyDescent="0.25">
      <c r="A635" s="11" t="str">
        <f>A634</f>
        <v>ВЩж-15 (ВРУ1-13-20УХЛ) (15 секция)</v>
      </c>
      <c r="B635" s="12" t="s">
        <v>8</v>
      </c>
      <c r="C635" s="18" t="s">
        <v>250</v>
      </c>
      <c r="D635" s="11" t="s">
        <v>251</v>
      </c>
      <c r="E635" s="12">
        <v>160000</v>
      </c>
      <c r="F635" s="13">
        <f>0.6*E635</f>
        <v>96000</v>
      </c>
      <c r="G635" s="13">
        <f>H635*F635</f>
        <v>96000</v>
      </c>
      <c r="H635" s="14">
        <v>1</v>
      </c>
      <c r="I635" s="15" t="s">
        <v>13</v>
      </c>
      <c r="J635" s="12" t="s">
        <v>16</v>
      </c>
      <c r="K635">
        <v>96000</v>
      </c>
      <c r="L635">
        <f t="shared" ref="L635:L649" si="399">L634</f>
        <v>1</v>
      </c>
      <c r="M635" s="23">
        <f t="shared" si="362"/>
        <v>96000</v>
      </c>
    </row>
    <row r="636" spans="1:13" ht="21" customHeight="1" outlineLevel="2" x14ac:dyDescent="0.25">
      <c r="A636" s="11" t="str">
        <f t="shared" ref="A636:A648" si="400">A635</f>
        <v>ВЩж-15 (ВРУ1-13-20УХЛ) (15 секция)</v>
      </c>
      <c r="B636" s="12" t="s">
        <v>43</v>
      </c>
      <c r="C636" s="18" t="s">
        <v>41</v>
      </c>
      <c r="D636" s="11" t="s">
        <v>42</v>
      </c>
      <c r="E636" s="12">
        <v>29135</v>
      </c>
      <c r="F636" s="13">
        <f t="shared" ref="F636:F638" si="401">E636</f>
        <v>29135</v>
      </c>
      <c r="G636" s="13">
        <f>F636*H636</f>
        <v>58270</v>
      </c>
      <c r="H636" s="14">
        <v>2</v>
      </c>
      <c r="I636" s="15" t="s">
        <v>13</v>
      </c>
      <c r="J636" s="12" t="s">
        <v>20</v>
      </c>
      <c r="K636">
        <v>58270</v>
      </c>
      <c r="L636">
        <f t="shared" si="399"/>
        <v>1</v>
      </c>
      <c r="M636" s="23">
        <f t="shared" si="362"/>
        <v>58270</v>
      </c>
    </row>
    <row r="637" spans="1:13" ht="21" customHeight="1" outlineLevel="2" x14ac:dyDescent="0.25">
      <c r="A637" s="11" t="str">
        <f t="shared" si="400"/>
        <v>ВЩж-15 (ВРУ1-13-20УХЛ) (15 секция)</v>
      </c>
      <c r="B637" s="12" t="s">
        <v>44</v>
      </c>
      <c r="C637" s="18" t="s">
        <v>267</v>
      </c>
      <c r="D637" s="11" t="s">
        <v>268</v>
      </c>
      <c r="E637" s="12">
        <v>6500</v>
      </c>
      <c r="F637" s="13">
        <f t="shared" si="401"/>
        <v>6500</v>
      </c>
      <c r="G637" s="13">
        <f t="shared" ref="G637:G646" si="402">F637*H637</f>
        <v>19500</v>
      </c>
      <c r="H637" s="14">
        <v>3</v>
      </c>
      <c r="I637" s="15" t="s">
        <v>13</v>
      </c>
      <c r="J637" s="12" t="s">
        <v>20</v>
      </c>
      <c r="K637">
        <v>19500</v>
      </c>
      <c r="L637">
        <f t="shared" si="399"/>
        <v>1</v>
      </c>
      <c r="M637" s="23">
        <f t="shared" si="362"/>
        <v>19500</v>
      </c>
    </row>
    <row r="638" spans="1:13" ht="21" customHeight="1" outlineLevel="2" x14ac:dyDescent="0.25">
      <c r="A638" s="11" t="str">
        <f t="shared" si="400"/>
        <v>ВЩж-15 (ВРУ1-13-20УХЛ) (15 секция)</v>
      </c>
      <c r="B638" s="12" t="s">
        <v>44</v>
      </c>
      <c r="C638" s="18" t="s">
        <v>265</v>
      </c>
      <c r="D638" s="11" t="s">
        <v>266</v>
      </c>
      <c r="E638" s="12">
        <v>6500</v>
      </c>
      <c r="F638" s="13">
        <f t="shared" si="401"/>
        <v>6500</v>
      </c>
      <c r="G638" s="13">
        <f t="shared" si="402"/>
        <v>19500</v>
      </c>
      <c r="H638" s="14">
        <v>3</v>
      </c>
      <c r="I638" s="15" t="s">
        <v>13</v>
      </c>
      <c r="J638" s="12" t="s">
        <v>20</v>
      </c>
      <c r="K638">
        <v>19500</v>
      </c>
      <c r="L638">
        <f t="shared" si="399"/>
        <v>1</v>
      </c>
      <c r="M638" s="23">
        <f t="shared" si="362"/>
        <v>19500</v>
      </c>
    </row>
    <row r="639" spans="1:13" ht="21" customHeight="1" outlineLevel="2" x14ac:dyDescent="0.25">
      <c r="A639" s="11" t="str">
        <f t="shared" si="400"/>
        <v>ВЩж-15 (ВРУ1-13-20УХЛ) (15 секция)</v>
      </c>
      <c r="B639" s="12" t="s">
        <v>134</v>
      </c>
      <c r="C639" s="18" t="s">
        <v>155</v>
      </c>
      <c r="D639" s="11" t="s">
        <v>156</v>
      </c>
      <c r="E639" s="12">
        <v>3302</v>
      </c>
      <c r="F639" s="13">
        <f t="shared" ref="F639:F646" si="403">E639*0.6</f>
        <v>1981.1999999999998</v>
      </c>
      <c r="G639" s="13">
        <f t="shared" si="402"/>
        <v>5943.5999999999995</v>
      </c>
      <c r="H639" s="14">
        <v>3</v>
      </c>
      <c r="I639" s="15" t="s">
        <v>13</v>
      </c>
      <c r="J639" s="12" t="s">
        <v>206</v>
      </c>
      <c r="K639">
        <v>5943.5999999999995</v>
      </c>
      <c r="L639">
        <f t="shared" si="399"/>
        <v>1</v>
      </c>
      <c r="M639" s="23">
        <f t="shared" si="362"/>
        <v>5943.5999999999995</v>
      </c>
    </row>
    <row r="640" spans="1:13" ht="21" customHeight="1" outlineLevel="2" x14ac:dyDescent="0.25">
      <c r="A640" s="11" t="str">
        <f t="shared" si="400"/>
        <v>ВЩж-15 (ВРУ1-13-20УХЛ) (15 секция)</v>
      </c>
      <c r="B640" s="12" t="s">
        <v>134</v>
      </c>
      <c r="C640" s="18" t="s">
        <v>171</v>
      </c>
      <c r="D640" s="11" t="s">
        <v>172</v>
      </c>
      <c r="E640" s="12">
        <v>3317</v>
      </c>
      <c r="F640" s="13">
        <f t="shared" si="403"/>
        <v>1990.1999999999998</v>
      </c>
      <c r="G640" s="13">
        <f t="shared" si="402"/>
        <v>5970.5999999999995</v>
      </c>
      <c r="H640" s="14">
        <v>3</v>
      </c>
      <c r="I640" s="15" t="s">
        <v>13</v>
      </c>
      <c r="J640" s="12" t="s">
        <v>206</v>
      </c>
      <c r="K640">
        <v>5970.5999999999995</v>
      </c>
      <c r="L640">
        <f t="shared" si="399"/>
        <v>1</v>
      </c>
      <c r="M640" s="23">
        <f t="shared" si="362"/>
        <v>5970.5999999999995</v>
      </c>
    </row>
    <row r="641" spans="1:13" ht="21" customHeight="1" outlineLevel="2" x14ac:dyDescent="0.25">
      <c r="A641" s="11" t="str">
        <f t="shared" si="400"/>
        <v>ВЩж-15 (ВРУ1-13-20УХЛ) (15 секция)</v>
      </c>
      <c r="B641" s="12" t="s">
        <v>134</v>
      </c>
      <c r="C641" s="18" t="s">
        <v>157</v>
      </c>
      <c r="D641" s="11" t="s">
        <v>158</v>
      </c>
      <c r="E641" s="12">
        <v>4750</v>
      </c>
      <c r="F641" s="13">
        <f t="shared" si="403"/>
        <v>2850</v>
      </c>
      <c r="G641" s="13">
        <f t="shared" ref="G641" si="404">F641*H641</f>
        <v>17100</v>
      </c>
      <c r="H641" s="14">
        <v>6</v>
      </c>
      <c r="I641" s="15" t="s">
        <v>13</v>
      </c>
      <c r="J641" s="12" t="s">
        <v>206</v>
      </c>
      <c r="K641">
        <v>17100</v>
      </c>
      <c r="L641">
        <f t="shared" si="399"/>
        <v>1</v>
      </c>
      <c r="M641" s="23">
        <f t="shared" si="362"/>
        <v>17100</v>
      </c>
    </row>
    <row r="642" spans="1:13" ht="21" customHeight="1" outlineLevel="2" x14ac:dyDescent="0.25">
      <c r="A642" s="11" t="str">
        <f>A640</f>
        <v>ВЩж-15 (ВРУ1-13-20УХЛ) (15 секция)</v>
      </c>
      <c r="B642" s="12" t="s">
        <v>12</v>
      </c>
      <c r="C642" s="18">
        <v>296708</v>
      </c>
      <c r="D642" s="11" t="s">
        <v>31</v>
      </c>
      <c r="E642" s="12">
        <v>828</v>
      </c>
      <c r="F642" s="13">
        <f t="shared" si="403"/>
        <v>496.79999999999995</v>
      </c>
      <c r="G642" s="13">
        <f t="shared" si="402"/>
        <v>993.59999999999991</v>
      </c>
      <c r="H642" s="14">
        <v>2</v>
      </c>
      <c r="I642" s="15" t="s">
        <v>13</v>
      </c>
      <c r="J642" s="12" t="s">
        <v>36</v>
      </c>
      <c r="K642">
        <v>993.59999999999991</v>
      </c>
      <c r="L642">
        <f t="shared" si="399"/>
        <v>1</v>
      </c>
      <c r="M642" s="23">
        <f t="shared" si="362"/>
        <v>993.59999999999991</v>
      </c>
    </row>
    <row r="643" spans="1:13" ht="21" customHeight="1" outlineLevel="2" x14ac:dyDescent="0.25">
      <c r="A643" s="11" t="str">
        <f t="shared" ref="A643" si="405">A642</f>
        <v>ВЩж-15 (ВРУ1-13-20УХЛ) (15 секция)</v>
      </c>
      <c r="B643" s="12" t="s">
        <v>39</v>
      </c>
      <c r="C643" s="18">
        <v>593071</v>
      </c>
      <c r="D643" s="11" t="s">
        <v>56</v>
      </c>
      <c r="E643" s="12">
        <v>439</v>
      </c>
      <c r="F643" s="13">
        <f t="shared" si="403"/>
        <v>263.39999999999998</v>
      </c>
      <c r="G643" s="13">
        <f t="shared" si="402"/>
        <v>526.79999999999995</v>
      </c>
      <c r="H643" s="14">
        <v>2</v>
      </c>
      <c r="I643" s="15" t="s">
        <v>19</v>
      </c>
      <c r="J643" s="12" t="s">
        <v>36</v>
      </c>
      <c r="K643">
        <v>526.79999999999995</v>
      </c>
      <c r="L643">
        <f t="shared" si="399"/>
        <v>1</v>
      </c>
      <c r="M643" s="23">
        <f t="shared" ref="M643:M706" si="406">L643*G643</f>
        <v>526.79999999999995</v>
      </c>
    </row>
    <row r="644" spans="1:13" ht="21" customHeight="1" outlineLevel="2" x14ac:dyDescent="0.25">
      <c r="A644" s="11" t="str">
        <f>A642</f>
        <v>ВЩж-15 (ВРУ1-13-20УХЛ) (15 секция)</v>
      </c>
      <c r="B644" s="12" t="s">
        <v>83</v>
      </c>
      <c r="C644" s="18" t="s">
        <v>238</v>
      </c>
      <c r="D644" s="11" t="s">
        <v>237</v>
      </c>
      <c r="E644" s="12">
        <v>405</v>
      </c>
      <c r="F644" s="13">
        <f t="shared" si="403"/>
        <v>243</v>
      </c>
      <c r="G644" s="13">
        <f t="shared" si="402"/>
        <v>486</v>
      </c>
      <c r="H644" s="14">
        <v>2</v>
      </c>
      <c r="I644" s="15" t="s">
        <v>13</v>
      </c>
      <c r="J644" s="12" t="s">
        <v>236</v>
      </c>
      <c r="K644">
        <v>486</v>
      </c>
      <c r="L644">
        <f t="shared" si="399"/>
        <v>1</v>
      </c>
      <c r="M644" s="23">
        <f t="shared" si="406"/>
        <v>486</v>
      </c>
    </row>
    <row r="645" spans="1:13" ht="21" customHeight="1" outlineLevel="2" x14ac:dyDescent="0.25">
      <c r="A645" s="11" t="str">
        <f t="shared" si="400"/>
        <v>ВЩж-15 (ВРУ1-13-20УХЛ) (15 секция)</v>
      </c>
      <c r="B645" s="12" t="s">
        <v>83</v>
      </c>
      <c r="C645" s="18" t="s">
        <v>239</v>
      </c>
      <c r="D645" s="11" t="s">
        <v>240</v>
      </c>
      <c r="E645" s="12">
        <v>400</v>
      </c>
      <c r="F645" s="13">
        <f t="shared" si="403"/>
        <v>240</v>
      </c>
      <c r="G645" s="13">
        <f t="shared" si="402"/>
        <v>1440</v>
      </c>
      <c r="H645" s="14">
        <v>6</v>
      </c>
      <c r="I645" s="15" t="s">
        <v>13</v>
      </c>
      <c r="J645" s="12" t="s">
        <v>236</v>
      </c>
      <c r="K645">
        <v>1440</v>
      </c>
      <c r="L645">
        <f t="shared" si="399"/>
        <v>1</v>
      </c>
      <c r="M645" s="23">
        <f t="shared" si="406"/>
        <v>1440</v>
      </c>
    </row>
    <row r="646" spans="1:13" ht="21" customHeight="1" outlineLevel="2" x14ac:dyDescent="0.25">
      <c r="A646" s="11" t="str">
        <f>A640</f>
        <v>ВЩж-15 (ВРУ1-13-20УХЛ) (15 секция)</v>
      </c>
      <c r="B646" s="12" t="s">
        <v>45</v>
      </c>
      <c r="C646" s="18" t="s">
        <v>241</v>
      </c>
      <c r="D646" s="11" t="s">
        <v>242</v>
      </c>
      <c r="E646" s="12">
        <v>290</v>
      </c>
      <c r="F646" s="13">
        <f t="shared" si="403"/>
        <v>174</v>
      </c>
      <c r="G646" s="13">
        <f t="shared" si="402"/>
        <v>348</v>
      </c>
      <c r="H646" s="14">
        <v>2</v>
      </c>
      <c r="I646" s="15" t="s">
        <v>13</v>
      </c>
      <c r="J646" s="12" t="s">
        <v>236</v>
      </c>
      <c r="K646">
        <v>348</v>
      </c>
      <c r="L646">
        <f t="shared" si="399"/>
        <v>1</v>
      </c>
      <c r="M646" s="23">
        <f t="shared" si="406"/>
        <v>348</v>
      </c>
    </row>
    <row r="647" spans="1:13" ht="24" customHeight="1" outlineLevel="2" x14ac:dyDescent="0.25">
      <c r="A647" s="11" t="str">
        <f t="shared" si="400"/>
        <v>ВЩж-15 (ВРУ1-13-20УХЛ) (15 секция)</v>
      </c>
      <c r="B647" s="11" t="s">
        <v>10</v>
      </c>
      <c r="C647" s="11" t="s">
        <v>10</v>
      </c>
      <c r="D647" s="11" t="s">
        <v>10</v>
      </c>
      <c r="E647" s="11">
        <f ca="1">OFFSET(E647,1,2)</f>
        <v>30000</v>
      </c>
      <c r="F647" s="13">
        <f ca="1">E647</f>
        <v>30000</v>
      </c>
      <c r="G647" s="13">
        <f ca="1">F647*H647</f>
        <v>30000</v>
      </c>
      <c r="H647" s="11">
        <v>1</v>
      </c>
      <c r="I647" s="11" t="s">
        <v>13</v>
      </c>
      <c r="J647" s="11" t="s">
        <v>10</v>
      </c>
      <c r="K647">
        <v>30000</v>
      </c>
      <c r="L647">
        <f t="shared" si="399"/>
        <v>1</v>
      </c>
      <c r="M647" s="23">
        <f t="shared" ca="1" si="406"/>
        <v>30000</v>
      </c>
    </row>
    <row r="648" spans="1:13" ht="21" customHeight="1" outlineLevel="2" x14ac:dyDescent="0.25">
      <c r="A648" s="11" t="str">
        <f t="shared" si="400"/>
        <v>ВЩж-15 (ВРУ1-13-20УХЛ) (15 секция)</v>
      </c>
      <c r="B648" s="11" t="s">
        <v>11</v>
      </c>
      <c r="C648" s="11" t="s">
        <v>11</v>
      </c>
      <c r="D648" s="11" t="s">
        <v>11</v>
      </c>
      <c r="E648" s="11">
        <v>5</v>
      </c>
      <c r="F648" s="13">
        <v>100</v>
      </c>
      <c r="G648" s="13">
        <f t="shared" ref="G648" si="407">F648*H648</f>
        <v>30000</v>
      </c>
      <c r="H648" s="11">
        <f>60*E648</f>
        <v>300</v>
      </c>
      <c r="I648" s="11" t="s">
        <v>13</v>
      </c>
      <c r="J648" s="11" t="s">
        <v>11</v>
      </c>
      <c r="K648">
        <v>30000</v>
      </c>
      <c r="L648">
        <f t="shared" si="399"/>
        <v>1</v>
      </c>
      <c r="M648" s="23">
        <f t="shared" si="406"/>
        <v>30000</v>
      </c>
    </row>
    <row r="649" spans="1:13" ht="21" customHeight="1" outlineLevel="1" x14ac:dyDescent="0.25">
      <c r="A649" s="11" t="s">
        <v>348</v>
      </c>
      <c r="B649" s="11"/>
      <c r="C649" s="11"/>
      <c r="D649" s="11"/>
      <c r="E649" s="11"/>
      <c r="F649" s="13"/>
      <c r="G649" s="13">
        <f ca="1">SUBTOTAL(9,G634:G648)</f>
        <v>286078.59999999998</v>
      </c>
      <c r="H649" s="11"/>
      <c r="I649" s="11"/>
      <c r="J649" s="11"/>
      <c r="K649">
        <v>286078.59999999998</v>
      </c>
      <c r="L649">
        <f t="shared" si="399"/>
        <v>1</v>
      </c>
      <c r="M649" s="23">
        <f t="shared" ca="1" si="406"/>
        <v>286078.59999999998</v>
      </c>
    </row>
    <row r="650" spans="1:13" ht="39.75" customHeight="1" outlineLevel="2" x14ac:dyDescent="0.25">
      <c r="A650" s="4" t="str">
        <f>D650</f>
        <v>РЩж-15 (ВРУ1-13-20УХЛ) (15 секция)</v>
      </c>
      <c r="B650" s="5"/>
      <c r="C650" s="17"/>
      <c r="D650" s="5" t="s">
        <v>188</v>
      </c>
      <c r="E650" s="7"/>
      <c r="F650" s="7"/>
      <c r="G650" s="8"/>
      <c r="H650" s="9">
        <v>1</v>
      </c>
      <c r="I650" s="10" t="s">
        <v>7</v>
      </c>
      <c r="J650" s="5" t="s">
        <v>9</v>
      </c>
      <c r="L650">
        <f>H650</f>
        <v>1</v>
      </c>
      <c r="M650" s="23">
        <f t="shared" si="406"/>
        <v>0</v>
      </c>
    </row>
    <row r="651" spans="1:13" ht="21" customHeight="1" outlineLevel="2" x14ac:dyDescent="0.25">
      <c r="A651" s="11" t="str">
        <f>A650</f>
        <v>РЩж-15 (ВРУ1-13-20УХЛ) (15 секция)</v>
      </c>
      <c r="B651" s="12" t="s">
        <v>8</v>
      </c>
      <c r="C651" s="18" t="s">
        <v>250</v>
      </c>
      <c r="D651" s="11" t="s">
        <v>251</v>
      </c>
      <c r="E651" s="12">
        <v>170000</v>
      </c>
      <c r="F651" s="13">
        <f>0.6*E651</f>
        <v>102000</v>
      </c>
      <c r="G651" s="13">
        <f>H651*F651</f>
        <v>102000</v>
      </c>
      <c r="H651" s="14">
        <v>1</v>
      </c>
      <c r="I651" s="15" t="s">
        <v>13</v>
      </c>
      <c r="J651" s="12" t="s">
        <v>16</v>
      </c>
      <c r="K651">
        <v>102000</v>
      </c>
      <c r="L651">
        <f t="shared" ref="L651:L662" si="408">L650</f>
        <v>1</v>
      </c>
      <c r="M651" s="23">
        <f t="shared" si="406"/>
        <v>102000</v>
      </c>
    </row>
    <row r="652" spans="1:13" ht="21" customHeight="1" outlineLevel="2" x14ac:dyDescent="0.25">
      <c r="A652" s="11" t="str">
        <f t="shared" ref="A652:A661" si="409">A651</f>
        <v>РЩж-15 (ВРУ1-13-20УХЛ) (15 секция)</v>
      </c>
      <c r="B652" s="12" t="s">
        <v>134</v>
      </c>
      <c r="C652" s="18" t="s">
        <v>130</v>
      </c>
      <c r="D652" s="11" t="s">
        <v>131</v>
      </c>
      <c r="E652" s="12">
        <v>2210</v>
      </c>
      <c r="F652" s="13">
        <f t="shared" ref="F652:F659" si="410">E652*0.6</f>
        <v>1326</v>
      </c>
      <c r="G652" s="13">
        <f t="shared" ref="G652:G655" si="411">F652*H652</f>
        <v>3978</v>
      </c>
      <c r="H652" s="14">
        <v>3</v>
      </c>
      <c r="I652" s="15" t="s">
        <v>13</v>
      </c>
      <c r="J652" s="12" t="s">
        <v>206</v>
      </c>
      <c r="K652">
        <v>3978</v>
      </c>
      <c r="L652">
        <f t="shared" si="408"/>
        <v>1</v>
      </c>
      <c r="M652" s="23">
        <f t="shared" si="406"/>
        <v>3978</v>
      </c>
    </row>
    <row r="653" spans="1:13" ht="21" customHeight="1" outlineLevel="2" x14ac:dyDescent="0.25">
      <c r="A653" s="11" t="str">
        <f t="shared" si="409"/>
        <v>РЩж-15 (ВРУ1-13-20УХЛ) (15 секция)</v>
      </c>
      <c r="B653" s="12" t="s">
        <v>134</v>
      </c>
      <c r="C653" s="18" t="s">
        <v>128</v>
      </c>
      <c r="D653" s="11" t="s">
        <v>129</v>
      </c>
      <c r="E653" s="12">
        <v>2225</v>
      </c>
      <c r="F653" s="13">
        <f t="shared" si="410"/>
        <v>1335</v>
      </c>
      <c r="G653" s="13">
        <f t="shared" si="411"/>
        <v>4005</v>
      </c>
      <c r="H653" s="14">
        <v>3</v>
      </c>
      <c r="I653" s="15" t="s">
        <v>13</v>
      </c>
      <c r="J653" s="12" t="s">
        <v>206</v>
      </c>
      <c r="K653">
        <v>4005</v>
      </c>
      <c r="L653">
        <f t="shared" si="408"/>
        <v>1</v>
      </c>
      <c r="M653" s="23">
        <f t="shared" si="406"/>
        <v>4005</v>
      </c>
    </row>
    <row r="654" spans="1:13" ht="21" customHeight="1" outlineLevel="2" x14ac:dyDescent="0.25">
      <c r="A654" s="11" t="str">
        <f t="shared" si="409"/>
        <v>РЩж-15 (ВРУ1-13-20УХЛ) (15 секция)</v>
      </c>
      <c r="B654" s="12" t="s">
        <v>134</v>
      </c>
      <c r="C654" s="18" t="s">
        <v>160</v>
      </c>
      <c r="D654" s="11" t="s">
        <v>161</v>
      </c>
      <c r="E654" s="12">
        <v>2225</v>
      </c>
      <c r="F654" s="13">
        <f t="shared" si="410"/>
        <v>1335</v>
      </c>
      <c r="G654" s="13">
        <f t="shared" si="411"/>
        <v>8010</v>
      </c>
      <c r="H654" s="14">
        <v>6</v>
      </c>
      <c r="I654" s="15" t="s">
        <v>13</v>
      </c>
      <c r="J654" s="12" t="s">
        <v>206</v>
      </c>
      <c r="K654">
        <v>8010</v>
      </c>
      <c r="L654">
        <f t="shared" si="408"/>
        <v>1</v>
      </c>
      <c r="M654" s="23">
        <f t="shared" si="406"/>
        <v>8010</v>
      </c>
    </row>
    <row r="655" spans="1:13" ht="21" customHeight="1" outlineLevel="2" x14ac:dyDescent="0.25">
      <c r="A655" s="11" t="str">
        <f t="shared" si="409"/>
        <v>РЩж-15 (ВРУ1-13-20УХЛ) (15 секция)</v>
      </c>
      <c r="B655" s="12" t="s">
        <v>134</v>
      </c>
      <c r="C655" s="18" t="s">
        <v>189</v>
      </c>
      <c r="D655" s="11" t="s">
        <v>190</v>
      </c>
      <c r="E655" s="12">
        <v>2175</v>
      </c>
      <c r="F655" s="13">
        <f t="shared" si="410"/>
        <v>1305</v>
      </c>
      <c r="G655" s="13">
        <f t="shared" si="411"/>
        <v>3915</v>
      </c>
      <c r="H655" s="14">
        <v>3</v>
      </c>
      <c r="I655" s="15" t="s">
        <v>13</v>
      </c>
      <c r="J655" s="12" t="s">
        <v>206</v>
      </c>
      <c r="K655">
        <v>3915</v>
      </c>
      <c r="L655">
        <f t="shared" si="408"/>
        <v>1</v>
      </c>
      <c r="M655" s="23">
        <f t="shared" si="406"/>
        <v>3915</v>
      </c>
    </row>
    <row r="656" spans="1:13" ht="21" customHeight="1" outlineLevel="2" x14ac:dyDescent="0.25">
      <c r="A656" s="11" t="str">
        <f t="shared" si="409"/>
        <v>РЩж-15 (ВРУ1-13-20УХЛ) (15 секция)</v>
      </c>
      <c r="B656" s="12" t="s">
        <v>134</v>
      </c>
      <c r="C656" s="18" t="s">
        <v>162</v>
      </c>
      <c r="D656" s="11" t="s">
        <v>163</v>
      </c>
      <c r="E656" s="12">
        <v>2175</v>
      </c>
      <c r="F656" s="13">
        <f t="shared" si="410"/>
        <v>1305</v>
      </c>
      <c r="G656" s="13">
        <f t="shared" ref="G656" si="412">F656*H656</f>
        <v>3915</v>
      </c>
      <c r="H656" s="14">
        <v>3</v>
      </c>
      <c r="I656" s="15" t="s">
        <v>13</v>
      </c>
      <c r="J656" s="12" t="s">
        <v>206</v>
      </c>
      <c r="K656">
        <v>3915</v>
      </c>
      <c r="L656">
        <f t="shared" si="408"/>
        <v>1</v>
      </c>
      <c r="M656" s="23">
        <f t="shared" si="406"/>
        <v>3915</v>
      </c>
    </row>
    <row r="657" spans="1:13" ht="21" customHeight="1" outlineLevel="2" x14ac:dyDescent="0.25">
      <c r="A657" s="11" t="str">
        <f t="shared" si="409"/>
        <v>РЩж-15 (ВРУ1-13-20УХЛ) (15 секция)</v>
      </c>
      <c r="B657" s="12" t="s">
        <v>134</v>
      </c>
      <c r="C657" s="18" t="s">
        <v>132</v>
      </c>
      <c r="D657" s="11" t="s">
        <v>133</v>
      </c>
      <c r="E657" s="12">
        <v>1510</v>
      </c>
      <c r="F657" s="13">
        <f t="shared" si="410"/>
        <v>906</v>
      </c>
      <c r="G657" s="13">
        <f t="shared" ref="G657:G658" si="413">F657*H657</f>
        <v>8154</v>
      </c>
      <c r="H657" s="14">
        <v>9</v>
      </c>
      <c r="I657" s="15" t="s">
        <v>13</v>
      </c>
      <c r="J657" s="12" t="s">
        <v>206</v>
      </c>
      <c r="K657">
        <v>8154</v>
      </c>
      <c r="L657">
        <f t="shared" si="408"/>
        <v>1</v>
      </c>
      <c r="M657" s="23">
        <f t="shared" si="406"/>
        <v>8154</v>
      </c>
    </row>
    <row r="658" spans="1:13" ht="21" customHeight="1" outlineLevel="2" x14ac:dyDescent="0.25">
      <c r="A658" s="11" t="str">
        <f t="shared" si="409"/>
        <v>РЩж-15 (ВРУ1-13-20УХЛ) (15 секция)</v>
      </c>
      <c r="B658" s="12" t="s">
        <v>134</v>
      </c>
      <c r="C658" s="18" t="s">
        <v>135</v>
      </c>
      <c r="D658" s="11" t="s">
        <v>136</v>
      </c>
      <c r="E658" s="12">
        <v>3100</v>
      </c>
      <c r="F658" s="13">
        <f t="shared" si="410"/>
        <v>1860</v>
      </c>
      <c r="G658" s="13">
        <f t="shared" si="413"/>
        <v>33480</v>
      </c>
      <c r="H658" s="14">
        <v>18</v>
      </c>
      <c r="I658" s="15" t="s">
        <v>13</v>
      </c>
      <c r="J658" s="12" t="s">
        <v>206</v>
      </c>
      <c r="K658">
        <v>33480</v>
      </c>
      <c r="L658">
        <f t="shared" si="408"/>
        <v>1</v>
      </c>
      <c r="M658" s="23">
        <f t="shared" si="406"/>
        <v>33480</v>
      </c>
    </row>
    <row r="659" spans="1:13" ht="21" customHeight="1" outlineLevel="2" x14ac:dyDescent="0.25">
      <c r="A659" s="11" t="str">
        <f t="shared" si="409"/>
        <v>РЩж-15 (ВРУ1-13-20УХЛ) (15 секция)</v>
      </c>
      <c r="B659" s="12" t="s">
        <v>134</v>
      </c>
      <c r="C659" s="18" t="s">
        <v>137</v>
      </c>
      <c r="D659" s="11" t="s">
        <v>138</v>
      </c>
      <c r="E659" s="12">
        <v>2038</v>
      </c>
      <c r="F659" s="13">
        <f t="shared" si="410"/>
        <v>1222.8</v>
      </c>
      <c r="G659" s="13">
        <f t="shared" ref="G659" si="414">F659*H659</f>
        <v>11005.199999999999</v>
      </c>
      <c r="H659" s="14">
        <v>9</v>
      </c>
      <c r="I659" s="15" t="s">
        <v>13</v>
      </c>
      <c r="J659" s="12" t="s">
        <v>206</v>
      </c>
      <c r="K659">
        <v>11005.199999999999</v>
      </c>
      <c r="L659">
        <f t="shared" si="408"/>
        <v>1</v>
      </c>
      <c r="M659" s="23">
        <f t="shared" si="406"/>
        <v>11005.199999999999</v>
      </c>
    </row>
    <row r="660" spans="1:13" ht="24" customHeight="1" outlineLevel="2" x14ac:dyDescent="0.25">
      <c r="A660" s="11" t="str">
        <f>A655</f>
        <v>РЩж-15 (ВРУ1-13-20УХЛ) (15 секция)</v>
      </c>
      <c r="B660" s="11" t="s">
        <v>10</v>
      </c>
      <c r="C660" s="11" t="s">
        <v>10</v>
      </c>
      <c r="D660" s="11" t="s">
        <v>10</v>
      </c>
      <c r="E660" s="11">
        <f ca="1">OFFSET(E660,1,2)</f>
        <v>30000</v>
      </c>
      <c r="F660" s="13">
        <f ca="1">E660</f>
        <v>30000</v>
      </c>
      <c r="G660" s="13">
        <f ca="1">F660*H660</f>
        <v>30000</v>
      </c>
      <c r="H660" s="11">
        <v>1</v>
      </c>
      <c r="I660" s="11" t="s">
        <v>13</v>
      </c>
      <c r="J660" s="11" t="s">
        <v>10</v>
      </c>
      <c r="K660">
        <v>30000</v>
      </c>
      <c r="L660">
        <f t="shared" si="408"/>
        <v>1</v>
      </c>
      <c r="M660" s="23">
        <f t="shared" ca="1" si="406"/>
        <v>30000</v>
      </c>
    </row>
    <row r="661" spans="1:13" ht="21" customHeight="1" outlineLevel="2" x14ac:dyDescent="0.25">
      <c r="A661" s="11" t="str">
        <f t="shared" si="409"/>
        <v>РЩж-15 (ВРУ1-13-20УХЛ) (15 секция)</v>
      </c>
      <c r="B661" s="11" t="s">
        <v>11</v>
      </c>
      <c r="C661" s="11" t="s">
        <v>11</v>
      </c>
      <c r="D661" s="11" t="s">
        <v>11</v>
      </c>
      <c r="E661" s="11">
        <v>5</v>
      </c>
      <c r="F661" s="13">
        <v>100</v>
      </c>
      <c r="G661" s="13">
        <f t="shared" ref="G661" si="415">F661*H661</f>
        <v>30000</v>
      </c>
      <c r="H661" s="11">
        <f>60*E661</f>
        <v>300</v>
      </c>
      <c r="I661" s="11" t="s">
        <v>13</v>
      </c>
      <c r="J661" s="11" t="s">
        <v>11</v>
      </c>
      <c r="K661">
        <v>30000</v>
      </c>
      <c r="L661">
        <f t="shared" si="408"/>
        <v>1</v>
      </c>
      <c r="M661" s="23">
        <f t="shared" si="406"/>
        <v>30000</v>
      </c>
    </row>
    <row r="662" spans="1:13" ht="21" customHeight="1" outlineLevel="1" x14ac:dyDescent="0.25">
      <c r="A662" s="11" t="s">
        <v>349</v>
      </c>
      <c r="B662" s="11"/>
      <c r="C662" s="11"/>
      <c r="D662" s="11"/>
      <c r="E662" s="11"/>
      <c r="F662" s="13"/>
      <c r="G662" s="13">
        <f ca="1">SUBTOTAL(9,G650:G661)</f>
        <v>238462.2</v>
      </c>
      <c r="H662" s="11"/>
      <c r="I662" s="11"/>
      <c r="J662" s="11"/>
      <c r="K662">
        <v>238462.2</v>
      </c>
      <c r="L662">
        <f t="shared" si="408"/>
        <v>1</v>
      </c>
      <c r="M662" s="23">
        <f t="shared" ca="1" si="406"/>
        <v>238462.2</v>
      </c>
    </row>
    <row r="663" spans="1:13" ht="39.75" customHeight="1" outlineLevel="2" x14ac:dyDescent="0.25">
      <c r="A663" s="4" t="str">
        <f>D663</f>
        <v>АВР15-3-1 100А (15 секция)</v>
      </c>
      <c r="B663" s="5"/>
      <c r="C663" s="17"/>
      <c r="D663" s="5" t="s">
        <v>107</v>
      </c>
      <c r="E663" s="7"/>
      <c r="F663" s="7"/>
      <c r="G663" s="8"/>
      <c r="H663" s="9">
        <v>1</v>
      </c>
      <c r="I663" s="10" t="s">
        <v>7</v>
      </c>
      <c r="J663" s="5" t="s">
        <v>9</v>
      </c>
      <c r="L663">
        <f>H663</f>
        <v>1</v>
      </c>
      <c r="M663" s="23">
        <f t="shared" si="406"/>
        <v>0</v>
      </c>
    </row>
    <row r="664" spans="1:13" ht="21" customHeight="1" outlineLevel="2" x14ac:dyDescent="0.25">
      <c r="A664" s="11" t="str">
        <f>A663</f>
        <v>АВР15-3-1 100А (15 секция)</v>
      </c>
      <c r="B664" s="12" t="s">
        <v>8</v>
      </c>
      <c r="C664" s="18" t="s">
        <v>250</v>
      </c>
      <c r="D664" s="11" t="s">
        <v>251</v>
      </c>
      <c r="E664" s="12">
        <v>170000</v>
      </c>
      <c r="F664" s="13">
        <f>0.6*E664</f>
        <v>102000</v>
      </c>
      <c r="G664" s="13">
        <f>H664*F664</f>
        <v>102000</v>
      </c>
      <c r="H664" s="14">
        <v>1</v>
      </c>
      <c r="I664" s="15" t="s">
        <v>13</v>
      </c>
      <c r="J664" s="12" t="s">
        <v>16</v>
      </c>
      <c r="K664">
        <v>102000</v>
      </c>
      <c r="L664">
        <f t="shared" ref="L664:L685" si="416">L663</f>
        <v>1</v>
      </c>
      <c r="M664" s="23">
        <f t="shared" si="406"/>
        <v>102000</v>
      </c>
    </row>
    <row r="665" spans="1:13" ht="21" customHeight="1" outlineLevel="2" x14ac:dyDescent="0.25">
      <c r="A665" s="11" t="str">
        <f t="shared" ref="A665:A684" si="417">A664</f>
        <v>АВР15-3-1 100А (15 секция)</v>
      </c>
      <c r="B665" s="12" t="s">
        <v>46</v>
      </c>
      <c r="C665" s="18">
        <v>126511</v>
      </c>
      <c r="D665" s="11" t="s">
        <v>48</v>
      </c>
      <c r="E665" s="12">
        <v>28665</v>
      </c>
      <c r="F665" s="13">
        <f t="shared" ref="F665:F667" si="418">E665*0.6</f>
        <v>17199</v>
      </c>
      <c r="G665" s="13">
        <f t="shared" ref="G665:G681" si="419">F665*H665</f>
        <v>51597</v>
      </c>
      <c r="H665" s="14">
        <v>3</v>
      </c>
      <c r="I665" s="15" t="s">
        <v>13</v>
      </c>
      <c r="J665" s="12" t="s">
        <v>36</v>
      </c>
      <c r="K665">
        <v>51597</v>
      </c>
      <c r="L665">
        <f t="shared" si="416"/>
        <v>1</v>
      </c>
      <c r="M665" s="23">
        <f t="shared" si="406"/>
        <v>51597</v>
      </c>
    </row>
    <row r="666" spans="1:13" ht="21" customHeight="1" outlineLevel="2" x14ac:dyDescent="0.25">
      <c r="A666" s="11" t="str">
        <f>A664</f>
        <v>АВР15-3-1 100А (15 секция)</v>
      </c>
      <c r="B666" s="12" t="s">
        <v>12</v>
      </c>
      <c r="C666" s="18">
        <v>296825</v>
      </c>
      <c r="D666" s="11" t="s">
        <v>50</v>
      </c>
      <c r="E666" s="12">
        <v>2457</v>
      </c>
      <c r="F666" s="13">
        <f t="shared" si="418"/>
        <v>1474.2</v>
      </c>
      <c r="G666" s="13">
        <f t="shared" si="419"/>
        <v>4422.6000000000004</v>
      </c>
      <c r="H666" s="14">
        <v>3</v>
      </c>
      <c r="I666" s="15" t="s">
        <v>13</v>
      </c>
      <c r="J666" s="12" t="s">
        <v>36</v>
      </c>
      <c r="K666">
        <v>4422.6000000000004</v>
      </c>
      <c r="L666">
        <f t="shared" si="416"/>
        <v>1</v>
      </c>
      <c r="M666" s="23">
        <f t="shared" si="406"/>
        <v>4422.6000000000004</v>
      </c>
    </row>
    <row r="667" spans="1:13" ht="21" customHeight="1" outlineLevel="2" x14ac:dyDescent="0.25">
      <c r="A667" s="11" t="str">
        <f>A665</f>
        <v>АВР15-3-1 100А (15 секция)</v>
      </c>
      <c r="B667" s="12" t="s">
        <v>12</v>
      </c>
      <c r="C667" s="18">
        <v>296708</v>
      </c>
      <c r="D667" s="11" t="s">
        <v>31</v>
      </c>
      <c r="E667" s="12">
        <v>828</v>
      </c>
      <c r="F667" s="13">
        <f t="shared" si="418"/>
        <v>496.79999999999995</v>
      </c>
      <c r="G667" s="13">
        <f t="shared" si="419"/>
        <v>1490.3999999999999</v>
      </c>
      <c r="H667" s="14">
        <v>3</v>
      </c>
      <c r="I667" s="15" t="s">
        <v>13</v>
      </c>
      <c r="J667" s="12" t="s">
        <v>36</v>
      </c>
      <c r="K667">
        <v>1490.3999999999999</v>
      </c>
      <c r="L667">
        <f t="shared" si="416"/>
        <v>1</v>
      </c>
      <c r="M667" s="23">
        <f t="shared" si="406"/>
        <v>1490.3999999999999</v>
      </c>
    </row>
    <row r="668" spans="1:13" ht="21" customHeight="1" outlineLevel="2" x14ac:dyDescent="0.25">
      <c r="A668" s="11" t="str">
        <f>A665</f>
        <v>АВР15-3-1 100А (15 секция)</v>
      </c>
      <c r="B668" s="12" t="s">
        <v>44</v>
      </c>
      <c r="C668" s="18" t="s">
        <v>265</v>
      </c>
      <c r="D668" s="11" t="s">
        <v>266</v>
      </c>
      <c r="E668" s="12">
        <v>6500</v>
      </c>
      <c r="F668" s="13">
        <f>E668</f>
        <v>6500</v>
      </c>
      <c r="G668" s="13">
        <f t="shared" si="419"/>
        <v>39000</v>
      </c>
      <c r="H668" s="14">
        <v>6</v>
      </c>
      <c r="I668" s="15" t="s">
        <v>13</v>
      </c>
      <c r="J668" s="12" t="s">
        <v>20</v>
      </c>
      <c r="K668">
        <v>39000</v>
      </c>
      <c r="L668">
        <f t="shared" si="416"/>
        <v>1</v>
      </c>
      <c r="M668" s="23">
        <f t="shared" si="406"/>
        <v>39000</v>
      </c>
    </row>
    <row r="669" spans="1:13" ht="21" customHeight="1" outlineLevel="2" x14ac:dyDescent="0.25">
      <c r="A669" s="11" t="str">
        <f>A665</f>
        <v>АВР15-3-1 100А (15 секция)</v>
      </c>
      <c r="B669" s="12" t="s">
        <v>22</v>
      </c>
      <c r="C669" s="18">
        <v>285448</v>
      </c>
      <c r="D669" s="11" t="s">
        <v>54</v>
      </c>
      <c r="E669" s="12">
        <v>1763</v>
      </c>
      <c r="F669" s="13">
        <f t="shared" ref="F669:F673" si="420">E669*0.6</f>
        <v>1057.8</v>
      </c>
      <c r="G669" s="13">
        <f t="shared" si="419"/>
        <v>3173.3999999999996</v>
      </c>
      <c r="H669" s="14">
        <v>3</v>
      </c>
      <c r="I669" s="15" t="s">
        <v>13</v>
      </c>
      <c r="J669" s="12" t="s">
        <v>36</v>
      </c>
      <c r="K669">
        <v>3173.3999999999996</v>
      </c>
      <c r="L669">
        <f t="shared" si="416"/>
        <v>1</v>
      </c>
      <c r="M669" s="23">
        <f t="shared" si="406"/>
        <v>3173.3999999999996</v>
      </c>
    </row>
    <row r="670" spans="1:13" ht="21" customHeight="1" outlineLevel="2" x14ac:dyDescent="0.25">
      <c r="A670" s="11" t="str">
        <f>A666</f>
        <v>АВР15-3-1 100А (15 секция)</v>
      </c>
      <c r="B670" s="12" t="s">
        <v>221</v>
      </c>
      <c r="C670" s="18">
        <v>285981</v>
      </c>
      <c r="D670" s="11" t="s">
        <v>55</v>
      </c>
      <c r="E670" s="12">
        <v>1937</v>
      </c>
      <c r="F670" s="13">
        <f t="shared" si="420"/>
        <v>1162.2</v>
      </c>
      <c r="G670" s="13">
        <f t="shared" si="419"/>
        <v>3486.6000000000004</v>
      </c>
      <c r="H670" s="14">
        <v>3</v>
      </c>
      <c r="I670" s="15" t="s">
        <v>13</v>
      </c>
      <c r="J670" s="12" t="s">
        <v>36</v>
      </c>
      <c r="K670">
        <v>3486.6000000000004</v>
      </c>
      <c r="L670">
        <f t="shared" si="416"/>
        <v>1</v>
      </c>
      <c r="M670" s="23">
        <f t="shared" si="406"/>
        <v>3486.6000000000004</v>
      </c>
    </row>
    <row r="671" spans="1:13" ht="21" customHeight="1" outlineLevel="2" x14ac:dyDescent="0.25">
      <c r="A671" s="11" t="str">
        <f>A667</f>
        <v>АВР15-3-1 100А (15 секция)</v>
      </c>
      <c r="B671" s="12" t="s">
        <v>22</v>
      </c>
      <c r="C671" s="18" t="s">
        <v>53</v>
      </c>
      <c r="D671" s="11" t="s">
        <v>52</v>
      </c>
      <c r="E671" s="12">
        <v>5305</v>
      </c>
      <c r="F671" s="13">
        <f t="shared" si="420"/>
        <v>3183</v>
      </c>
      <c r="G671" s="13">
        <f t="shared" si="419"/>
        <v>9549</v>
      </c>
      <c r="H671" s="14">
        <v>3</v>
      </c>
      <c r="I671" s="15" t="s">
        <v>13</v>
      </c>
      <c r="J671" s="12" t="s">
        <v>36</v>
      </c>
      <c r="K671">
        <v>9549</v>
      </c>
      <c r="L671">
        <f t="shared" si="416"/>
        <v>1</v>
      </c>
      <c r="M671" s="23">
        <f t="shared" si="406"/>
        <v>9549</v>
      </c>
    </row>
    <row r="672" spans="1:13" ht="21" customHeight="1" outlineLevel="2" x14ac:dyDescent="0.25">
      <c r="A672" s="11" t="str">
        <f>A668</f>
        <v>АВР15-3-1 100А (15 секция)</v>
      </c>
      <c r="B672" s="12" t="s">
        <v>21</v>
      </c>
      <c r="C672" s="18">
        <v>836824</v>
      </c>
      <c r="D672" s="11" t="s">
        <v>51</v>
      </c>
      <c r="E672" s="12">
        <v>53690</v>
      </c>
      <c r="F672" s="13">
        <f t="shared" si="420"/>
        <v>32214</v>
      </c>
      <c r="G672" s="13">
        <f t="shared" si="419"/>
        <v>96642</v>
      </c>
      <c r="H672" s="14">
        <v>3</v>
      </c>
      <c r="I672" s="15" t="s">
        <v>13</v>
      </c>
      <c r="J672" s="12" t="s">
        <v>36</v>
      </c>
      <c r="K672">
        <v>96642</v>
      </c>
      <c r="L672">
        <f t="shared" si="416"/>
        <v>1</v>
      </c>
      <c r="M672" s="23">
        <f t="shared" si="406"/>
        <v>96642</v>
      </c>
    </row>
    <row r="673" spans="1:13" ht="32.25" customHeight="1" outlineLevel="2" x14ac:dyDescent="0.25">
      <c r="A673" s="11" t="str">
        <f t="shared" ref="A673" si="421">A672</f>
        <v>АВР15-3-1 100А (15 секция)</v>
      </c>
      <c r="B673" s="12" t="s">
        <v>22</v>
      </c>
      <c r="C673" s="18">
        <v>257987</v>
      </c>
      <c r="D673" s="11" t="s">
        <v>49</v>
      </c>
      <c r="E673" s="12">
        <v>9868</v>
      </c>
      <c r="F673" s="13">
        <f t="shared" si="420"/>
        <v>5920.8</v>
      </c>
      <c r="G673" s="13">
        <f t="shared" si="419"/>
        <v>17762.400000000001</v>
      </c>
      <c r="H673" s="14">
        <v>3</v>
      </c>
      <c r="I673" s="15" t="s">
        <v>13</v>
      </c>
      <c r="J673" s="12" t="s">
        <v>36</v>
      </c>
      <c r="K673">
        <v>17762.400000000001</v>
      </c>
      <c r="L673">
        <f t="shared" si="416"/>
        <v>1</v>
      </c>
      <c r="M673" s="23">
        <f t="shared" si="406"/>
        <v>17762.400000000001</v>
      </c>
    </row>
    <row r="674" spans="1:13" ht="21" customHeight="1" outlineLevel="2" x14ac:dyDescent="0.25">
      <c r="A674" s="11" t="str">
        <f>A672</f>
        <v>АВР15-3-1 100А (15 секция)</v>
      </c>
      <c r="B674" s="12" t="s">
        <v>45</v>
      </c>
      <c r="C674" s="18" t="s">
        <v>241</v>
      </c>
      <c r="D674" s="11" t="s">
        <v>242</v>
      </c>
      <c r="E674" s="12">
        <v>290</v>
      </c>
      <c r="F674" s="13">
        <f>E674*0.6</f>
        <v>174</v>
      </c>
      <c r="G674" s="13">
        <f t="shared" si="419"/>
        <v>348</v>
      </c>
      <c r="H674" s="14">
        <v>2</v>
      </c>
      <c r="I674" s="15" t="s">
        <v>13</v>
      </c>
      <c r="J674" s="12" t="s">
        <v>236</v>
      </c>
      <c r="K674">
        <v>348</v>
      </c>
      <c r="L674">
        <f t="shared" si="416"/>
        <v>1</v>
      </c>
      <c r="M674" s="23">
        <f t="shared" si="406"/>
        <v>348</v>
      </c>
    </row>
    <row r="675" spans="1:13" ht="21" customHeight="1" outlineLevel="2" x14ac:dyDescent="0.25">
      <c r="A675" s="11" t="str">
        <f t="shared" ref="A675:A680" si="422">A674</f>
        <v>АВР15-3-1 100А (15 секция)</v>
      </c>
      <c r="B675" s="12" t="s">
        <v>24</v>
      </c>
      <c r="C675" s="18">
        <v>574842</v>
      </c>
      <c r="D675" s="11" t="s">
        <v>34</v>
      </c>
      <c r="E675" s="12">
        <v>960</v>
      </c>
      <c r="F675" s="13">
        <f t="shared" ref="F675:F680" si="423">E675*0.6</f>
        <v>576</v>
      </c>
      <c r="G675" s="13">
        <f t="shared" si="419"/>
        <v>1728</v>
      </c>
      <c r="H675" s="14">
        <v>3</v>
      </c>
      <c r="I675" s="15" t="s">
        <v>19</v>
      </c>
      <c r="J675" s="12" t="s">
        <v>36</v>
      </c>
      <c r="K675">
        <v>1728</v>
      </c>
      <c r="L675">
        <f t="shared" si="416"/>
        <v>1</v>
      </c>
      <c r="M675" s="23">
        <f t="shared" si="406"/>
        <v>1728</v>
      </c>
    </row>
    <row r="676" spans="1:13" ht="21" customHeight="1" outlineLevel="2" x14ac:dyDescent="0.25">
      <c r="A676" s="11" t="str">
        <f t="shared" si="422"/>
        <v>АВР15-3-1 100А (15 секция)</v>
      </c>
      <c r="B676" s="12" t="s">
        <v>24</v>
      </c>
      <c r="C676" s="18">
        <v>574843</v>
      </c>
      <c r="D676" s="11" t="s">
        <v>35</v>
      </c>
      <c r="E676" s="12">
        <v>960</v>
      </c>
      <c r="F676" s="13">
        <f t="shared" si="423"/>
        <v>576</v>
      </c>
      <c r="G676" s="13">
        <f t="shared" si="419"/>
        <v>1728</v>
      </c>
      <c r="H676" s="14">
        <v>3</v>
      </c>
      <c r="I676" s="15" t="s">
        <v>19</v>
      </c>
      <c r="J676" s="12" t="s">
        <v>36</v>
      </c>
      <c r="K676">
        <v>1728</v>
      </c>
      <c r="L676">
        <f t="shared" si="416"/>
        <v>1</v>
      </c>
      <c r="M676" s="23">
        <f t="shared" si="406"/>
        <v>1728</v>
      </c>
    </row>
    <row r="677" spans="1:13" ht="22.5" customHeight="1" outlineLevel="2" x14ac:dyDescent="0.25">
      <c r="A677" s="11" t="str">
        <f t="shared" si="422"/>
        <v>АВР15-3-1 100А (15 секция)</v>
      </c>
      <c r="B677" s="12" t="s">
        <v>17</v>
      </c>
      <c r="C677" s="11">
        <v>574822</v>
      </c>
      <c r="D677" s="11" t="s">
        <v>32</v>
      </c>
      <c r="E677" s="11">
        <v>934</v>
      </c>
      <c r="F677" s="13">
        <f t="shared" si="423"/>
        <v>560.4</v>
      </c>
      <c r="G677" s="13">
        <f t="shared" si="419"/>
        <v>560.4</v>
      </c>
      <c r="H677" s="11">
        <v>1</v>
      </c>
      <c r="I677" s="11" t="s">
        <v>13</v>
      </c>
      <c r="J677" s="12" t="s">
        <v>36</v>
      </c>
      <c r="K677">
        <v>560.4</v>
      </c>
      <c r="L677">
        <f t="shared" si="416"/>
        <v>1</v>
      </c>
      <c r="M677" s="23">
        <f t="shared" si="406"/>
        <v>560.4</v>
      </c>
    </row>
    <row r="678" spans="1:13" ht="22.5" customHeight="1" outlineLevel="2" x14ac:dyDescent="0.25">
      <c r="A678" s="11" t="str">
        <f t="shared" si="422"/>
        <v>АВР15-3-1 100А (15 секция)</v>
      </c>
      <c r="B678" s="12" t="s">
        <v>23</v>
      </c>
      <c r="C678" s="11" t="s">
        <v>244</v>
      </c>
      <c r="D678" s="11" t="s">
        <v>243</v>
      </c>
      <c r="E678" s="11">
        <v>140</v>
      </c>
      <c r="F678" s="13">
        <f>E678*0.6</f>
        <v>84</v>
      </c>
      <c r="G678" s="13">
        <f t="shared" si="419"/>
        <v>252</v>
      </c>
      <c r="H678" s="11">
        <v>3</v>
      </c>
      <c r="I678" s="11" t="s">
        <v>13</v>
      </c>
      <c r="J678" s="12" t="s">
        <v>236</v>
      </c>
      <c r="K678">
        <v>252</v>
      </c>
      <c r="L678">
        <f t="shared" si="416"/>
        <v>1</v>
      </c>
      <c r="M678" s="23">
        <f t="shared" si="406"/>
        <v>252</v>
      </c>
    </row>
    <row r="679" spans="1:13" ht="21" customHeight="1" outlineLevel="2" x14ac:dyDescent="0.25">
      <c r="A679" s="11" t="str">
        <f t="shared" si="422"/>
        <v>АВР15-3-1 100А (15 секция)</v>
      </c>
      <c r="B679" s="12" t="s">
        <v>39</v>
      </c>
      <c r="C679" s="18">
        <v>593071</v>
      </c>
      <c r="D679" s="11" t="s">
        <v>56</v>
      </c>
      <c r="E679" s="12">
        <v>439</v>
      </c>
      <c r="F679" s="13">
        <f t="shared" si="423"/>
        <v>263.39999999999998</v>
      </c>
      <c r="G679" s="13">
        <f t="shared" si="419"/>
        <v>790.19999999999993</v>
      </c>
      <c r="H679" s="14">
        <v>3</v>
      </c>
      <c r="I679" s="15" t="s">
        <v>19</v>
      </c>
      <c r="J679" s="12" t="s">
        <v>36</v>
      </c>
      <c r="K679">
        <v>790.19999999999993</v>
      </c>
      <c r="L679">
        <f t="shared" si="416"/>
        <v>1</v>
      </c>
      <c r="M679" s="23">
        <f t="shared" si="406"/>
        <v>790.19999999999993</v>
      </c>
    </row>
    <row r="680" spans="1:13" ht="21" customHeight="1" outlineLevel="2" x14ac:dyDescent="0.25">
      <c r="A680" s="11" t="str">
        <f t="shared" si="422"/>
        <v>АВР15-3-1 100А (15 секция)</v>
      </c>
      <c r="B680" s="12" t="s">
        <v>57</v>
      </c>
      <c r="C680" s="18">
        <v>576728</v>
      </c>
      <c r="D680" s="11" t="s">
        <v>58</v>
      </c>
      <c r="E680" s="12">
        <v>272</v>
      </c>
      <c r="F680" s="13">
        <f t="shared" si="423"/>
        <v>163.19999999999999</v>
      </c>
      <c r="G680" s="13">
        <f t="shared" si="419"/>
        <v>652.79999999999995</v>
      </c>
      <c r="H680" s="14">
        <v>4</v>
      </c>
      <c r="I680" s="15" t="s">
        <v>19</v>
      </c>
      <c r="J680" s="12" t="s">
        <v>36</v>
      </c>
      <c r="K680">
        <v>652.79999999999995</v>
      </c>
      <c r="L680">
        <f t="shared" si="416"/>
        <v>1</v>
      </c>
      <c r="M680" s="23">
        <f t="shared" si="406"/>
        <v>652.79999999999995</v>
      </c>
    </row>
    <row r="681" spans="1:13" ht="21" customHeight="1" outlineLevel="2" x14ac:dyDescent="0.25">
      <c r="A681" s="11" t="str">
        <f>A678</f>
        <v>АВР15-3-1 100А (15 секция)</v>
      </c>
      <c r="B681" s="12" t="s">
        <v>21</v>
      </c>
      <c r="C681" s="11" t="s">
        <v>248</v>
      </c>
      <c r="D681" s="11" t="s">
        <v>249</v>
      </c>
      <c r="E681" s="11">
        <v>1490</v>
      </c>
      <c r="F681" s="13">
        <f>E681*0.6</f>
        <v>894</v>
      </c>
      <c r="G681" s="13">
        <f t="shared" si="419"/>
        <v>894</v>
      </c>
      <c r="H681" s="14">
        <v>1</v>
      </c>
      <c r="I681" s="15" t="s">
        <v>13</v>
      </c>
      <c r="J681" s="12" t="s">
        <v>276</v>
      </c>
      <c r="K681">
        <v>894</v>
      </c>
      <c r="L681">
        <f t="shared" si="416"/>
        <v>1</v>
      </c>
      <c r="M681" s="23">
        <f t="shared" si="406"/>
        <v>894</v>
      </c>
    </row>
    <row r="682" spans="1:13" ht="21" customHeight="1" outlineLevel="2" x14ac:dyDescent="0.25">
      <c r="A682" s="11" t="str">
        <f>A679</f>
        <v>АВР15-3-1 100А (15 секция)</v>
      </c>
      <c r="B682" s="12" t="s">
        <v>81</v>
      </c>
      <c r="C682" s="18"/>
      <c r="D682" s="11" t="s">
        <v>82</v>
      </c>
      <c r="E682" s="12">
        <v>4000</v>
      </c>
      <c r="F682" s="13">
        <f t="shared" ref="F682" si="424">E682</f>
        <v>4000</v>
      </c>
      <c r="G682" s="13">
        <f t="shared" ref="G682" si="425">F682*H682</f>
        <v>12000</v>
      </c>
      <c r="H682" s="14">
        <v>3</v>
      </c>
      <c r="I682" s="15" t="s">
        <v>13</v>
      </c>
      <c r="J682" s="12" t="s">
        <v>20</v>
      </c>
      <c r="K682">
        <v>12000</v>
      </c>
      <c r="L682">
        <f t="shared" si="416"/>
        <v>1</v>
      </c>
      <c r="M682" s="23">
        <f t="shared" si="406"/>
        <v>12000</v>
      </c>
    </row>
    <row r="683" spans="1:13" ht="24" customHeight="1" outlineLevel="2" x14ac:dyDescent="0.25">
      <c r="A683" s="11" t="str">
        <f>A677</f>
        <v>АВР15-3-1 100А (15 секция)</v>
      </c>
      <c r="B683" s="11" t="s">
        <v>10</v>
      </c>
      <c r="C683" s="11" t="s">
        <v>10</v>
      </c>
      <c r="D683" s="11" t="s">
        <v>10</v>
      </c>
      <c r="E683" s="11">
        <f ca="1">OFFSET(E683,1,2)</f>
        <v>48000</v>
      </c>
      <c r="F683" s="13">
        <f ca="1">E683</f>
        <v>48000</v>
      </c>
      <c r="G683" s="13">
        <f ca="1">F683*H683</f>
        <v>48000</v>
      </c>
      <c r="H683" s="11">
        <v>1</v>
      </c>
      <c r="I683" s="11" t="s">
        <v>13</v>
      </c>
      <c r="J683" s="11" t="s">
        <v>10</v>
      </c>
      <c r="K683">
        <v>48000</v>
      </c>
      <c r="L683">
        <f t="shared" si="416"/>
        <v>1</v>
      </c>
      <c r="M683" s="23">
        <f t="shared" ca="1" si="406"/>
        <v>48000</v>
      </c>
    </row>
    <row r="684" spans="1:13" ht="21" customHeight="1" outlineLevel="2" x14ac:dyDescent="0.25">
      <c r="A684" s="11" t="str">
        <f t="shared" si="417"/>
        <v>АВР15-3-1 100А (15 секция)</v>
      </c>
      <c r="B684" s="11" t="s">
        <v>11</v>
      </c>
      <c r="C684" s="11" t="s">
        <v>11</v>
      </c>
      <c r="D684" s="11" t="s">
        <v>11</v>
      </c>
      <c r="E684" s="11">
        <v>8</v>
      </c>
      <c r="F684" s="13">
        <v>100</v>
      </c>
      <c r="G684" s="13">
        <f t="shared" ref="G684" si="426">F684*H684</f>
        <v>48000</v>
      </c>
      <c r="H684" s="11">
        <f>60*E684</f>
        <v>480</v>
      </c>
      <c r="I684" s="11" t="s">
        <v>13</v>
      </c>
      <c r="J684" s="11" t="s">
        <v>11</v>
      </c>
      <c r="K684">
        <v>48000</v>
      </c>
      <c r="L684">
        <f t="shared" si="416"/>
        <v>1</v>
      </c>
      <c r="M684" s="23">
        <f t="shared" si="406"/>
        <v>48000</v>
      </c>
    </row>
    <row r="685" spans="1:13" ht="21" customHeight="1" outlineLevel="1" x14ac:dyDescent="0.25">
      <c r="A685" s="11" t="s">
        <v>350</v>
      </c>
      <c r="B685" s="11"/>
      <c r="C685" s="11"/>
      <c r="D685" s="11"/>
      <c r="E685" s="11"/>
      <c r="F685" s="13"/>
      <c r="G685" s="13">
        <f ca="1">SUBTOTAL(9,G663:G684)</f>
        <v>444076.80000000005</v>
      </c>
      <c r="H685" s="11"/>
      <c r="I685" s="11"/>
      <c r="J685" s="11"/>
      <c r="K685">
        <v>444076.80000000005</v>
      </c>
      <c r="L685">
        <f t="shared" si="416"/>
        <v>1</v>
      </c>
      <c r="M685" s="23">
        <f t="shared" ca="1" si="406"/>
        <v>444076.80000000005</v>
      </c>
    </row>
    <row r="686" spans="1:13" ht="39.75" customHeight="1" outlineLevel="2" x14ac:dyDescent="0.25">
      <c r="A686" s="4" t="str">
        <f>D686</f>
        <v>ВРУ-Инд. (ЩСП-15 Секция-1) (ЩСП-15 Секция-2)</v>
      </c>
      <c r="B686" s="5"/>
      <c r="C686" s="17"/>
      <c r="D686" s="5" t="s">
        <v>108</v>
      </c>
      <c r="E686" s="7"/>
      <c r="F686" s="7"/>
      <c r="G686" s="8"/>
      <c r="H686" s="9">
        <v>1</v>
      </c>
      <c r="I686" s="10" t="s">
        <v>7</v>
      </c>
      <c r="J686" s="5" t="s">
        <v>9</v>
      </c>
      <c r="L686">
        <f>H686</f>
        <v>1</v>
      </c>
      <c r="M686" s="23">
        <f t="shared" si="406"/>
        <v>0</v>
      </c>
    </row>
    <row r="687" spans="1:13" ht="21" customHeight="1" outlineLevel="2" x14ac:dyDescent="0.25">
      <c r="A687" s="11" t="str">
        <f>A686</f>
        <v>ВРУ-Инд. (ЩСП-15 Секция-1) (ЩСП-15 Секция-2)</v>
      </c>
      <c r="B687" s="12" t="s">
        <v>8</v>
      </c>
      <c r="C687" s="18" t="s">
        <v>252</v>
      </c>
      <c r="D687" s="11" t="s">
        <v>275</v>
      </c>
      <c r="E687" s="12">
        <v>145000</v>
      </c>
      <c r="F687" s="13">
        <f>0.6*E687</f>
        <v>87000</v>
      </c>
      <c r="G687" s="13">
        <f>H687*F687</f>
        <v>87000</v>
      </c>
      <c r="H687" s="14">
        <v>1</v>
      </c>
      <c r="I687" s="15" t="s">
        <v>13</v>
      </c>
      <c r="J687" s="12" t="s">
        <v>16</v>
      </c>
      <c r="K687">
        <v>87000</v>
      </c>
      <c r="L687">
        <f t="shared" ref="L687:L695" si="427">L686</f>
        <v>1</v>
      </c>
      <c r="M687" s="23">
        <f t="shared" si="406"/>
        <v>87000</v>
      </c>
    </row>
    <row r="688" spans="1:13" ht="21" customHeight="1" outlineLevel="2" x14ac:dyDescent="0.25">
      <c r="A688" s="11" t="str">
        <f t="shared" ref="A688:A694" si="428">A687</f>
        <v>ВРУ-Инд. (ЩСП-15 Секция-1) (ЩСП-15 Секция-2)</v>
      </c>
      <c r="B688" s="12" t="s">
        <v>64</v>
      </c>
      <c r="C688" s="18">
        <v>193180</v>
      </c>
      <c r="D688" s="11" t="s">
        <v>60</v>
      </c>
      <c r="E688" s="12">
        <v>2493</v>
      </c>
      <c r="F688" s="13">
        <f t="shared" ref="F688:F692" si="429">E688*0.6</f>
        <v>1495.8</v>
      </c>
      <c r="G688" s="13">
        <f>F688*H688</f>
        <v>11966.4</v>
      </c>
      <c r="H688" s="14">
        <v>8</v>
      </c>
      <c r="I688" s="15" t="s">
        <v>13</v>
      </c>
      <c r="J688" s="12" t="s">
        <v>36</v>
      </c>
      <c r="K688">
        <v>11966.4</v>
      </c>
      <c r="L688">
        <f t="shared" si="427"/>
        <v>1</v>
      </c>
      <c r="M688" s="23">
        <f t="shared" si="406"/>
        <v>11966.4</v>
      </c>
    </row>
    <row r="689" spans="1:13" ht="21" customHeight="1" outlineLevel="2" x14ac:dyDescent="0.25">
      <c r="A689" s="11" t="str">
        <f t="shared" si="428"/>
        <v>ВРУ-Инд. (ЩСП-15 Секция-1) (ЩСП-15 Секция-2)</v>
      </c>
      <c r="B689" s="12" t="s">
        <v>64</v>
      </c>
      <c r="C689" s="18">
        <v>398044</v>
      </c>
      <c r="D689" s="11" t="s">
        <v>61</v>
      </c>
      <c r="E689" s="12">
        <v>3112</v>
      </c>
      <c r="F689" s="13">
        <f t="shared" si="429"/>
        <v>1867.1999999999998</v>
      </c>
      <c r="G689" s="13">
        <f t="shared" ref="G689:G692" si="430">F689*H689</f>
        <v>5601.5999999999995</v>
      </c>
      <c r="H689" s="14">
        <v>3</v>
      </c>
      <c r="I689" s="15" t="s">
        <v>13</v>
      </c>
      <c r="J689" s="12" t="s">
        <v>36</v>
      </c>
      <c r="K689">
        <v>5601.5999999999995</v>
      </c>
      <c r="L689">
        <f t="shared" si="427"/>
        <v>1</v>
      </c>
      <c r="M689" s="23">
        <f t="shared" si="406"/>
        <v>5601.5999999999995</v>
      </c>
    </row>
    <row r="690" spans="1:13" ht="21" customHeight="1" outlineLevel="2" x14ac:dyDescent="0.25">
      <c r="A690" s="11" t="str">
        <f t="shared" si="428"/>
        <v>ВРУ-Инд. (ЩСП-15 Секция-1) (ЩСП-15 Секция-2)</v>
      </c>
      <c r="B690" s="12" t="s">
        <v>12</v>
      </c>
      <c r="C690" s="18"/>
      <c r="D690" s="11" t="s">
        <v>62</v>
      </c>
      <c r="E690" s="12">
        <v>9555</v>
      </c>
      <c r="F690" s="13">
        <f t="shared" si="429"/>
        <v>5733</v>
      </c>
      <c r="G690" s="13">
        <f t="shared" si="430"/>
        <v>5733</v>
      </c>
      <c r="H690" s="14">
        <v>1</v>
      </c>
      <c r="I690" s="15" t="s">
        <v>13</v>
      </c>
      <c r="J690" s="12" t="s">
        <v>36</v>
      </c>
      <c r="K690">
        <v>5733</v>
      </c>
      <c r="L690">
        <f t="shared" si="427"/>
        <v>1</v>
      </c>
      <c r="M690" s="23">
        <f t="shared" si="406"/>
        <v>5733</v>
      </c>
    </row>
    <row r="691" spans="1:13" ht="21" customHeight="1" outlineLevel="2" x14ac:dyDescent="0.25">
      <c r="A691" s="11" t="str">
        <f t="shared" si="428"/>
        <v>ВРУ-Инд. (ЩСП-15 Секция-1) (ЩСП-15 Секция-2)</v>
      </c>
      <c r="B691" s="12" t="s">
        <v>12</v>
      </c>
      <c r="C691" s="18"/>
      <c r="D691" s="11" t="s">
        <v>203</v>
      </c>
      <c r="E691" s="16">
        <v>2916</v>
      </c>
      <c r="F691" s="13">
        <f t="shared" si="429"/>
        <v>1749.6</v>
      </c>
      <c r="G691" s="13">
        <f t="shared" si="430"/>
        <v>5248.7999999999993</v>
      </c>
      <c r="H691" s="14">
        <v>3</v>
      </c>
      <c r="I691" s="15" t="s">
        <v>13</v>
      </c>
      <c r="J691" s="12" t="s">
        <v>36</v>
      </c>
      <c r="K691">
        <v>5248.7999999999993</v>
      </c>
      <c r="L691">
        <f t="shared" si="427"/>
        <v>1</v>
      </c>
      <c r="M691" s="23">
        <f t="shared" si="406"/>
        <v>5248.7999999999993</v>
      </c>
    </row>
    <row r="692" spans="1:13" ht="21" customHeight="1" outlineLevel="2" x14ac:dyDescent="0.25">
      <c r="A692" s="11" t="str">
        <f t="shared" si="428"/>
        <v>ВРУ-Инд. (ЩСП-15 Секция-1) (ЩСП-15 Секция-2)</v>
      </c>
      <c r="B692" s="12" t="s">
        <v>12</v>
      </c>
      <c r="C692" s="18"/>
      <c r="D692" s="11" t="s">
        <v>195</v>
      </c>
      <c r="E692" s="16">
        <v>2785</v>
      </c>
      <c r="F692" s="13">
        <f t="shared" si="429"/>
        <v>1671</v>
      </c>
      <c r="G692" s="13">
        <f t="shared" si="430"/>
        <v>11697</v>
      </c>
      <c r="H692" s="14">
        <v>7</v>
      </c>
      <c r="I692" s="15" t="s">
        <v>13</v>
      </c>
      <c r="J692" s="12" t="s">
        <v>36</v>
      </c>
      <c r="K692">
        <v>11697</v>
      </c>
      <c r="L692">
        <f t="shared" si="427"/>
        <v>1</v>
      </c>
      <c r="M692" s="23">
        <f t="shared" si="406"/>
        <v>11697</v>
      </c>
    </row>
    <row r="693" spans="1:13" ht="24" customHeight="1" outlineLevel="2" x14ac:dyDescent="0.25">
      <c r="A693" s="11" t="str">
        <f t="shared" si="428"/>
        <v>ВРУ-Инд. (ЩСП-15 Секция-1) (ЩСП-15 Секция-2)</v>
      </c>
      <c r="B693" s="11" t="s">
        <v>10</v>
      </c>
      <c r="C693" s="11" t="s">
        <v>10</v>
      </c>
      <c r="D693" s="11" t="s">
        <v>10</v>
      </c>
      <c r="E693" s="11">
        <f ca="1">OFFSET(E693,1,2)</f>
        <v>30000</v>
      </c>
      <c r="F693" s="13">
        <f ca="1">E693</f>
        <v>30000</v>
      </c>
      <c r="G693" s="13">
        <f ca="1">F693*H693</f>
        <v>30000</v>
      </c>
      <c r="H693" s="11">
        <v>1</v>
      </c>
      <c r="I693" s="11" t="s">
        <v>13</v>
      </c>
      <c r="J693" s="11" t="s">
        <v>10</v>
      </c>
      <c r="K693">
        <v>30000</v>
      </c>
      <c r="L693">
        <f t="shared" si="427"/>
        <v>1</v>
      </c>
      <c r="M693" s="23">
        <f t="shared" ca="1" si="406"/>
        <v>30000</v>
      </c>
    </row>
    <row r="694" spans="1:13" ht="21" customHeight="1" outlineLevel="2" x14ac:dyDescent="0.25">
      <c r="A694" s="11" t="str">
        <f t="shared" si="428"/>
        <v>ВРУ-Инд. (ЩСП-15 Секция-1) (ЩСП-15 Секция-2)</v>
      </c>
      <c r="B694" s="11" t="s">
        <v>11</v>
      </c>
      <c r="C694" s="11" t="s">
        <v>11</v>
      </c>
      <c r="D694" s="11" t="s">
        <v>11</v>
      </c>
      <c r="E694" s="11">
        <v>5</v>
      </c>
      <c r="F694" s="13">
        <v>100</v>
      </c>
      <c r="G694" s="13">
        <f t="shared" ref="G694" si="431">F694*H694</f>
        <v>30000</v>
      </c>
      <c r="H694" s="11">
        <f>60*E694</f>
        <v>300</v>
      </c>
      <c r="I694" s="11" t="s">
        <v>13</v>
      </c>
      <c r="J694" s="11" t="s">
        <v>11</v>
      </c>
      <c r="K694">
        <v>30000</v>
      </c>
      <c r="L694">
        <f t="shared" si="427"/>
        <v>1</v>
      </c>
      <c r="M694" s="23">
        <f t="shared" si="406"/>
        <v>30000</v>
      </c>
    </row>
    <row r="695" spans="1:13" ht="21" customHeight="1" outlineLevel="1" x14ac:dyDescent="0.25">
      <c r="A695" s="11" t="s">
        <v>351</v>
      </c>
      <c r="B695" s="11"/>
      <c r="C695" s="11"/>
      <c r="D695" s="11"/>
      <c r="E695" s="11"/>
      <c r="F695" s="13"/>
      <c r="G695" s="13">
        <f ca="1">SUBTOTAL(9,G686:G694)</f>
        <v>187246.8</v>
      </c>
      <c r="H695" s="11"/>
      <c r="I695" s="11"/>
      <c r="J695" s="11"/>
      <c r="K695">
        <v>187246.8</v>
      </c>
      <c r="L695">
        <f t="shared" si="427"/>
        <v>1</v>
      </c>
      <c r="M695" s="23">
        <f t="shared" ca="1" si="406"/>
        <v>187246.8</v>
      </c>
    </row>
    <row r="696" spans="1:13" ht="39.75" customHeight="1" outlineLevel="2" x14ac:dyDescent="0.25">
      <c r="A696" s="4" t="str">
        <f>D696</f>
        <v>ПР-инд (УКРМ-0,4-10 У3)  10 кВар 5х5 (15 секция)</v>
      </c>
      <c r="B696" s="5"/>
      <c r="C696" s="17"/>
      <c r="D696" s="5" t="s">
        <v>109</v>
      </c>
      <c r="E696" s="7"/>
      <c r="F696" s="7"/>
      <c r="G696" s="8"/>
      <c r="H696" s="9">
        <v>1</v>
      </c>
      <c r="I696" s="10" t="s">
        <v>7</v>
      </c>
      <c r="J696" s="5" t="s">
        <v>9</v>
      </c>
      <c r="L696">
        <f>H696</f>
        <v>1</v>
      </c>
      <c r="M696" s="23">
        <f t="shared" si="406"/>
        <v>0</v>
      </c>
    </row>
    <row r="697" spans="1:13" ht="39.75" customHeight="1" outlineLevel="1" x14ac:dyDescent="0.25">
      <c r="A697" s="4" t="s">
        <v>352</v>
      </c>
      <c r="B697" s="5"/>
      <c r="C697" s="17"/>
      <c r="D697" s="5"/>
      <c r="E697" s="7"/>
      <c r="F697" s="7"/>
      <c r="G697" s="8">
        <f>SUBTOTAL(9,G696:G696)</f>
        <v>0</v>
      </c>
      <c r="H697" s="9"/>
      <c r="I697" s="10"/>
      <c r="J697" s="5"/>
      <c r="K697">
        <v>0</v>
      </c>
      <c r="L697">
        <f>L696</f>
        <v>1</v>
      </c>
      <c r="M697" s="23">
        <f t="shared" si="406"/>
        <v>0</v>
      </c>
    </row>
    <row r="698" spans="1:13" ht="39.75" customHeight="1" outlineLevel="2" x14ac:dyDescent="0.25">
      <c r="A698" s="4" t="str">
        <f>D698</f>
        <v>Щит освещения (ПР 15) (15 секция)</v>
      </c>
      <c r="B698" s="5"/>
      <c r="C698" s="17"/>
      <c r="D698" s="5" t="s">
        <v>219</v>
      </c>
      <c r="E698" s="7"/>
      <c r="F698" s="7"/>
      <c r="G698" s="8"/>
      <c r="H698" s="9">
        <v>1</v>
      </c>
      <c r="I698" s="10" t="s">
        <v>7</v>
      </c>
      <c r="J698" s="5" t="s">
        <v>9</v>
      </c>
      <c r="L698">
        <f>H698</f>
        <v>1</v>
      </c>
      <c r="M698" s="23">
        <f t="shared" si="406"/>
        <v>0</v>
      </c>
    </row>
    <row r="699" spans="1:13" ht="21" customHeight="1" outlineLevel="2" x14ac:dyDescent="0.25">
      <c r="A699" s="11" t="str">
        <f>A698</f>
        <v>Щит освещения (ПР 15) (15 секция)</v>
      </c>
      <c r="B699" s="12" t="s">
        <v>8</v>
      </c>
      <c r="C699" s="18" t="s">
        <v>253</v>
      </c>
      <c r="D699" s="11" t="s">
        <v>88</v>
      </c>
      <c r="E699" s="12">
        <v>30500</v>
      </c>
      <c r="F699" s="13">
        <f>0.6*E699</f>
        <v>18300</v>
      </c>
      <c r="G699" s="13">
        <f>H699*F699</f>
        <v>18300</v>
      </c>
      <c r="H699" s="14">
        <v>1</v>
      </c>
      <c r="I699" s="15" t="s">
        <v>13</v>
      </c>
      <c r="J699" s="12" t="s">
        <v>16</v>
      </c>
      <c r="K699">
        <v>18300</v>
      </c>
      <c r="L699">
        <f t="shared" ref="L699:L707" si="432">L698</f>
        <v>1</v>
      </c>
      <c r="M699" s="23">
        <f t="shared" si="406"/>
        <v>18300</v>
      </c>
    </row>
    <row r="700" spans="1:13" ht="21" customHeight="1" outlineLevel="2" x14ac:dyDescent="0.25">
      <c r="A700" s="11" t="str">
        <f t="shared" ref="A700:A706" si="433">A699</f>
        <v>Щит освещения (ПР 15) (15 секция)</v>
      </c>
      <c r="B700" s="12" t="s">
        <v>64</v>
      </c>
      <c r="C700" s="18">
        <v>398043</v>
      </c>
      <c r="D700" s="11" t="s">
        <v>63</v>
      </c>
      <c r="E700" s="12">
        <v>2493</v>
      </c>
      <c r="F700" s="13">
        <f t="shared" ref="F700:F704" si="434">E700*0.6</f>
        <v>1495.8</v>
      </c>
      <c r="G700" s="13">
        <f>F700*H700</f>
        <v>1495.8</v>
      </c>
      <c r="H700" s="14">
        <v>1</v>
      </c>
      <c r="I700" s="15" t="s">
        <v>13</v>
      </c>
      <c r="J700" s="12" t="s">
        <v>36</v>
      </c>
      <c r="K700">
        <v>1495.8</v>
      </c>
      <c r="L700">
        <f t="shared" si="432"/>
        <v>1</v>
      </c>
      <c r="M700" s="23">
        <f t="shared" si="406"/>
        <v>1495.8</v>
      </c>
    </row>
    <row r="701" spans="1:13" ht="21" customHeight="1" outlineLevel="2" x14ac:dyDescent="0.25">
      <c r="A701" s="11" t="str">
        <f t="shared" si="433"/>
        <v>Щит освещения (ПР 15) (15 секция)</v>
      </c>
      <c r="B701" s="12" t="s">
        <v>12</v>
      </c>
      <c r="C701" s="18"/>
      <c r="D701" s="11" t="s">
        <v>201</v>
      </c>
      <c r="E701" s="16">
        <v>3003</v>
      </c>
      <c r="F701" s="13">
        <f t="shared" si="434"/>
        <v>1801.8</v>
      </c>
      <c r="G701" s="13">
        <f t="shared" ref="G701" si="435">F701*H701</f>
        <v>1801.8</v>
      </c>
      <c r="H701" s="14">
        <v>1</v>
      </c>
      <c r="I701" s="15" t="s">
        <v>13</v>
      </c>
      <c r="J701" s="12" t="s">
        <v>36</v>
      </c>
      <c r="K701">
        <v>1801.8</v>
      </c>
      <c r="L701">
        <f t="shared" si="432"/>
        <v>1</v>
      </c>
      <c r="M701" s="23">
        <f t="shared" si="406"/>
        <v>1801.8</v>
      </c>
    </row>
    <row r="702" spans="1:13" ht="21" customHeight="1" outlineLevel="2" x14ac:dyDescent="0.25">
      <c r="A702" s="11" t="str">
        <f t="shared" si="433"/>
        <v>Щит освещения (ПР 15) (15 секция)</v>
      </c>
      <c r="B702" s="12" t="s">
        <v>12</v>
      </c>
      <c r="C702" s="18"/>
      <c r="D702" s="11" t="s">
        <v>204</v>
      </c>
      <c r="E702" s="12">
        <v>732</v>
      </c>
      <c r="F702" s="13">
        <f t="shared" si="434"/>
        <v>439.2</v>
      </c>
      <c r="G702" s="13">
        <f t="shared" ref="G702:G704" si="436">F702*H702</f>
        <v>878.4</v>
      </c>
      <c r="H702" s="14">
        <v>2</v>
      </c>
      <c r="I702" s="15" t="s">
        <v>13</v>
      </c>
      <c r="J702" s="12" t="s">
        <v>36</v>
      </c>
      <c r="K702">
        <v>878.4</v>
      </c>
      <c r="L702">
        <f t="shared" si="432"/>
        <v>1</v>
      </c>
      <c r="M702" s="23">
        <f t="shared" si="406"/>
        <v>878.4</v>
      </c>
    </row>
    <row r="703" spans="1:13" ht="21" customHeight="1" outlineLevel="2" x14ac:dyDescent="0.25">
      <c r="A703" s="11" t="str">
        <f t="shared" si="433"/>
        <v>Щит освещения (ПР 15) (15 секция)</v>
      </c>
      <c r="B703" s="12" t="s">
        <v>18</v>
      </c>
      <c r="C703" s="18">
        <v>105542</v>
      </c>
      <c r="D703" s="11" t="s">
        <v>65</v>
      </c>
      <c r="E703" s="12">
        <v>3513</v>
      </c>
      <c r="F703" s="13">
        <f t="shared" si="434"/>
        <v>2107.7999999999997</v>
      </c>
      <c r="G703" s="13">
        <f t="shared" si="436"/>
        <v>2107.7999999999997</v>
      </c>
      <c r="H703" s="14">
        <v>1</v>
      </c>
      <c r="I703" s="15" t="s">
        <v>13</v>
      </c>
      <c r="J703" s="12" t="s">
        <v>36</v>
      </c>
      <c r="K703">
        <v>2107.7999999999997</v>
      </c>
      <c r="L703">
        <f t="shared" si="432"/>
        <v>1</v>
      </c>
      <c r="M703" s="23">
        <f t="shared" si="406"/>
        <v>2107.7999999999997</v>
      </c>
    </row>
    <row r="704" spans="1:13" ht="21" customHeight="1" outlineLevel="2" x14ac:dyDescent="0.25">
      <c r="A704" s="11" t="str">
        <f t="shared" si="433"/>
        <v>Щит освещения (ПР 15) (15 секция)</v>
      </c>
      <c r="B704" s="12" t="s">
        <v>12</v>
      </c>
      <c r="C704" s="18"/>
      <c r="D704" s="11" t="s">
        <v>195</v>
      </c>
      <c r="E704" s="16">
        <v>2785</v>
      </c>
      <c r="F704" s="13">
        <f t="shared" si="434"/>
        <v>1671</v>
      </c>
      <c r="G704" s="13">
        <f t="shared" si="436"/>
        <v>5013</v>
      </c>
      <c r="H704" s="14">
        <v>3</v>
      </c>
      <c r="I704" s="15" t="s">
        <v>13</v>
      </c>
      <c r="J704" s="12" t="s">
        <v>36</v>
      </c>
      <c r="K704">
        <v>5013</v>
      </c>
      <c r="L704">
        <f t="shared" si="432"/>
        <v>1</v>
      </c>
      <c r="M704" s="23">
        <f t="shared" si="406"/>
        <v>5013</v>
      </c>
    </row>
    <row r="705" spans="1:13" ht="24" customHeight="1" outlineLevel="2" x14ac:dyDescent="0.25">
      <c r="A705" s="11" t="str">
        <f t="shared" si="433"/>
        <v>Щит освещения (ПР 15) (15 секция)</v>
      </c>
      <c r="B705" s="11" t="s">
        <v>10</v>
      </c>
      <c r="C705" s="11" t="s">
        <v>10</v>
      </c>
      <c r="D705" s="11" t="s">
        <v>10</v>
      </c>
      <c r="E705" s="11">
        <f ca="1">OFFSET(E705,1,2)</f>
        <v>9000</v>
      </c>
      <c r="F705" s="13">
        <f ca="1">E705</f>
        <v>9000</v>
      </c>
      <c r="G705" s="13">
        <f ca="1">F705*H705</f>
        <v>9000</v>
      </c>
      <c r="H705" s="11">
        <v>1</v>
      </c>
      <c r="I705" s="11" t="s">
        <v>13</v>
      </c>
      <c r="J705" s="11" t="s">
        <v>10</v>
      </c>
      <c r="K705">
        <v>9000</v>
      </c>
      <c r="L705">
        <f t="shared" si="432"/>
        <v>1</v>
      </c>
      <c r="M705" s="23">
        <f t="shared" ca="1" si="406"/>
        <v>9000</v>
      </c>
    </row>
    <row r="706" spans="1:13" ht="21" customHeight="1" outlineLevel="2" x14ac:dyDescent="0.25">
      <c r="A706" s="11" t="str">
        <f t="shared" si="433"/>
        <v>Щит освещения (ПР 15) (15 секция)</v>
      </c>
      <c r="B706" s="11" t="s">
        <v>11</v>
      </c>
      <c r="C706" s="11" t="s">
        <v>11</v>
      </c>
      <c r="D706" s="11" t="s">
        <v>11</v>
      </c>
      <c r="E706" s="11">
        <v>1.5</v>
      </c>
      <c r="F706" s="13">
        <v>100</v>
      </c>
      <c r="G706" s="13">
        <f t="shared" ref="G706" si="437">F706*H706</f>
        <v>9000</v>
      </c>
      <c r="H706" s="11">
        <f>60*E706</f>
        <v>90</v>
      </c>
      <c r="I706" s="11" t="s">
        <v>13</v>
      </c>
      <c r="J706" s="11" t="s">
        <v>11</v>
      </c>
      <c r="K706">
        <v>9000</v>
      </c>
      <c r="L706">
        <f t="shared" si="432"/>
        <v>1</v>
      </c>
      <c r="M706" s="23">
        <f t="shared" si="406"/>
        <v>9000</v>
      </c>
    </row>
    <row r="707" spans="1:13" ht="21" customHeight="1" outlineLevel="1" x14ac:dyDescent="0.25">
      <c r="A707" s="11" t="s">
        <v>353</v>
      </c>
      <c r="B707" s="11"/>
      <c r="C707" s="11"/>
      <c r="D707" s="11"/>
      <c r="E707" s="11"/>
      <c r="F707" s="13"/>
      <c r="G707" s="13">
        <f ca="1">SUBTOTAL(9,G698:G706)</f>
        <v>47596.800000000003</v>
      </c>
      <c r="H707" s="11"/>
      <c r="I707" s="11"/>
      <c r="J707" s="11"/>
      <c r="K707">
        <v>47596.800000000003</v>
      </c>
      <c r="L707">
        <f t="shared" si="432"/>
        <v>1</v>
      </c>
      <c r="M707" s="23">
        <f t="shared" ref="M707:M770" ca="1" si="438">L707*G707</f>
        <v>47596.800000000003</v>
      </c>
    </row>
    <row r="708" spans="1:13" ht="39.75" customHeight="1" outlineLevel="2" x14ac:dyDescent="0.25">
      <c r="A708" s="4" t="str">
        <f>D708</f>
        <v>ЩЭ1 (15 секция)</v>
      </c>
      <c r="B708" s="5"/>
      <c r="C708" s="17"/>
      <c r="D708" s="5" t="s">
        <v>110</v>
      </c>
      <c r="E708" s="7"/>
      <c r="F708" s="7"/>
      <c r="G708" s="8"/>
      <c r="H708" s="9">
        <v>16</v>
      </c>
      <c r="I708" s="10" t="s">
        <v>7</v>
      </c>
      <c r="J708" s="5" t="s">
        <v>9</v>
      </c>
      <c r="L708">
        <f>H708</f>
        <v>16</v>
      </c>
      <c r="M708" s="23">
        <f t="shared" si="438"/>
        <v>0</v>
      </c>
    </row>
    <row r="709" spans="1:13" ht="21" customHeight="1" outlineLevel="2" x14ac:dyDescent="0.25">
      <c r="A709" s="11" t="str">
        <f>A708</f>
        <v>ЩЭ1 (15 секция)</v>
      </c>
      <c r="B709" s="12" t="s">
        <v>8</v>
      </c>
      <c r="C709" s="18" t="s">
        <v>225</v>
      </c>
      <c r="D709" s="11" t="s">
        <v>224</v>
      </c>
      <c r="E709" s="12">
        <v>45000</v>
      </c>
      <c r="F709" s="13">
        <f>0.6*E709</f>
        <v>27000</v>
      </c>
      <c r="G709" s="13">
        <f>H709*F709</f>
        <v>27000</v>
      </c>
      <c r="H709" s="14">
        <v>1</v>
      </c>
      <c r="I709" s="15" t="s">
        <v>13</v>
      </c>
      <c r="J709" s="12" t="s">
        <v>16</v>
      </c>
      <c r="K709">
        <v>27000</v>
      </c>
      <c r="L709">
        <f t="shared" ref="L709:L714" si="439">L708</f>
        <v>16</v>
      </c>
      <c r="M709" s="23">
        <f t="shared" si="438"/>
        <v>432000</v>
      </c>
    </row>
    <row r="710" spans="1:13" ht="21" customHeight="1" outlineLevel="2" x14ac:dyDescent="0.25">
      <c r="A710" s="11" t="str">
        <f t="shared" ref="A710:A713" si="440">A709</f>
        <v>ЩЭ1 (15 секция)</v>
      </c>
      <c r="B710" s="12" t="s">
        <v>64</v>
      </c>
      <c r="C710" s="18">
        <v>193176</v>
      </c>
      <c r="D710" s="11" t="s">
        <v>66</v>
      </c>
      <c r="E710" s="12">
        <v>2093</v>
      </c>
      <c r="F710" s="13">
        <f t="shared" ref="F710:F711" si="441">E710*0.6</f>
        <v>1255.8</v>
      </c>
      <c r="G710" s="13">
        <f>F710*H710</f>
        <v>5023.2</v>
      </c>
      <c r="H710" s="14">
        <v>4</v>
      </c>
      <c r="I710" s="15" t="s">
        <v>13</v>
      </c>
      <c r="J710" s="12" t="s">
        <v>36</v>
      </c>
      <c r="K710">
        <v>5023.2</v>
      </c>
      <c r="L710">
        <f t="shared" si="439"/>
        <v>16</v>
      </c>
      <c r="M710" s="23">
        <f t="shared" si="438"/>
        <v>80371.199999999997</v>
      </c>
    </row>
    <row r="711" spans="1:13" ht="21" customHeight="1" outlineLevel="2" x14ac:dyDescent="0.25">
      <c r="A711" s="11" t="str">
        <f t="shared" si="440"/>
        <v>ЩЭ1 (15 секция)</v>
      </c>
      <c r="B711" s="12" t="s">
        <v>12</v>
      </c>
      <c r="C711" s="18"/>
      <c r="D711" s="11" t="s">
        <v>200</v>
      </c>
      <c r="E711" s="16">
        <v>1922</v>
      </c>
      <c r="F711" s="13">
        <f t="shared" si="441"/>
        <v>1153.2</v>
      </c>
      <c r="G711" s="13">
        <f t="shared" ref="G711" si="442">F711*H711</f>
        <v>4612.8</v>
      </c>
      <c r="H711" s="14">
        <v>4</v>
      </c>
      <c r="I711" s="15" t="s">
        <v>13</v>
      </c>
      <c r="J711" s="12" t="s">
        <v>36</v>
      </c>
      <c r="K711">
        <v>4612.8</v>
      </c>
      <c r="L711">
        <f t="shared" si="439"/>
        <v>16</v>
      </c>
      <c r="M711" s="23">
        <f t="shared" si="438"/>
        <v>73804.800000000003</v>
      </c>
    </row>
    <row r="712" spans="1:13" ht="24" customHeight="1" outlineLevel="2" x14ac:dyDescent="0.25">
      <c r="A712" s="11" t="str">
        <f t="shared" si="440"/>
        <v>ЩЭ1 (15 секция)</v>
      </c>
      <c r="B712" s="11" t="s">
        <v>10</v>
      </c>
      <c r="C712" s="11" t="s">
        <v>10</v>
      </c>
      <c r="D712" s="11" t="s">
        <v>10</v>
      </c>
      <c r="E712" s="11">
        <f ca="1">OFFSET(E712,1,2)</f>
        <v>24000</v>
      </c>
      <c r="F712" s="13">
        <f ca="1">E712</f>
        <v>24000</v>
      </c>
      <c r="G712" s="13">
        <f ca="1">F712*H712</f>
        <v>24000</v>
      </c>
      <c r="H712" s="11">
        <v>1</v>
      </c>
      <c r="I712" s="11" t="s">
        <v>13</v>
      </c>
      <c r="J712" s="11" t="s">
        <v>10</v>
      </c>
      <c r="K712">
        <v>24000</v>
      </c>
      <c r="L712">
        <f t="shared" si="439"/>
        <v>16</v>
      </c>
      <c r="M712" s="23">
        <f t="shared" ca="1" si="438"/>
        <v>384000</v>
      </c>
    </row>
    <row r="713" spans="1:13" ht="21" customHeight="1" outlineLevel="2" x14ac:dyDescent="0.25">
      <c r="A713" s="11" t="str">
        <f t="shared" si="440"/>
        <v>ЩЭ1 (15 секция)</v>
      </c>
      <c r="B713" s="11" t="s">
        <v>11</v>
      </c>
      <c r="C713" s="11" t="s">
        <v>11</v>
      </c>
      <c r="D713" s="11" t="s">
        <v>11</v>
      </c>
      <c r="E713" s="11">
        <v>4</v>
      </c>
      <c r="F713" s="13">
        <v>100</v>
      </c>
      <c r="G713" s="13">
        <f t="shared" ref="G713" si="443">F713*H713</f>
        <v>24000</v>
      </c>
      <c r="H713" s="11">
        <f>60*E713</f>
        <v>240</v>
      </c>
      <c r="I713" s="11" t="s">
        <v>13</v>
      </c>
      <c r="J713" s="11" t="s">
        <v>11</v>
      </c>
      <c r="K713">
        <v>24000</v>
      </c>
      <c r="L713">
        <f t="shared" si="439"/>
        <v>16</v>
      </c>
      <c r="M713" s="23">
        <f t="shared" si="438"/>
        <v>384000</v>
      </c>
    </row>
    <row r="714" spans="1:13" ht="21" customHeight="1" outlineLevel="1" x14ac:dyDescent="0.25">
      <c r="A714" s="11" t="s">
        <v>354</v>
      </c>
      <c r="B714" s="11"/>
      <c r="C714" s="11"/>
      <c r="D714" s="11"/>
      <c r="E714" s="11"/>
      <c r="F714" s="13"/>
      <c r="G714" s="13">
        <f ca="1">SUBTOTAL(9,G708:G713)</f>
        <v>84636</v>
      </c>
      <c r="H714" s="11"/>
      <c r="I714" s="11"/>
      <c r="J714" s="11"/>
      <c r="K714">
        <v>84636</v>
      </c>
      <c r="L714">
        <f t="shared" si="439"/>
        <v>16</v>
      </c>
      <c r="M714" s="23">
        <f t="shared" ca="1" si="438"/>
        <v>1354176</v>
      </c>
    </row>
    <row r="715" spans="1:13" ht="39.75" customHeight="1" outlineLevel="2" x14ac:dyDescent="0.25">
      <c r="A715" s="4" t="str">
        <f>D715</f>
        <v>ЩК (15 секция)</v>
      </c>
      <c r="B715" s="5"/>
      <c r="C715" s="17"/>
      <c r="D715" s="5" t="s">
        <v>111</v>
      </c>
      <c r="E715" s="7"/>
      <c r="F715" s="7"/>
      <c r="G715" s="8"/>
      <c r="H715" s="9">
        <v>64</v>
      </c>
      <c r="I715" s="10" t="s">
        <v>7</v>
      </c>
      <c r="J715" s="5" t="s">
        <v>9</v>
      </c>
      <c r="L715">
        <f>H715</f>
        <v>64</v>
      </c>
      <c r="M715" s="23">
        <f t="shared" si="438"/>
        <v>0</v>
      </c>
    </row>
    <row r="716" spans="1:13" ht="21" customHeight="1" outlineLevel="2" x14ac:dyDescent="0.25">
      <c r="A716" s="11" t="str">
        <f>A715</f>
        <v>ЩК (15 секция)</v>
      </c>
      <c r="B716" s="12" t="s">
        <v>8</v>
      </c>
      <c r="C716" s="18" t="s">
        <v>223</v>
      </c>
      <c r="D716" s="11" t="s">
        <v>222</v>
      </c>
      <c r="E716" s="12">
        <v>10050</v>
      </c>
      <c r="F716" s="13">
        <f>E716*0.6</f>
        <v>6030</v>
      </c>
      <c r="G716" s="13">
        <f>H716*F716</f>
        <v>6030</v>
      </c>
      <c r="H716" s="14">
        <v>1</v>
      </c>
      <c r="I716" s="15" t="s">
        <v>13</v>
      </c>
      <c r="J716" s="12" t="s">
        <v>262</v>
      </c>
      <c r="K716">
        <v>6030</v>
      </c>
      <c r="L716">
        <f t="shared" ref="L716:L723" si="444">L715</f>
        <v>64</v>
      </c>
      <c r="M716" s="23">
        <f t="shared" si="438"/>
        <v>385920</v>
      </c>
    </row>
    <row r="717" spans="1:13" ht="21" customHeight="1" outlineLevel="2" x14ac:dyDescent="0.25">
      <c r="A717" s="11" t="str">
        <f t="shared" ref="A717:A720" si="445">A716</f>
        <v>ЩК (15 секция)</v>
      </c>
      <c r="B717" s="12" t="s">
        <v>12</v>
      </c>
      <c r="C717" s="18"/>
      <c r="D717" s="11" t="s">
        <v>199</v>
      </c>
      <c r="E717" s="16">
        <v>1671</v>
      </c>
      <c r="F717" s="13">
        <f t="shared" ref="F717:F720" si="446">E717*0.6</f>
        <v>1002.5999999999999</v>
      </c>
      <c r="G717" s="13">
        <f t="shared" ref="G717:G720" si="447">F717*H717</f>
        <v>1002.5999999999999</v>
      </c>
      <c r="H717" s="14">
        <v>1</v>
      </c>
      <c r="I717" s="15" t="s">
        <v>13</v>
      </c>
      <c r="J717" s="12" t="s">
        <v>36</v>
      </c>
      <c r="K717">
        <v>1002.5999999999999</v>
      </c>
      <c r="L717">
        <f t="shared" si="444"/>
        <v>64</v>
      </c>
      <c r="M717" s="23">
        <f t="shared" si="438"/>
        <v>64166.399999999994</v>
      </c>
    </row>
    <row r="718" spans="1:13" ht="21" customHeight="1" outlineLevel="2" x14ac:dyDescent="0.25">
      <c r="A718" s="11" t="str">
        <f t="shared" si="445"/>
        <v>ЩК (15 секция)</v>
      </c>
      <c r="B718" s="12" t="s">
        <v>12</v>
      </c>
      <c r="C718" s="18"/>
      <c r="D718" s="11" t="s">
        <v>197</v>
      </c>
      <c r="E718" s="12">
        <v>710</v>
      </c>
      <c r="F718" s="13">
        <f t="shared" si="446"/>
        <v>426</v>
      </c>
      <c r="G718" s="13">
        <f t="shared" si="447"/>
        <v>426</v>
      </c>
      <c r="H718" s="14">
        <v>1</v>
      </c>
      <c r="I718" s="15" t="s">
        <v>13</v>
      </c>
      <c r="J718" s="12" t="s">
        <v>36</v>
      </c>
      <c r="K718">
        <v>426</v>
      </c>
      <c r="L718">
        <f t="shared" si="444"/>
        <v>64</v>
      </c>
      <c r="M718" s="23">
        <f t="shared" si="438"/>
        <v>27264</v>
      </c>
    </row>
    <row r="719" spans="1:13" ht="21" customHeight="1" outlineLevel="2" x14ac:dyDescent="0.25">
      <c r="A719" s="11" t="str">
        <f t="shared" si="445"/>
        <v>ЩК (15 секция)</v>
      </c>
      <c r="B719" s="12" t="s">
        <v>18</v>
      </c>
      <c r="C719" s="18">
        <v>105546</v>
      </c>
      <c r="D719" s="11" t="s">
        <v>67</v>
      </c>
      <c r="E719" s="12">
        <v>3513</v>
      </c>
      <c r="F719" s="13">
        <f t="shared" si="446"/>
        <v>2107.7999999999997</v>
      </c>
      <c r="G719" s="13">
        <f t="shared" si="447"/>
        <v>2107.7999999999997</v>
      </c>
      <c r="H719" s="14">
        <v>1</v>
      </c>
      <c r="I719" s="15" t="s">
        <v>13</v>
      </c>
      <c r="J719" s="12" t="s">
        <v>36</v>
      </c>
      <c r="K719">
        <v>2107.7999999999997</v>
      </c>
      <c r="L719">
        <f t="shared" si="444"/>
        <v>64</v>
      </c>
      <c r="M719" s="23">
        <f t="shared" si="438"/>
        <v>134899.19999999998</v>
      </c>
    </row>
    <row r="720" spans="1:13" ht="21" customHeight="1" outlineLevel="2" x14ac:dyDescent="0.25">
      <c r="A720" s="11" t="str">
        <f t="shared" si="445"/>
        <v>ЩК (15 секция)</v>
      </c>
      <c r="B720" s="12" t="s">
        <v>18</v>
      </c>
      <c r="C720" s="18">
        <v>105544</v>
      </c>
      <c r="D720" s="11" t="s">
        <v>68</v>
      </c>
      <c r="E720" s="12">
        <v>3331</v>
      </c>
      <c r="F720" s="13">
        <f t="shared" si="446"/>
        <v>1998.6</v>
      </c>
      <c r="G720" s="13">
        <f t="shared" si="447"/>
        <v>7994.4</v>
      </c>
      <c r="H720" s="14">
        <v>4</v>
      </c>
      <c r="I720" s="15" t="s">
        <v>13</v>
      </c>
      <c r="J720" s="12" t="s">
        <v>36</v>
      </c>
      <c r="K720">
        <v>7994.4</v>
      </c>
      <c r="L720">
        <f t="shared" si="444"/>
        <v>64</v>
      </c>
      <c r="M720" s="23">
        <f t="shared" si="438"/>
        <v>511641.59999999998</v>
      </c>
    </row>
    <row r="721" spans="1:13" ht="24" customHeight="1" outlineLevel="2" x14ac:dyDescent="0.25">
      <c r="A721" s="11" t="str">
        <f>A718</f>
        <v>ЩК (15 секция)</v>
      </c>
      <c r="B721" s="11" t="s">
        <v>10</v>
      </c>
      <c r="C721" s="11" t="s">
        <v>10</v>
      </c>
      <c r="D721" s="11" t="s">
        <v>10</v>
      </c>
      <c r="E721" s="11">
        <f ca="1">OFFSET(E721,1,2)</f>
        <v>6000</v>
      </c>
      <c r="F721" s="13">
        <f ca="1">E721</f>
        <v>6000</v>
      </c>
      <c r="G721" s="13">
        <f ca="1">F721*H721</f>
        <v>6000</v>
      </c>
      <c r="H721" s="11">
        <v>1</v>
      </c>
      <c r="I721" s="11" t="s">
        <v>13</v>
      </c>
      <c r="J721" s="11" t="s">
        <v>10</v>
      </c>
      <c r="K721">
        <v>6000</v>
      </c>
      <c r="L721">
        <f t="shared" si="444"/>
        <v>64</v>
      </c>
      <c r="M721" s="23">
        <f t="shared" ca="1" si="438"/>
        <v>384000</v>
      </c>
    </row>
    <row r="722" spans="1:13" ht="21" customHeight="1" outlineLevel="2" x14ac:dyDescent="0.25">
      <c r="A722" s="11" t="str">
        <f t="shared" ref="A722" si="448">A721</f>
        <v>ЩК (15 секция)</v>
      </c>
      <c r="B722" s="11" t="s">
        <v>11</v>
      </c>
      <c r="C722" s="11" t="s">
        <v>11</v>
      </c>
      <c r="D722" s="11" t="s">
        <v>11</v>
      </c>
      <c r="E722" s="11">
        <v>1</v>
      </c>
      <c r="F722" s="13">
        <v>100</v>
      </c>
      <c r="G722" s="13">
        <f t="shared" ref="G722" si="449">F722*H722</f>
        <v>6000</v>
      </c>
      <c r="H722" s="11">
        <f>60*E722</f>
        <v>60</v>
      </c>
      <c r="I722" s="11" t="s">
        <v>13</v>
      </c>
      <c r="J722" s="11" t="s">
        <v>11</v>
      </c>
      <c r="K722">
        <v>6000</v>
      </c>
      <c r="L722">
        <f t="shared" si="444"/>
        <v>64</v>
      </c>
      <c r="M722" s="23">
        <f t="shared" si="438"/>
        <v>384000</v>
      </c>
    </row>
    <row r="723" spans="1:13" ht="21" customHeight="1" outlineLevel="1" x14ac:dyDescent="0.25">
      <c r="A723" s="11" t="s">
        <v>355</v>
      </c>
      <c r="B723" s="11"/>
      <c r="C723" s="11"/>
      <c r="D723" s="11"/>
      <c r="E723" s="11"/>
      <c r="F723" s="13"/>
      <c r="G723" s="13">
        <f ca="1">SUBTOTAL(9,G715:G722)</f>
        <v>29560.799999999999</v>
      </c>
      <c r="H723" s="11"/>
      <c r="I723" s="11"/>
      <c r="J723" s="11"/>
      <c r="K723">
        <v>29560.799999999999</v>
      </c>
      <c r="L723">
        <f t="shared" si="444"/>
        <v>64</v>
      </c>
      <c r="M723" s="23">
        <f t="shared" ca="1" si="438"/>
        <v>1891891.2</v>
      </c>
    </row>
    <row r="724" spans="1:13" ht="39.75" customHeight="1" outlineLevel="2" x14ac:dyDescent="0.25">
      <c r="A724" s="4" t="str">
        <f>D724</f>
        <v>ЩО1ж (15 секция)</v>
      </c>
      <c r="B724" s="5"/>
      <c r="C724" s="17"/>
      <c r="D724" s="5" t="s">
        <v>112</v>
      </c>
      <c r="E724" s="7"/>
      <c r="F724" s="7"/>
      <c r="G724" s="8"/>
      <c r="H724" s="9">
        <v>1</v>
      </c>
      <c r="I724" s="10" t="s">
        <v>7</v>
      </c>
      <c r="J724" s="5" t="s">
        <v>9</v>
      </c>
      <c r="L724">
        <f>H724</f>
        <v>1</v>
      </c>
      <c r="M724" s="23">
        <f t="shared" si="438"/>
        <v>0</v>
      </c>
    </row>
    <row r="725" spans="1:13" ht="21" customHeight="1" outlineLevel="2" x14ac:dyDescent="0.25">
      <c r="A725" s="11" t="str">
        <f>A724</f>
        <v>ЩО1ж (15 секция)</v>
      </c>
      <c r="B725" s="12" t="s">
        <v>8</v>
      </c>
      <c r="C725" s="18" t="s">
        <v>254</v>
      </c>
      <c r="D725" s="11" t="s">
        <v>255</v>
      </c>
      <c r="E725" s="12">
        <v>10500</v>
      </c>
      <c r="F725" s="13">
        <f>0.6*E725</f>
        <v>6300</v>
      </c>
      <c r="G725" s="13">
        <f>H725*F725</f>
        <v>6300</v>
      </c>
      <c r="H725" s="14">
        <v>1</v>
      </c>
      <c r="I725" s="15" t="s">
        <v>13</v>
      </c>
      <c r="J725" s="12" t="s">
        <v>16</v>
      </c>
      <c r="K725">
        <v>6300</v>
      </c>
      <c r="L725">
        <f t="shared" ref="L725:L731" si="450">L724</f>
        <v>1</v>
      </c>
      <c r="M725" s="23">
        <f t="shared" si="438"/>
        <v>6300</v>
      </c>
    </row>
    <row r="726" spans="1:13" ht="21" customHeight="1" outlineLevel="2" x14ac:dyDescent="0.25">
      <c r="A726" s="11" t="str">
        <f t="shared" ref="A726:A728" si="451">A725</f>
        <v>ЩО1ж (15 секция)</v>
      </c>
      <c r="B726" s="12" t="s">
        <v>64</v>
      </c>
      <c r="C726" s="18">
        <v>193180</v>
      </c>
      <c r="D726" s="11" t="s">
        <v>60</v>
      </c>
      <c r="E726" s="12">
        <v>2493</v>
      </c>
      <c r="F726" s="13">
        <f t="shared" ref="F726:F728" si="452">E726*0.6</f>
        <v>1495.8</v>
      </c>
      <c r="G726" s="13">
        <f t="shared" ref="G726:G728" si="453">F726*H726</f>
        <v>1495.8</v>
      </c>
      <c r="H726" s="14">
        <v>1</v>
      </c>
      <c r="I726" s="15" t="s">
        <v>13</v>
      </c>
      <c r="J726" s="12" t="s">
        <v>36</v>
      </c>
      <c r="K726">
        <v>1495.8</v>
      </c>
      <c r="L726">
        <f t="shared" si="450"/>
        <v>1</v>
      </c>
      <c r="M726" s="23">
        <f t="shared" si="438"/>
        <v>1495.8</v>
      </c>
    </row>
    <row r="727" spans="1:13" ht="21" customHeight="1" outlineLevel="2" x14ac:dyDescent="0.25">
      <c r="A727" s="11" t="str">
        <f t="shared" si="451"/>
        <v>ЩО1ж (15 секция)</v>
      </c>
      <c r="B727" s="12" t="s">
        <v>12</v>
      </c>
      <c r="C727" s="18">
        <v>296709</v>
      </c>
      <c r="D727" s="11" t="s">
        <v>196</v>
      </c>
      <c r="E727" s="12">
        <v>699</v>
      </c>
      <c r="F727" s="13">
        <f t="shared" si="452"/>
        <v>419.4</v>
      </c>
      <c r="G727" s="13">
        <f t="shared" si="453"/>
        <v>2516.3999999999996</v>
      </c>
      <c r="H727" s="14">
        <v>6</v>
      </c>
      <c r="I727" s="15" t="s">
        <v>13</v>
      </c>
      <c r="J727" s="12" t="s">
        <v>36</v>
      </c>
      <c r="K727">
        <v>2516.3999999999996</v>
      </c>
      <c r="L727">
        <f t="shared" si="450"/>
        <v>1</v>
      </c>
      <c r="M727" s="23">
        <f t="shared" si="438"/>
        <v>2516.3999999999996</v>
      </c>
    </row>
    <row r="728" spans="1:13" ht="21" customHeight="1" outlineLevel="2" x14ac:dyDescent="0.25">
      <c r="A728" s="11" t="str">
        <f t="shared" si="451"/>
        <v>ЩО1ж (15 секция)</v>
      </c>
      <c r="B728" s="12" t="s">
        <v>18</v>
      </c>
      <c r="C728" s="18">
        <v>105542</v>
      </c>
      <c r="D728" s="11" t="s">
        <v>65</v>
      </c>
      <c r="E728" s="12">
        <v>3513</v>
      </c>
      <c r="F728" s="13">
        <f t="shared" si="452"/>
        <v>2107.7999999999997</v>
      </c>
      <c r="G728" s="13">
        <f t="shared" si="453"/>
        <v>2107.7999999999997</v>
      </c>
      <c r="H728" s="14">
        <v>1</v>
      </c>
      <c r="I728" s="15" t="s">
        <v>13</v>
      </c>
      <c r="J728" s="12" t="s">
        <v>36</v>
      </c>
      <c r="K728">
        <v>2107.7999999999997</v>
      </c>
      <c r="L728">
        <f t="shared" si="450"/>
        <v>1</v>
      </c>
      <c r="M728" s="23">
        <f t="shared" si="438"/>
        <v>2107.7999999999997</v>
      </c>
    </row>
    <row r="729" spans="1:13" ht="24" customHeight="1" outlineLevel="2" x14ac:dyDescent="0.25">
      <c r="A729" s="11" t="str">
        <f>A727</f>
        <v>ЩО1ж (15 секция)</v>
      </c>
      <c r="B729" s="11" t="s">
        <v>10</v>
      </c>
      <c r="C729" s="11" t="s">
        <v>10</v>
      </c>
      <c r="D729" s="11" t="s">
        <v>10</v>
      </c>
      <c r="E729" s="11">
        <f ca="1">OFFSET(E729,1,2)</f>
        <v>6000</v>
      </c>
      <c r="F729" s="13">
        <f ca="1">E729</f>
        <v>6000</v>
      </c>
      <c r="G729" s="13">
        <f ca="1">F729*H729</f>
        <v>6000</v>
      </c>
      <c r="H729" s="11">
        <v>1</v>
      </c>
      <c r="I729" s="11" t="s">
        <v>13</v>
      </c>
      <c r="J729" s="11" t="s">
        <v>10</v>
      </c>
      <c r="K729">
        <v>6000</v>
      </c>
      <c r="L729">
        <f t="shared" si="450"/>
        <v>1</v>
      </c>
      <c r="M729" s="23">
        <f t="shared" ca="1" si="438"/>
        <v>6000</v>
      </c>
    </row>
    <row r="730" spans="1:13" ht="21" customHeight="1" outlineLevel="2" x14ac:dyDescent="0.25">
      <c r="A730" s="11" t="str">
        <f t="shared" ref="A730" si="454">A729</f>
        <v>ЩО1ж (15 секция)</v>
      </c>
      <c r="B730" s="11" t="s">
        <v>11</v>
      </c>
      <c r="C730" s="11" t="s">
        <v>11</v>
      </c>
      <c r="D730" s="11" t="s">
        <v>11</v>
      </c>
      <c r="E730" s="11">
        <v>1</v>
      </c>
      <c r="F730" s="13">
        <v>100</v>
      </c>
      <c r="G730" s="13">
        <f t="shared" ref="G730" si="455">F730*H730</f>
        <v>6000</v>
      </c>
      <c r="H730" s="11">
        <f>60*E730</f>
        <v>60</v>
      </c>
      <c r="I730" s="11" t="s">
        <v>13</v>
      </c>
      <c r="J730" s="11" t="s">
        <v>11</v>
      </c>
      <c r="K730">
        <v>6000</v>
      </c>
      <c r="L730">
        <f t="shared" si="450"/>
        <v>1</v>
      </c>
      <c r="M730" s="23">
        <f t="shared" si="438"/>
        <v>6000</v>
      </c>
    </row>
    <row r="731" spans="1:13" ht="21" customHeight="1" outlineLevel="1" x14ac:dyDescent="0.25">
      <c r="A731" s="11" t="s">
        <v>356</v>
      </c>
      <c r="B731" s="11"/>
      <c r="C731" s="11"/>
      <c r="D731" s="11"/>
      <c r="E731" s="11"/>
      <c r="F731" s="13"/>
      <c r="G731" s="13">
        <f ca="1">SUBTOTAL(9,G724:G730)</f>
        <v>24420</v>
      </c>
      <c r="H731" s="11"/>
      <c r="I731" s="11"/>
      <c r="J731" s="11"/>
      <c r="K731">
        <v>24420</v>
      </c>
      <c r="L731">
        <f t="shared" si="450"/>
        <v>1</v>
      </c>
      <c r="M731" s="23">
        <f t="shared" ca="1" si="438"/>
        <v>24420</v>
      </c>
    </row>
    <row r="732" spans="1:13" ht="39.75" customHeight="1" outlineLevel="2" x14ac:dyDescent="0.25">
      <c r="A732" s="4" t="str">
        <f>D732</f>
        <v>ЩО1ж, ЩО2Ж (15 секция)</v>
      </c>
      <c r="B732" s="5"/>
      <c r="C732" s="17"/>
      <c r="D732" s="5" t="s">
        <v>113</v>
      </c>
      <c r="E732" s="7"/>
      <c r="F732" s="7"/>
      <c r="G732" s="8"/>
      <c r="H732" s="9">
        <v>2</v>
      </c>
      <c r="I732" s="10" t="s">
        <v>7</v>
      </c>
      <c r="J732" s="5" t="s">
        <v>9</v>
      </c>
      <c r="L732">
        <f>H732</f>
        <v>2</v>
      </c>
      <c r="M732" s="23">
        <f t="shared" si="438"/>
        <v>0</v>
      </c>
    </row>
    <row r="733" spans="1:13" ht="21" customHeight="1" outlineLevel="2" x14ac:dyDescent="0.25">
      <c r="A733" s="11" t="str">
        <f>A732</f>
        <v>ЩО1ж, ЩО2Ж (15 секция)</v>
      </c>
      <c r="B733" s="12" t="s">
        <v>8</v>
      </c>
      <c r="C733" s="18" t="s">
        <v>254</v>
      </c>
      <c r="D733" s="11" t="s">
        <v>255</v>
      </c>
      <c r="E733" s="12">
        <v>10500</v>
      </c>
      <c r="F733" s="13">
        <f>0.6*E733</f>
        <v>6300</v>
      </c>
      <c r="G733" s="13">
        <f>H733*F733</f>
        <v>6300</v>
      </c>
      <c r="H733" s="14">
        <v>1</v>
      </c>
      <c r="I733" s="15" t="s">
        <v>13</v>
      </c>
      <c r="J733" s="12" t="s">
        <v>16</v>
      </c>
      <c r="K733">
        <v>6300</v>
      </c>
      <c r="L733">
        <f t="shared" ref="L733:L738" si="456">L732</f>
        <v>2</v>
      </c>
      <c r="M733" s="23">
        <f t="shared" si="438"/>
        <v>12600</v>
      </c>
    </row>
    <row r="734" spans="1:13" ht="21" customHeight="1" outlineLevel="2" x14ac:dyDescent="0.25">
      <c r="A734" s="11" t="str">
        <f t="shared" ref="A734:A735" si="457">A733</f>
        <v>ЩО1ж, ЩО2Ж (15 секция)</v>
      </c>
      <c r="B734" s="12" t="s">
        <v>64</v>
      </c>
      <c r="C734" s="18">
        <v>193180</v>
      </c>
      <c r="D734" s="11" t="s">
        <v>60</v>
      </c>
      <c r="E734" s="12">
        <v>2493</v>
      </c>
      <c r="F734" s="13">
        <f t="shared" ref="F734:F735" si="458">E734*0.6</f>
        <v>1495.8</v>
      </c>
      <c r="G734" s="13">
        <f t="shared" ref="G734:G735" si="459">F734*H734</f>
        <v>1495.8</v>
      </c>
      <c r="H734" s="14">
        <v>1</v>
      </c>
      <c r="I734" s="15" t="s">
        <v>13</v>
      </c>
      <c r="J734" s="12" t="s">
        <v>36</v>
      </c>
      <c r="K734">
        <v>1495.8</v>
      </c>
      <c r="L734">
        <f t="shared" si="456"/>
        <v>2</v>
      </c>
      <c r="M734" s="23">
        <f t="shared" si="438"/>
        <v>2991.6</v>
      </c>
    </row>
    <row r="735" spans="1:13" ht="21" customHeight="1" outlineLevel="2" x14ac:dyDescent="0.25">
      <c r="A735" s="11" t="str">
        <f t="shared" si="457"/>
        <v>ЩО1ж, ЩО2Ж (15 секция)</v>
      </c>
      <c r="B735" s="12" t="s">
        <v>12</v>
      </c>
      <c r="C735" s="18">
        <v>296709</v>
      </c>
      <c r="D735" s="11" t="s">
        <v>196</v>
      </c>
      <c r="E735" s="12">
        <v>699</v>
      </c>
      <c r="F735" s="13">
        <f t="shared" si="458"/>
        <v>419.4</v>
      </c>
      <c r="G735" s="13">
        <f t="shared" si="459"/>
        <v>2097</v>
      </c>
      <c r="H735" s="14">
        <v>5</v>
      </c>
      <c r="I735" s="15" t="s">
        <v>13</v>
      </c>
      <c r="J735" s="12" t="s">
        <v>36</v>
      </c>
      <c r="K735">
        <v>2097</v>
      </c>
      <c r="L735">
        <f t="shared" si="456"/>
        <v>2</v>
      </c>
      <c r="M735" s="23">
        <f t="shared" si="438"/>
        <v>4194</v>
      </c>
    </row>
    <row r="736" spans="1:13" ht="24" customHeight="1" outlineLevel="2" x14ac:dyDescent="0.25">
      <c r="A736" s="11" t="str">
        <f>A735</f>
        <v>ЩО1ж, ЩО2Ж (15 секция)</v>
      </c>
      <c r="B736" s="11" t="s">
        <v>10</v>
      </c>
      <c r="C736" s="11" t="s">
        <v>10</v>
      </c>
      <c r="D736" s="11" t="s">
        <v>10</v>
      </c>
      <c r="E736" s="11">
        <f ca="1">OFFSET(E736,1,2)</f>
        <v>6000</v>
      </c>
      <c r="F736" s="13">
        <f ca="1">E736</f>
        <v>6000</v>
      </c>
      <c r="G736" s="13">
        <f ca="1">F736*H736</f>
        <v>6000</v>
      </c>
      <c r="H736" s="11">
        <v>1</v>
      </c>
      <c r="I736" s="11" t="s">
        <v>13</v>
      </c>
      <c r="J736" s="11" t="s">
        <v>10</v>
      </c>
      <c r="K736">
        <v>6000</v>
      </c>
      <c r="L736">
        <f t="shared" si="456"/>
        <v>2</v>
      </c>
      <c r="M736" s="23">
        <f t="shared" ca="1" si="438"/>
        <v>12000</v>
      </c>
    </row>
    <row r="737" spans="1:13" ht="21" customHeight="1" outlineLevel="2" x14ac:dyDescent="0.25">
      <c r="A737" s="11" t="str">
        <f t="shared" ref="A737" si="460">A736</f>
        <v>ЩО1ж, ЩО2Ж (15 секция)</v>
      </c>
      <c r="B737" s="11" t="s">
        <v>11</v>
      </c>
      <c r="C737" s="11" t="s">
        <v>11</v>
      </c>
      <c r="D737" s="11" t="s">
        <v>11</v>
      </c>
      <c r="E737" s="11">
        <v>1</v>
      </c>
      <c r="F737" s="13">
        <v>100</v>
      </c>
      <c r="G737" s="13">
        <f t="shared" ref="G737" si="461">F737*H737</f>
        <v>6000</v>
      </c>
      <c r="H737" s="11">
        <f>60*E737</f>
        <v>60</v>
      </c>
      <c r="I737" s="11" t="s">
        <v>13</v>
      </c>
      <c r="J737" s="11" t="s">
        <v>11</v>
      </c>
      <c r="K737">
        <v>6000</v>
      </c>
      <c r="L737">
        <f t="shared" si="456"/>
        <v>2</v>
      </c>
      <c r="M737" s="23">
        <f t="shared" si="438"/>
        <v>12000</v>
      </c>
    </row>
    <row r="738" spans="1:13" ht="21" customHeight="1" outlineLevel="1" x14ac:dyDescent="0.25">
      <c r="A738" s="11" t="s">
        <v>357</v>
      </c>
      <c r="B738" s="11"/>
      <c r="C738" s="11"/>
      <c r="D738" s="11"/>
      <c r="E738" s="11"/>
      <c r="F738" s="13"/>
      <c r="G738" s="13">
        <f ca="1">SUBTOTAL(9,G732:G737)</f>
        <v>21892.799999999999</v>
      </c>
      <c r="H738" s="11"/>
      <c r="I738" s="11"/>
      <c r="J738" s="11"/>
      <c r="K738">
        <v>21892.799999999999</v>
      </c>
      <c r="L738">
        <f t="shared" si="456"/>
        <v>2</v>
      </c>
      <c r="M738" s="23">
        <f t="shared" ca="1" si="438"/>
        <v>43785.599999999999</v>
      </c>
    </row>
    <row r="739" spans="1:13" ht="39.75" customHeight="1" outlineLevel="2" x14ac:dyDescent="0.25">
      <c r="A739" s="4" t="str">
        <f>D739</f>
        <v>ЩАО1ж, ЩАО2Ж (15 секция)</v>
      </c>
      <c r="B739" s="5"/>
      <c r="C739" s="17"/>
      <c r="D739" s="5" t="s">
        <v>114</v>
      </c>
      <c r="E739" s="7"/>
      <c r="F739" s="7"/>
      <c r="G739" s="8"/>
      <c r="H739" s="9">
        <v>2</v>
      </c>
      <c r="I739" s="10" t="s">
        <v>7</v>
      </c>
      <c r="J739" s="5" t="s">
        <v>9</v>
      </c>
      <c r="L739">
        <f>H739</f>
        <v>2</v>
      </c>
      <c r="M739" s="23">
        <f t="shared" si="438"/>
        <v>0</v>
      </c>
    </row>
    <row r="740" spans="1:13" ht="21" customHeight="1" outlineLevel="2" x14ac:dyDescent="0.25">
      <c r="A740" s="11" t="str">
        <f>A739</f>
        <v>ЩАО1ж, ЩАО2Ж (15 секция)</v>
      </c>
      <c r="B740" s="12" t="s">
        <v>8</v>
      </c>
      <c r="C740" s="18" t="s">
        <v>254</v>
      </c>
      <c r="D740" s="11" t="s">
        <v>255</v>
      </c>
      <c r="E740" s="12">
        <v>10500</v>
      </c>
      <c r="F740" s="13">
        <f>0.6*E740</f>
        <v>6300</v>
      </c>
      <c r="G740" s="13">
        <f>H740*F740</f>
        <v>6300</v>
      </c>
      <c r="H740" s="14">
        <v>1</v>
      </c>
      <c r="I740" s="15" t="s">
        <v>13</v>
      </c>
      <c r="J740" s="12" t="s">
        <v>16</v>
      </c>
      <c r="K740">
        <v>6300</v>
      </c>
      <c r="L740">
        <f t="shared" ref="L740:L745" si="462">L739</f>
        <v>2</v>
      </c>
      <c r="M740" s="23">
        <f t="shared" si="438"/>
        <v>12600</v>
      </c>
    </row>
    <row r="741" spans="1:13" ht="21" customHeight="1" outlineLevel="2" x14ac:dyDescent="0.25">
      <c r="A741" s="11" t="str">
        <f t="shared" ref="A741:A742" si="463">A740</f>
        <v>ЩАО1ж, ЩАО2Ж (15 секция)</v>
      </c>
      <c r="B741" s="12" t="s">
        <v>64</v>
      </c>
      <c r="C741" s="18">
        <v>193180</v>
      </c>
      <c r="D741" s="11" t="s">
        <v>60</v>
      </c>
      <c r="E741" s="12">
        <v>2493</v>
      </c>
      <c r="F741" s="13">
        <f t="shared" ref="F741:F742" si="464">E741*0.6</f>
        <v>1495.8</v>
      </c>
      <c r="G741" s="13">
        <f t="shared" ref="G741:G742" si="465">F741*H741</f>
        <v>1495.8</v>
      </c>
      <c r="H741" s="14">
        <v>1</v>
      </c>
      <c r="I741" s="15" t="s">
        <v>13</v>
      </c>
      <c r="J741" s="12" t="s">
        <v>36</v>
      </c>
      <c r="K741">
        <v>1495.8</v>
      </c>
      <c r="L741">
        <f t="shared" si="462"/>
        <v>2</v>
      </c>
      <c r="M741" s="23">
        <f t="shared" si="438"/>
        <v>2991.6</v>
      </c>
    </row>
    <row r="742" spans="1:13" ht="21" customHeight="1" outlineLevel="2" x14ac:dyDescent="0.25">
      <c r="A742" s="11" t="str">
        <f t="shared" si="463"/>
        <v>ЩАО1ж, ЩАО2Ж (15 секция)</v>
      </c>
      <c r="B742" s="12" t="s">
        <v>12</v>
      </c>
      <c r="C742" s="18">
        <v>296709</v>
      </c>
      <c r="D742" s="11" t="s">
        <v>196</v>
      </c>
      <c r="E742" s="12">
        <v>699</v>
      </c>
      <c r="F742" s="13">
        <f t="shared" si="464"/>
        <v>419.4</v>
      </c>
      <c r="G742" s="13">
        <f t="shared" si="465"/>
        <v>1258.1999999999998</v>
      </c>
      <c r="H742" s="14">
        <v>3</v>
      </c>
      <c r="I742" s="15" t="s">
        <v>13</v>
      </c>
      <c r="J742" s="12" t="s">
        <v>36</v>
      </c>
      <c r="K742">
        <v>1258.1999999999998</v>
      </c>
      <c r="L742">
        <f t="shared" si="462"/>
        <v>2</v>
      </c>
      <c r="M742" s="23">
        <f t="shared" si="438"/>
        <v>2516.3999999999996</v>
      </c>
    </row>
    <row r="743" spans="1:13" ht="24" customHeight="1" outlineLevel="2" x14ac:dyDescent="0.25">
      <c r="A743" s="11" t="str">
        <f>A742</f>
        <v>ЩАО1ж, ЩАО2Ж (15 секция)</v>
      </c>
      <c r="B743" s="11" t="s">
        <v>10</v>
      </c>
      <c r="C743" s="11" t="s">
        <v>10</v>
      </c>
      <c r="D743" s="11" t="s">
        <v>10</v>
      </c>
      <c r="E743" s="11">
        <f ca="1">OFFSET(E743,1,2)</f>
        <v>6000</v>
      </c>
      <c r="F743" s="13">
        <f ca="1">E743</f>
        <v>6000</v>
      </c>
      <c r="G743" s="13">
        <f ca="1">F743*H743</f>
        <v>6000</v>
      </c>
      <c r="H743" s="11">
        <v>1</v>
      </c>
      <c r="I743" s="11" t="s">
        <v>13</v>
      </c>
      <c r="J743" s="11" t="s">
        <v>10</v>
      </c>
      <c r="K743">
        <v>6000</v>
      </c>
      <c r="L743">
        <f t="shared" si="462"/>
        <v>2</v>
      </c>
      <c r="M743" s="23">
        <f t="shared" ca="1" si="438"/>
        <v>12000</v>
      </c>
    </row>
    <row r="744" spans="1:13" ht="21" customHeight="1" outlineLevel="2" x14ac:dyDescent="0.25">
      <c r="A744" s="11" t="str">
        <f t="shared" ref="A744" si="466">A743</f>
        <v>ЩАО1ж, ЩАО2Ж (15 секция)</v>
      </c>
      <c r="B744" s="11" t="s">
        <v>11</v>
      </c>
      <c r="C744" s="11" t="s">
        <v>11</v>
      </c>
      <c r="D744" s="11" t="s">
        <v>11</v>
      </c>
      <c r="E744" s="11">
        <v>1</v>
      </c>
      <c r="F744" s="13">
        <v>100</v>
      </c>
      <c r="G744" s="13">
        <f t="shared" ref="G744" si="467">F744*H744</f>
        <v>6000</v>
      </c>
      <c r="H744" s="11">
        <f>60*E744</f>
        <v>60</v>
      </c>
      <c r="I744" s="11" t="s">
        <v>13</v>
      </c>
      <c r="J744" s="11" t="s">
        <v>11</v>
      </c>
      <c r="K744">
        <v>6000</v>
      </c>
      <c r="L744">
        <f t="shared" si="462"/>
        <v>2</v>
      </c>
      <c r="M744" s="23">
        <f t="shared" si="438"/>
        <v>12000</v>
      </c>
    </row>
    <row r="745" spans="1:13" ht="21" customHeight="1" outlineLevel="1" x14ac:dyDescent="0.25">
      <c r="A745" s="11" t="s">
        <v>358</v>
      </c>
      <c r="B745" s="11"/>
      <c r="C745" s="11"/>
      <c r="D745" s="11"/>
      <c r="E745" s="11"/>
      <c r="F745" s="13"/>
      <c r="G745" s="13">
        <f ca="1">SUBTOTAL(9,G739:G744)</f>
        <v>21054</v>
      </c>
      <c r="H745" s="11"/>
      <c r="I745" s="11"/>
      <c r="J745" s="11"/>
      <c r="K745">
        <v>21054</v>
      </c>
      <c r="L745">
        <f t="shared" si="462"/>
        <v>2</v>
      </c>
      <c r="M745" s="23">
        <f t="shared" ca="1" si="438"/>
        <v>42108</v>
      </c>
    </row>
    <row r="746" spans="1:13" ht="39.75" customHeight="1" outlineLevel="2" x14ac:dyDescent="0.25">
      <c r="A746" s="4" t="str">
        <f>D746</f>
        <v>Шкаф ЯРП-Инд (ЯРВ-100А) 460х250х145  IP31 (15 секция)</v>
      </c>
      <c r="B746" s="5"/>
      <c r="C746" s="17"/>
      <c r="D746" s="5" t="s">
        <v>115</v>
      </c>
      <c r="E746" s="7"/>
      <c r="F746" s="7"/>
      <c r="G746" s="8"/>
      <c r="H746" s="9">
        <v>1</v>
      </c>
      <c r="I746" s="10" t="s">
        <v>7</v>
      </c>
      <c r="J746" s="5" t="s">
        <v>9</v>
      </c>
      <c r="L746">
        <f>H746</f>
        <v>1</v>
      </c>
      <c r="M746" s="23">
        <f t="shared" si="438"/>
        <v>0</v>
      </c>
    </row>
    <row r="747" spans="1:13" ht="39.75" customHeight="1" outlineLevel="1" x14ac:dyDescent="0.25">
      <c r="A747" s="4" t="s">
        <v>359</v>
      </c>
      <c r="B747" s="5"/>
      <c r="C747" s="17"/>
      <c r="D747" s="5"/>
      <c r="E747" s="7"/>
      <c r="F747" s="7"/>
      <c r="G747" s="8">
        <f>SUBTOTAL(9,G746:G746)</f>
        <v>0</v>
      </c>
      <c r="H747" s="9"/>
      <c r="I747" s="10"/>
      <c r="J747" s="5"/>
      <c r="K747">
        <v>0</v>
      </c>
      <c r="L747">
        <f>L746</f>
        <v>1</v>
      </c>
      <c r="M747" s="23">
        <f t="shared" si="438"/>
        <v>0</v>
      </c>
    </row>
    <row r="748" spans="1:13" ht="39.75" customHeight="1" outlineLevel="2" x14ac:dyDescent="0.25">
      <c r="A748" s="4" t="str">
        <f>D748</f>
        <v>ЩУ-Т1 (15 секция)</v>
      </c>
      <c r="B748" s="5"/>
      <c r="C748" s="17"/>
      <c r="D748" s="5" t="s">
        <v>116</v>
      </c>
      <c r="E748" s="7"/>
      <c r="F748" s="7"/>
      <c r="G748" s="8"/>
      <c r="H748" s="9">
        <v>1</v>
      </c>
      <c r="I748" s="10" t="s">
        <v>7</v>
      </c>
      <c r="J748" s="5" t="s">
        <v>9</v>
      </c>
      <c r="L748">
        <f>H748</f>
        <v>1</v>
      </c>
      <c r="M748" s="23">
        <f t="shared" si="438"/>
        <v>0</v>
      </c>
    </row>
    <row r="749" spans="1:13" ht="21" customHeight="1" outlineLevel="2" x14ac:dyDescent="0.25">
      <c r="A749" s="11" t="str">
        <f>A748</f>
        <v>ЩУ-Т1 (15 секция)</v>
      </c>
      <c r="B749" s="12" t="s">
        <v>8</v>
      </c>
      <c r="C749" s="18" t="s">
        <v>254</v>
      </c>
      <c r="D749" s="11" t="s">
        <v>255</v>
      </c>
      <c r="E749" s="12">
        <v>10500</v>
      </c>
      <c r="F749" s="13">
        <f>0.6*E749</f>
        <v>6300</v>
      </c>
      <c r="G749" s="13">
        <f>H749*F749</f>
        <v>6300</v>
      </c>
      <c r="H749" s="14">
        <v>1</v>
      </c>
      <c r="I749" s="15" t="s">
        <v>13</v>
      </c>
      <c r="J749" s="12" t="s">
        <v>16</v>
      </c>
      <c r="K749">
        <v>6300</v>
      </c>
      <c r="L749">
        <f t="shared" ref="L749:L757" si="468">L748</f>
        <v>1</v>
      </c>
      <c r="M749" s="23">
        <f t="shared" si="438"/>
        <v>6300</v>
      </c>
    </row>
    <row r="750" spans="1:13" ht="21" customHeight="1" outlineLevel="2" x14ac:dyDescent="0.25">
      <c r="A750" s="11" t="str">
        <f t="shared" ref="A750:A753" si="469">A749</f>
        <v>ЩУ-Т1 (15 секция)</v>
      </c>
      <c r="B750" s="12" t="s">
        <v>18</v>
      </c>
      <c r="C750" s="18">
        <v>105542</v>
      </c>
      <c r="D750" s="11" t="s">
        <v>65</v>
      </c>
      <c r="E750" s="12">
        <v>3513</v>
      </c>
      <c r="F750" s="13">
        <f t="shared" ref="F750:F753" si="470">E750*0.6</f>
        <v>2107.7999999999997</v>
      </c>
      <c r="G750" s="13">
        <f t="shared" ref="G750:G754" si="471">F750*H750</f>
        <v>2107.7999999999997</v>
      </c>
      <c r="H750" s="14">
        <v>1</v>
      </c>
      <c r="I750" s="15" t="s">
        <v>13</v>
      </c>
      <c r="J750" s="12" t="s">
        <v>36</v>
      </c>
      <c r="K750">
        <v>2107.7999999999997</v>
      </c>
      <c r="L750">
        <f t="shared" si="468"/>
        <v>1</v>
      </c>
      <c r="M750" s="23">
        <f t="shared" si="438"/>
        <v>2107.7999999999997</v>
      </c>
    </row>
    <row r="751" spans="1:13" ht="21" customHeight="1" outlineLevel="2" x14ac:dyDescent="0.25">
      <c r="A751" s="11" t="str">
        <f t="shared" si="469"/>
        <v>ЩУ-Т1 (15 секция)</v>
      </c>
      <c r="B751" s="12" t="s">
        <v>12</v>
      </c>
      <c r="C751" s="18"/>
      <c r="D751" s="11" t="s">
        <v>198</v>
      </c>
      <c r="E751" s="16">
        <v>1660</v>
      </c>
      <c r="F751" s="13">
        <f t="shared" si="470"/>
        <v>996</v>
      </c>
      <c r="G751" s="13">
        <f t="shared" si="471"/>
        <v>996</v>
      </c>
      <c r="H751" s="14">
        <v>1</v>
      </c>
      <c r="I751" s="15" t="s">
        <v>13</v>
      </c>
      <c r="J751" s="12" t="s">
        <v>36</v>
      </c>
      <c r="K751">
        <v>996</v>
      </c>
      <c r="L751">
        <f t="shared" si="468"/>
        <v>1</v>
      </c>
      <c r="M751" s="23">
        <f t="shared" si="438"/>
        <v>996</v>
      </c>
    </row>
    <row r="752" spans="1:13" ht="21" customHeight="1" outlineLevel="2" x14ac:dyDescent="0.25">
      <c r="A752" s="11" t="str">
        <f t="shared" si="469"/>
        <v>ЩУ-Т1 (15 секция)</v>
      </c>
      <c r="B752" s="12" t="s">
        <v>12</v>
      </c>
      <c r="C752" s="18">
        <v>296708</v>
      </c>
      <c r="D752" s="11" t="s">
        <v>31</v>
      </c>
      <c r="E752" s="12">
        <v>828</v>
      </c>
      <c r="F752" s="13">
        <f t="shared" si="470"/>
        <v>496.79999999999995</v>
      </c>
      <c r="G752" s="13">
        <f t="shared" si="471"/>
        <v>496.79999999999995</v>
      </c>
      <c r="H752" s="14">
        <v>1</v>
      </c>
      <c r="I752" s="15" t="s">
        <v>13</v>
      </c>
      <c r="J752" s="12" t="s">
        <v>36</v>
      </c>
      <c r="K752">
        <v>496.79999999999995</v>
      </c>
      <c r="L752">
        <f t="shared" si="468"/>
        <v>1</v>
      </c>
      <c r="M752" s="23">
        <f t="shared" si="438"/>
        <v>496.79999999999995</v>
      </c>
    </row>
    <row r="753" spans="1:13" ht="21" customHeight="1" outlineLevel="2" x14ac:dyDescent="0.25">
      <c r="A753" s="11" t="str">
        <f t="shared" si="469"/>
        <v>ЩУ-Т1 (15 секция)</v>
      </c>
      <c r="B753" s="12" t="s">
        <v>21</v>
      </c>
      <c r="C753" s="18" t="s">
        <v>70</v>
      </c>
      <c r="D753" s="11" t="s">
        <v>69</v>
      </c>
      <c r="E753" s="12">
        <v>3505</v>
      </c>
      <c r="F753" s="13">
        <f t="shared" si="470"/>
        <v>2103</v>
      </c>
      <c r="G753" s="13">
        <f t="shared" si="471"/>
        <v>2103</v>
      </c>
      <c r="H753" s="14">
        <v>1</v>
      </c>
      <c r="I753" s="15" t="s">
        <v>13</v>
      </c>
      <c r="J753" s="12" t="s">
        <v>36</v>
      </c>
      <c r="K753">
        <v>2103</v>
      </c>
      <c r="L753">
        <f t="shared" si="468"/>
        <v>1</v>
      </c>
      <c r="M753" s="23">
        <f t="shared" si="438"/>
        <v>2103</v>
      </c>
    </row>
    <row r="754" spans="1:13" ht="21" customHeight="1" outlineLevel="2" x14ac:dyDescent="0.25">
      <c r="A754" s="11" t="str">
        <f>A750</f>
        <v>ЩУ-Т1 (15 секция)</v>
      </c>
      <c r="B754" s="12" t="s">
        <v>71</v>
      </c>
      <c r="C754" s="18" t="s">
        <v>264</v>
      </c>
      <c r="D754" s="11" t="s">
        <v>263</v>
      </c>
      <c r="E754" s="16">
        <v>19505</v>
      </c>
      <c r="F754" s="13">
        <f>E754</f>
        <v>19505</v>
      </c>
      <c r="G754" s="13">
        <f t="shared" si="471"/>
        <v>19505</v>
      </c>
      <c r="H754" s="14">
        <v>1</v>
      </c>
      <c r="I754" s="15" t="s">
        <v>13</v>
      </c>
      <c r="J754" s="12" t="s">
        <v>20</v>
      </c>
      <c r="K754">
        <v>19505</v>
      </c>
      <c r="L754">
        <f t="shared" si="468"/>
        <v>1</v>
      </c>
      <c r="M754" s="23">
        <f t="shared" si="438"/>
        <v>19505</v>
      </c>
    </row>
    <row r="755" spans="1:13" ht="24" customHeight="1" outlineLevel="2" x14ac:dyDescent="0.25">
      <c r="A755" s="11" t="str">
        <f>A751</f>
        <v>ЩУ-Т1 (15 секция)</v>
      </c>
      <c r="B755" s="11" t="s">
        <v>10</v>
      </c>
      <c r="C755" s="11" t="s">
        <v>10</v>
      </c>
      <c r="D755" s="11" t="s">
        <v>10</v>
      </c>
      <c r="E755" s="11">
        <f ca="1">OFFSET(E755,1,2)</f>
        <v>6000</v>
      </c>
      <c r="F755" s="13">
        <f ca="1">E755</f>
        <v>6000</v>
      </c>
      <c r="G755" s="13">
        <f ca="1">F755*H755</f>
        <v>6000</v>
      </c>
      <c r="H755" s="11">
        <v>1</v>
      </c>
      <c r="I755" s="11" t="s">
        <v>13</v>
      </c>
      <c r="J755" s="11" t="s">
        <v>10</v>
      </c>
      <c r="K755">
        <v>6000</v>
      </c>
      <c r="L755">
        <f t="shared" si="468"/>
        <v>1</v>
      </c>
      <c r="M755" s="23">
        <f t="shared" ca="1" si="438"/>
        <v>6000</v>
      </c>
    </row>
    <row r="756" spans="1:13" ht="21" customHeight="1" outlineLevel="2" x14ac:dyDescent="0.25">
      <c r="A756" s="11" t="str">
        <f t="shared" ref="A756" si="472">A755</f>
        <v>ЩУ-Т1 (15 секция)</v>
      </c>
      <c r="B756" s="11" t="s">
        <v>11</v>
      </c>
      <c r="C756" s="11" t="s">
        <v>11</v>
      </c>
      <c r="D756" s="11" t="s">
        <v>11</v>
      </c>
      <c r="E756" s="11">
        <v>1</v>
      </c>
      <c r="F756" s="13">
        <v>100</v>
      </c>
      <c r="G756" s="13">
        <f t="shared" ref="G756" si="473">F756*H756</f>
        <v>6000</v>
      </c>
      <c r="H756" s="11">
        <f>60*E756</f>
        <v>60</v>
      </c>
      <c r="I756" s="11" t="s">
        <v>13</v>
      </c>
      <c r="J756" s="11" t="s">
        <v>11</v>
      </c>
      <c r="K756">
        <v>6000</v>
      </c>
      <c r="L756">
        <f t="shared" si="468"/>
        <v>1</v>
      </c>
      <c r="M756" s="23">
        <f t="shared" si="438"/>
        <v>6000</v>
      </c>
    </row>
    <row r="757" spans="1:13" ht="21" customHeight="1" outlineLevel="1" x14ac:dyDescent="0.25">
      <c r="A757" s="11" t="s">
        <v>360</v>
      </c>
      <c r="B757" s="11"/>
      <c r="C757" s="11"/>
      <c r="D757" s="11"/>
      <c r="E757" s="11"/>
      <c r="F757" s="13"/>
      <c r="G757" s="13">
        <f ca="1">SUBTOTAL(9,G748:G756)</f>
        <v>43508.6</v>
      </c>
      <c r="H757" s="11"/>
      <c r="I757" s="11"/>
      <c r="J757" s="11"/>
      <c r="K757">
        <v>43508.6</v>
      </c>
      <c r="L757">
        <f t="shared" si="468"/>
        <v>1</v>
      </c>
      <c r="M757" s="23">
        <f t="shared" ca="1" si="438"/>
        <v>43508.6</v>
      </c>
    </row>
    <row r="758" spans="1:13" ht="39.75" customHeight="1" outlineLevel="2" x14ac:dyDescent="0.25">
      <c r="A758" s="4" t="str">
        <f>D758</f>
        <v>ЩС (15 секция)</v>
      </c>
      <c r="B758" s="5"/>
      <c r="C758" s="17"/>
      <c r="D758" s="5" t="s">
        <v>117</v>
      </c>
      <c r="E758" s="7"/>
      <c r="F758" s="7"/>
      <c r="G758" s="8"/>
      <c r="H758" s="9">
        <v>1</v>
      </c>
      <c r="I758" s="10" t="s">
        <v>7</v>
      </c>
      <c r="J758" s="5" t="s">
        <v>9</v>
      </c>
      <c r="L758">
        <f>H758</f>
        <v>1</v>
      </c>
      <c r="M758" s="23">
        <f t="shared" si="438"/>
        <v>0</v>
      </c>
    </row>
    <row r="759" spans="1:13" ht="21" customHeight="1" outlineLevel="2" x14ac:dyDescent="0.25">
      <c r="A759" s="11" t="str">
        <f>A758</f>
        <v>ЩС (15 секция)</v>
      </c>
      <c r="B759" s="12" t="s">
        <v>8</v>
      </c>
      <c r="C759" s="18" t="s">
        <v>256</v>
      </c>
      <c r="D759" s="11" t="s">
        <v>257</v>
      </c>
      <c r="E759" s="12">
        <v>15500</v>
      </c>
      <c r="F759" s="13">
        <f>0.6*E759</f>
        <v>9300</v>
      </c>
      <c r="G759" s="13">
        <f>H759*F759</f>
        <v>9300</v>
      </c>
      <c r="H759" s="14">
        <v>1</v>
      </c>
      <c r="I759" s="15" t="s">
        <v>13</v>
      </c>
      <c r="J759" s="12" t="s">
        <v>16</v>
      </c>
      <c r="K759">
        <v>9300</v>
      </c>
      <c r="L759">
        <f t="shared" ref="L759:L766" si="474">L758</f>
        <v>1</v>
      </c>
      <c r="M759" s="23">
        <f t="shared" si="438"/>
        <v>9300</v>
      </c>
    </row>
    <row r="760" spans="1:13" ht="21" customHeight="1" outlineLevel="2" x14ac:dyDescent="0.25">
      <c r="A760" s="11" t="str">
        <f t="shared" ref="A760" si="475">A759</f>
        <v>ЩС (15 секция)</v>
      </c>
      <c r="B760" s="12" t="s">
        <v>64</v>
      </c>
      <c r="C760" s="18">
        <v>193180</v>
      </c>
      <c r="D760" s="11" t="s">
        <v>60</v>
      </c>
      <c r="E760" s="12">
        <v>2493</v>
      </c>
      <c r="F760" s="13">
        <f t="shared" ref="F760:F763" si="476">E760*0.6</f>
        <v>1495.8</v>
      </c>
      <c r="G760" s="13">
        <f t="shared" ref="G760" si="477">F760*H760</f>
        <v>1495.8</v>
      </c>
      <c r="H760" s="14">
        <v>1</v>
      </c>
      <c r="I760" s="15" t="s">
        <v>13</v>
      </c>
      <c r="J760" s="12" t="s">
        <v>36</v>
      </c>
      <c r="K760">
        <v>1495.8</v>
      </c>
      <c r="L760">
        <f t="shared" si="474"/>
        <v>1</v>
      </c>
      <c r="M760" s="23">
        <f t="shared" si="438"/>
        <v>1495.8</v>
      </c>
    </row>
    <row r="761" spans="1:13" ht="21" customHeight="1" outlineLevel="2" x14ac:dyDescent="0.25">
      <c r="A761" s="11" t="str">
        <f>A759</f>
        <v>ЩС (15 секция)</v>
      </c>
      <c r="B761" s="12" t="s">
        <v>12</v>
      </c>
      <c r="C761" s="18"/>
      <c r="D761" s="11" t="s">
        <v>205</v>
      </c>
      <c r="E761" s="16">
        <v>3003</v>
      </c>
      <c r="F761" s="13">
        <f t="shared" si="476"/>
        <v>1801.8</v>
      </c>
      <c r="G761" s="13">
        <f t="shared" ref="G761:G763" si="478">F761*H761</f>
        <v>5405.4</v>
      </c>
      <c r="H761" s="14">
        <v>3</v>
      </c>
      <c r="I761" s="15" t="s">
        <v>13</v>
      </c>
      <c r="J761" s="12" t="s">
        <v>36</v>
      </c>
      <c r="K761">
        <v>5405.4</v>
      </c>
      <c r="L761">
        <f t="shared" si="474"/>
        <v>1</v>
      </c>
      <c r="M761" s="23">
        <f t="shared" si="438"/>
        <v>5405.4</v>
      </c>
    </row>
    <row r="762" spans="1:13" ht="21" customHeight="1" outlineLevel="2" x14ac:dyDescent="0.25">
      <c r="A762" s="11" t="str">
        <f t="shared" ref="A762:A763" si="479">A761</f>
        <v>ЩС (15 секция)</v>
      </c>
      <c r="B762" s="12" t="s">
        <v>12</v>
      </c>
      <c r="C762" s="18">
        <v>296709</v>
      </c>
      <c r="D762" s="11" t="s">
        <v>196</v>
      </c>
      <c r="E762" s="12">
        <v>699</v>
      </c>
      <c r="F762" s="13">
        <f t="shared" si="476"/>
        <v>419.4</v>
      </c>
      <c r="G762" s="13">
        <f t="shared" si="478"/>
        <v>1258.1999999999998</v>
      </c>
      <c r="H762" s="14">
        <v>3</v>
      </c>
      <c r="I762" s="15" t="s">
        <v>13</v>
      </c>
      <c r="J762" s="12" t="s">
        <v>36</v>
      </c>
      <c r="K762">
        <v>1258.1999999999998</v>
      </c>
      <c r="L762">
        <f t="shared" si="474"/>
        <v>1</v>
      </c>
      <c r="M762" s="23">
        <f t="shared" si="438"/>
        <v>1258.1999999999998</v>
      </c>
    </row>
    <row r="763" spans="1:13" ht="21" customHeight="1" outlineLevel="2" x14ac:dyDescent="0.25">
      <c r="A763" s="11" t="str">
        <f t="shared" si="479"/>
        <v>ЩС (15 секция)</v>
      </c>
      <c r="B763" s="12" t="s">
        <v>18</v>
      </c>
      <c r="C763" s="18">
        <v>105542</v>
      </c>
      <c r="D763" s="11" t="s">
        <v>65</v>
      </c>
      <c r="E763" s="12">
        <v>3513</v>
      </c>
      <c r="F763" s="13">
        <f t="shared" si="476"/>
        <v>2107.7999999999997</v>
      </c>
      <c r="G763" s="13">
        <f t="shared" si="478"/>
        <v>4215.5999999999995</v>
      </c>
      <c r="H763" s="14">
        <v>2</v>
      </c>
      <c r="I763" s="15" t="s">
        <v>13</v>
      </c>
      <c r="J763" s="12" t="s">
        <v>36</v>
      </c>
      <c r="K763">
        <v>4215.5999999999995</v>
      </c>
      <c r="L763">
        <f t="shared" si="474"/>
        <v>1</v>
      </c>
      <c r="M763" s="23">
        <f t="shared" si="438"/>
        <v>4215.5999999999995</v>
      </c>
    </row>
    <row r="764" spans="1:13" ht="24" customHeight="1" outlineLevel="2" x14ac:dyDescent="0.25">
      <c r="A764" s="11" t="str">
        <f>A762</f>
        <v>ЩС (15 секция)</v>
      </c>
      <c r="B764" s="11" t="s">
        <v>10</v>
      </c>
      <c r="C764" s="11" t="s">
        <v>10</v>
      </c>
      <c r="D764" s="11" t="s">
        <v>10</v>
      </c>
      <c r="E764" s="11">
        <f ca="1">OFFSET(E764,1,2)</f>
        <v>9000</v>
      </c>
      <c r="F764" s="13">
        <f ca="1">E764</f>
        <v>9000</v>
      </c>
      <c r="G764" s="13">
        <f ca="1">F764*H764</f>
        <v>9000</v>
      </c>
      <c r="H764" s="11">
        <v>1</v>
      </c>
      <c r="I764" s="11" t="s">
        <v>13</v>
      </c>
      <c r="J764" s="11" t="s">
        <v>10</v>
      </c>
      <c r="K764">
        <v>9000</v>
      </c>
      <c r="L764">
        <f t="shared" si="474"/>
        <v>1</v>
      </c>
      <c r="M764" s="23">
        <f t="shared" ca="1" si="438"/>
        <v>9000</v>
      </c>
    </row>
    <row r="765" spans="1:13" ht="21" customHeight="1" outlineLevel="2" x14ac:dyDescent="0.25">
      <c r="A765" s="11" t="str">
        <f t="shared" ref="A765" si="480">A764</f>
        <v>ЩС (15 секция)</v>
      </c>
      <c r="B765" s="11" t="s">
        <v>11</v>
      </c>
      <c r="C765" s="11" t="s">
        <v>11</v>
      </c>
      <c r="D765" s="11" t="s">
        <v>11</v>
      </c>
      <c r="E765" s="11">
        <v>1.5</v>
      </c>
      <c r="F765" s="13">
        <v>100</v>
      </c>
      <c r="G765" s="13">
        <f t="shared" ref="G765" si="481">F765*H765</f>
        <v>9000</v>
      </c>
      <c r="H765" s="11">
        <f>60*E765</f>
        <v>90</v>
      </c>
      <c r="I765" s="11" t="s">
        <v>13</v>
      </c>
      <c r="J765" s="11" t="s">
        <v>11</v>
      </c>
      <c r="K765">
        <v>9000</v>
      </c>
      <c r="L765">
        <f t="shared" si="474"/>
        <v>1</v>
      </c>
      <c r="M765" s="23">
        <f t="shared" si="438"/>
        <v>9000</v>
      </c>
    </row>
    <row r="766" spans="1:13" ht="21" customHeight="1" outlineLevel="1" x14ac:dyDescent="0.25">
      <c r="A766" s="11" t="s">
        <v>361</v>
      </c>
      <c r="B766" s="11"/>
      <c r="C766" s="11"/>
      <c r="D766" s="11"/>
      <c r="E766" s="11"/>
      <c r="F766" s="13"/>
      <c r="G766" s="13">
        <f ca="1">SUBTOTAL(9,G758:G765)</f>
        <v>39675</v>
      </c>
      <c r="H766" s="11"/>
      <c r="I766" s="11"/>
      <c r="J766" s="11"/>
      <c r="K766">
        <v>39675</v>
      </c>
      <c r="L766">
        <f t="shared" si="474"/>
        <v>1</v>
      </c>
      <c r="M766" s="23">
        <f t="shared" ca="1" si="438"/>
        <v>39675</v>
      </c>
    </row>
    <row r="767" spans="1:13" ht="39.75" customHeight="1" outlineLevel="2" x14ac:dyDescent="0.25">
      <c r="A767" s="4" t="str">
        <f>D767</f>
        <v>ВЩО-15 (ВРУ-8504-3ВП-5-25-0-30) (15 секция)</v>
      </c>
      <c r="B767" s="5"/>
      <c r="C767" s="17"/>
      <c r="D767" s="5" t="s">
        <v>191</v>
      </c>
      <c r="E767" s="7"/>
      <c r="F767" s="7"/>
      <c r="G767" s="8"/>
      <c r="H767" s="9">
        <v>1</v>
      </c>
      <c r="I767" s="10" t="s">
        <v>7</v>
      </c>
      <c r="J767" s="5" t="s">
        <v>9</v>
      </c>
      <c r="L767">
        <f>H767</f>
        <v>1</v>
      </c>
      <c r="M767" s="23">
        <f t="shared" si="438"/>
        <v>0</v>
      </c>
    </row>
    <row r="768" spans="1:13" ht="21" customHeight="1" outlineLevel="2" x14ac:dyDescent="0.25">
      <c r="A768" s="11" t="str">
        <f>A767</f>
        <v>ВЩО-15 (ВРУ-8504-3ВП-5-25-0-30) (15 секция)</v>
      </c>
      <c r="B768" s="12" t="s">
        <v>8</v>
      </c>
      <c r="C768" s="18" t="s">
        <v>250</v>
      </c>
      <c r="D768" s="11" t="s">
        <v>251</v>
      </c>
      <c r="E768" s="12">
        <v>160000</v>
      </c>
      <c r="F768" s="13">
        <f>0.6*E768</f>
        <v>96000</v>
      </c>
      <c r="G768" s="13">
        <f>H768*F768</f>
        <v>96000</v>
      </c>
      <c r="H768" s="14">
        <v>1</v>
      </c>
      <c r="I768" s="15" t="s">
        <v>13</v>
      </c>
      <c r="J768" s="12" t="s">
        <v>16</v>
      </c>
      <c r="K768">
        <v>96000</v>
      </c>
      <c r="L768">
        <f t="shared" ref="L768:L782" si="482">L767</f>
        <v>1</v>
      </c>
      <c r="M768" s="23">
        <f t="shared" si="438"/>
        <v>96000</v>
      </c>
    </row>
    <row r="769" spans="1:13" ht="21" customHeight="1" outlineLevel="2" x14ac:dyDescent="0.25">
      <c r="A769" s="11" t="str">
        <f t="shared" ref="A769:A781" si="483">A768</f>
        <v>ВЩО-15 (ВРУ-8504-3ВП-5-25-0-30) (15 секция)</v>
      </c>
      <c r="B769" s="12" t="s">
        <v>43</v>
      </c>
      <c r="C769" s="18" t="s">
        <v>78</v>
      </c>
      <c r="D769" s="11" t="s">
        <v>79</v>
      </c>
      <c r="E769" s="12">
        <v>12851</v>
      </c>
      <c r="F769" s="13">
        <f>E769</f>
        <v>12851</v>
      </c>
      <c r="G769" s="13">
        <f>F769*H769</f>
        <v>12851</v>
      </c>
      <c r="H769" s="14">
        <v>1</v>
      </c>
      <c r="I769" s="15" t="s">
        <v>13</v>
      </c>
      <c r="J769" s="12" t="s">
        <v>20</v>
      </c>
      <c r="K769">
        <v>12851</v>
      </c>
      <c r="L769">
        <f t="shared" si="482"/>
        <v>1</v>
      </c>
      <c r="M769" s="23">
        <f t="shared" si="438"/>
        <v>12851</v>
      </c>
    </row>
    <row r="770" spans="1:13" ht="21" customHeight="1" outlineLevel="2" x14ac:dyDescent="0.25">
      <c r="A770" s="11" t="str">
        <f t="shared" si="483"/>
        <v>ВЩО-15 (ВРУ-8504-3ВП-5-25-0-30) (15 секция)</v>
      </c>
      <c r="B770" s="12" t="s">
        <v>134</v>
      </c>
      <c r="C770" s="18" t="s">
        <v>193</v>
      </c>
      <c r="D770" s="11" t="s">
        <v>194</v>
      </c>
      <c r="E770" s="12">
        <v>1545</v>
      </c>
      <c r="F770" s="13">
        <f t="shared" ref="F770:F777" si="484">E770*0.6</f>
        <v>927</v>
      </c>
      <c r="G770" s="13">
        <f t="shared" ref="G770:G779" si="485">F770*H770</f>
        <v>2781</v>
      </c>
      <c r="H770" s="14">
        <v>3</v>
      </c>
      <c r="I770" s="15" t="s">
        <v>13</v>
      </c>
      <c r="J770" s="12" t="s">
        <v>206</v>
      </c>
      <c r="K770">
        <v>2781</v>
      </c>
      <c r="L770">
        <f t="shared" si="482"/>
        <v>1</v>
      </c>
      <c r="M770" s="23">
        <f t="shared" si="438"/>
        <v>2781</v>
      </c>
    </row>
    <row r="771" spans="1:13" ht="21" customHeight="1" outlineLevel="2" x14ac:dyDescent="0.25">
      <c r="A771" s="11" t="str">
        <f t="shared" si="483"/>
        <v>ВЩО-15 (ВРУ-8504-3ВП-5-25-0-30) (15 секция)</v>
      </c>
      <c r="B771" s="12" t="s">
        <v>134</v>
      </c>
      <c r="C771" s="18" t="s">
        <v>137</v>
      </c>
      <c r="D771" s="11" t="s">
        <v>138</v>
      </c>
      <c r="E771" s="12">
        <v>2038</v>
      </c>
      <c r="F771" s="13">
        <f t="shared" si="484"/>
        <v>1222.8</v>
      </c>
      <c r="G771" s="13">
        <f t="shared" ref="G771" si="486">F771*H771</f>
        <v>3668.3999999999996</v>
      </c>
      <c r="H771" s="14">
        <v>3</v>
      </c>
      <c r="I771" s="15" t="s">
        <v>13</v>
      </c>
      <c r="J771" s="12" t="s">
        <v>206</v>
      </c>
      <c r="K771">
        <v>3668.3999999999996</v>
      </c>
      <c r="L771">
        <f t="shared" si="482"/>
        <v>1</v>
      </c>
      <c r="M771" s="23">
        <f t="shared" ref="M771:M834" si="487">L771*G771</f>
        <v>3668.3999999999996</v>
      </c>
    </row>
    <row r="772" spans="1:13" ht="21" customHeight="1" outlineLevel="2" x14ac:dyDescent="0.25">
      <c r="A772" s="11" t="str">
        <f>A770</f>
        <v>ВЩО-15 (ВРУ-8504-3ВП-5-25-0-30) (15 секция)</v>
      </c>
      <c r="B772" s="12" t="s">
        <v>39</v>
      </c>
      <c r="C772" s="18">
        <v>593150</v>
      </c>
      <c r="D772" s="11" t="s">
        <v>33</v>
      </c>
      <c r="E772" s="12">
        <v>439</v>
      </c>
      <c r="F772" s="13">
        <f t="shared" si="484"/>
        <v>263.39999999999998</v>
      </c>
      <c r="G772" s="13">
        <f t="shared" si="485"/>
        <v>263.39999999999998</v>
      </c>
      <c r="H772" s="14">
        <v>1</v>
      </c>
      <c r="I772" s="15" t="s">
        <v>13</v>
      </c>
      <c r="J772" s="12" t="s">
        <v>36</v>
      </c>
      <c r="K772">
        <v>263.39999999999998</v>
      </c>
      <c r="L772">
        <f t="shared" si="482"/>
        <v>1</v>
      </c>
      <c r="M772" s="23">
        <f t="shared" si="487"/>
        <v>263.39999999999998</v>
      </c>
    </row>
    <row r="773" spans="1:13" ht="21" customHeight="1" outlineLevel="2" x14ac:dyDescent="0.25">
      <c r="A773" s="11" t="str">
        <f t="shared" si="483"/>
        <v>ВЩО-15 (ВРУ-8504-3ВП-5-25-0-30) (15 секция)</v>
      </c>
      <c r="B773" s="12" t="s">
        <v>39</v>
      </c>
      <c r="C773" s="18">
        <v>593012</v>
      </c>
      <c r="D773" s="11" t="s">
        <v>80</v>
      </c>
      <c r="E773" s="12">
        <v>439</v>
      </c>
      <c r="F773" s="13">
        <f t="shared" si="484"/>
        <v>263.39999999999998</v>
      </c>
      <c r="G773" s="13">
        <f t="shared" si="485"/>
        <v>263.39999999999998</v>
      </c>
      <c r="H773" s="14">
        <v>1</v>
      </c>
      <c r="I773" s="15" t="s">
        <v>13</v>
      </c>
      <c r="J773" s="12" t="s">
        <v>36</v>
      </c>
      <c r="K773">
        <v>263.39999999999998</v>
      </c>
      <c r="L773">
        <f t="shared" si="482"/>
        <v>1</v>
      </c>
      <c r="M773" s="23">
        <f t="shared" si="487"/>
        <v>263.39999999999998</v>
      </c>
    </row>
    <row r="774" spans="1:13" ht="21" customHeight="1" outlineLevel="2" x14ac:dyDescent="0.25">
      <c r="A774" s="11" t="str">
        <f t="shared" si="483"/>
        <v>ВЩО-15 (ВРУ-8504-3ВП-5-25-0-30) (15 секция)</v>
      </c>
      <c r="B774" s="12" t="s">
        <v>39</v>
      </c>
      <c r="C774" s="18">
        <v>593071</v>
      </c>
      <c r="D774" s="11" t="s">
        <v>56</v>
      </c>
      <c r="E774" s="12">
        <v>439</v>
      </c>
      <c r="F774" s="13">
        <f t="shared" si="484"/>
        <v>263.39999999999998</v>
      </c>
      <c r="G774" s="13">
        <f t="shared" si="485"/>
        <v>263.39999999999998</v>
      </c>
      <c r="H774" s="14">
        <v>1</v>
      </c>
      <c r="I774" s="15" t="s">
        <v>13</v>
      </c>
      <c r="J774" s="12" t="s">
        <v>36</v>
      </c>
      <c r="K774">
        <v>263.39999999999998</v>
      </c>
      <c r="L774">
        <f t="shared" si="482"/>
        <v>1</v>
      </c>
      <c r="M774" s="23">
        <f t="shared" si="487"/>
        <v>263.39999999999998</v>
      </c>
    </row>
    <row r="775" spans="1:13" ht="21" customHeight="1" outlineLevel="2" x14ac:dyDescent="0.25">
      <c r="A775" s="11" t="str">
        <f t="shared" si="483"/>
        <v>ВЩО-15 (ВРУ-8504-3ВП-5-25-0-30) (15 секция)</v>
      </c>
      <c r="B775" s="12" t="s">
        <v>12</v>
      </c>
      <c r="C775" s="18">
        <v>296708</v>
      </c>
      <c r="D775" s="11" t="s">
        <v>31</v>
      </c>
      <c r="E775" s="12">
        <v>828</v>
      </c>
      <c r="F775" s="13">
        <f t="shared" si="484"/>
        <v>496.79999999999995</v>
      </c>
      <c r="G775" s="13">
        <f t="shared" si="485"/>
        <v>1490.3999999999999</v>
      </c>
      <c r="H775" s="14">
        <v>3</v>
      </c>
      <c r="I775" s="15" t="s">
        <v>13</v>
      </c>
      <c r="J775" s="12" t="s">
        <v>36</v>
      </c>
      <c r="K775">
        <v>1490.3999999999999</v>
      </c>
      <c r="L775">
        <f t="shared" si="482"/>
        <v>1</v>
      </c>
      <c r="M775" s="23">
        <f t="shared" si="487"/>
        <v>1490.3999999999999</v>
      </c>
    </row>
    <row r="776" spans="1:13" ht="21" customHeight="1" outlineLevel="2" x14ac:dyDescent="0.25">
      <c r="A776" s="11" t="str">
        <f t="shared" si="483"/>
        <v>ВЩО-15 (ВРУ-8504-3ВП-5-25-0-30) (15 секция)</v>
      </c>
      <c r="B776" s="12" t="s">
        <v>83</v>
      </c>
      <c r="C776" s="18" t="s">
        <v>238</v>
      </c>
      <c r="D776" s="11" t="s">
        <v>237</v>
      </c>
      <c r="E776" s="12">
        <v>405</v>
      </c>
      <c r="F776" s="13">
        <f t="shared" si="484"/>
        <v>243</v>
      </c>
      <c r="G776" s="13">
        <f t="shared" si="485"/>
        <v>486</v>
      </c>
      <c r="H776" s="14">
        <v>2</v>
      </c>
      <c r="I776" s="15" t="s">
        <v>13</v>
      </c>
      <c r="J776" s="12" t="s">
        <v>236</v>
      </c>
      <c r="K776">
        <v>486</v>
      </c>
      <c r="L776">
        <f t="shared" si="482"/>
        <v>1</v>
      </c>
      <c r="M776" s="23">
        <f t="shared" si="487"/>
        <v>486</v>
      </c>
    </row>
    <row r="777" spans="1:13" ht="21" customHeight="1" outlineLevel="2" x14ac:dyDescent="0.25">
      <c r="A777" s="11" t="str">
        <f t="shared" si="483"/>
        <v>ВЩО-15 (ВРУ-8504-3ВП-5-25-0-30) (15 секция)</v>
      </c>
      <c r="B777" s="12" t="s">
        <v>83</v>
      </c>
      <c r="C777" s="18" t="s">
        <v>239</v>
      </c>
      <c r="D777" s="11" t="s">
        <v>240</v>
      </c>
      <c r="E777" s="12">
        <v>400</v>
      </c>
      <c r="F777" s="13">
        <f t="shared" si="484"/>
        <v>240</v>
      </c>
      <c r="G777" s="13">
        <f t="shared" si="485"/>
        <v>1440</v>
      </c>
      <c r="H777" s="14">
        <v>6</v>
      </c>
      <c r="I777" s="15" t="s">
        <v>13</v>
      </c>
      <c r="J777" s="12" t="s">
        <v>236</v>
      </c>
      <c r="K777">
        <v>1440</v>
      </c>
      <c r="L777">
        <f t="shared" si="482"/>
        <v>1</v>
      </c>
      <c r="M777" s="23">
        <f t="shared" si="487"/>
        <v>1440</v>
      </c>
    </row>
    <row r="778" spans="1:13" ht="21" customHeight="1" outlineLevel="2" x14ac:dyDescent="0.25">
      <c r="A778" s="11" t="str">
        <f t="shared" si="483"/>
        <v>ВЩО-15 (ВРУ-8504-3ВП-5-25-0-30) (15 секция)</v>
      </c>
      <c r="B778" s="12" t="s">
        <v>81</v>
      </c>
      <c r="C778" s="18"/>
      <c r="D778" s="11" t="s">
        <v>82</v>
      </c>
      <c r="E778" s="12">
        <v>4000</v>
      </c>
      <c r="F778" s="13">
        <f t="shared" ref="F778:F779" si="488">E778</f>
        <v>4000</v>
      </c>
      <c r="G778" s="13">
        <f t="shared" si="485"/>
        <v>12000</v>
      </c>
      <c r="H778" s="14">
        <v>3</v>
      </c>
      <c r="I778" s="15" t="s">
        <v>13</v>
      </c>
      <c r="J778" s="12" t="s">
        <v>20</v>
      </c>
      <c r="K778">
        <v>12000</v>
      </c>
      <c r="L778">
        <f t="shared" si="482"/>
        <v>1</v>
      </c>
      <c r="M778" s="23">
        <f t="shared" si="487"/>
        <v>12000</v>
      </c>
    </row>
    <row r="779" spans="1:13" ht="21" customHeight="1" outlineLevel="2" x14ac:dyDescent="0.25">
      <c r="A779" s="11" t="str">
        <f t="shared" si="483"/>
        <v>ВЩО-15 (ВРУ-8504-3ВП-5-25-0-30) (15 секция)</v>
      </c>
      <c r="B779" s="12" t="s">
        <v>47</v>
      </c>
      <c r="C779" s="18" t="s">
        <v>233</v>
      </c>
      <c r="D779" s="11" t="s">
        <v>234</v>
      </c>
      <c r="E779" s="12">
        <v>664</v>
      </c>
      <c r="F779" s="13">
        <f t="shared" si="488"/>
        <v>664</v>
      </c>
      <c r="G779" s="13">
        <f t="shared" si="485"/>
        <v>3984</v>
      </c>
      <c r="H779" s="14">
        <v>6</v>
      </c>
      <c r="I779" s="15" t="s">
        <v>235</v>
      </c>
      <c r="J779" s="12" t="s">
        <v>20</v>
      </c>
      <c r="K779">
        <v>3984</v>
      </c>
      <c r="L779">
        <f t="shared" si="482"/>
        <v>1</v>
      </c>
      <c r="M779" s="23">
        <f t="shared" si="487"/>
        <v>3984</v>
      </c>
    </row>
    <row r="780" spans="1:13" ht="24" customHeight="1" outlineLevel="2" x14ac:dyDescent="0.25">
      <c r="A780" s="11" t="str">
        <f>A778</f>
        <v>ВЩО-15 (ВРУ-8504-3ВП-5-25-0-30) (15 секция)</v>
      </c>
      <c r="B780" s="11" t="s">
        <v>10</v>
      </c>
      <c r="C780" s="11" t="s">
        <v>10</v>
      </c>
      <c r="D780" s="11" t="s">
        <v>10</v>
      </c>
      <c r="E780" s="11">
        <f ca="1">OFFSET(E780,1,2)</f>
        <v>36000</v>
      </c>
      <c r="F780" s="13">
        <f ca="1">E780</f>
        <v>36000</v>
      </c>
      <c r="G780" s="13">
        <f ca="1">F780*H780</f>
        <v>36000</v>
      </c>
      <c r="H780" s="11">
        <v>1</v>
      </c>
      <c r="I780" s="11" t="s">
        <v>13</v>
      </c>
      <c r="J780" s="11" t="s">
        <v>10</v>
      </c>
      <c r="K780">
        <v>36000</v>
      </c>
      <c r="L780">
        <f t="shared" si="482"/>
        <v>1</v>
      </c>
      <c r="M780" s="23">
        <f t="shared" ca="1" si="487"/>
        <v>36000</v>
      </c>
    </row>
    <row r="781" spans="1:13" ht="21" customHeight="1" outlineLevel="2" x14ac:dyDescent="0.25">
      <c r="A781" s="11" t="str">
        <f t="shared" si="483"/>
        <v>ВЩО-15 (ВРУ-8504-3ВП-5-25-0-30) (15 секция)</v>
      </c>
      <c r="B781" s="11" t="s">
        <v>11</v>
      </c>
      <c r="C781" s="11" t="s">
        <v>11</v>
      </c>
      <c r="D781" s="11" t="s">
        <v>11</v>
      </c>
      <c r="E781" s="11">
        <v>6</v>
      </c>
      <c r="F781" s="13">
        <v>100</v>
      </c>
      <c r="G781" s="13">
        <f t="shared" ref="G781" si="489">F781*H781</f>
        <v>36000</v>
      </c>
      <c r="H781" s="11">
        <f>60*E781</f>
        <v>360</v>
      </c>
      <c r="I781" s="11" t="s">
        <v>13</v>
      </c>
      <c r="J781" s="11" t="s">
        <v>11</v>
      </c>
      <c r="K781">
        <v>36000</v>
      </c>
      <c r="L781">
        <f t="shared" si="482"/>
        <v>1</v>
      </c>
      <c r="M781" s="23">
        <f t="shared" si="487"/>
        <v>36000</v>
      </c>
    </row>
    <row r="782" spans="1:13" ht="21" customHeight="1" outlineLevel="1" x14ac:dyDescent="0.25">
      <c r="A782" s="11" t="s">
        <v>362</v>
      </c>
      <c r="B782" s="11"/>
      <c r="C782" s="11"/>
      <c r="D782" s="11"/>
      <c r="E782" s="11"/>
      <c r="F782" s="13"/>
      <c r="G782" s="13">
        <f ca="1">SUBTOTAL(9,G767:G781)</f>
        <v>207490.99999999997</v>
      </c>
      <c r="H782" s="11"/>
      <c r="I782" s="11"/>
      <c r="J782" s="11"/>
      <c r="K782">
        <v>207490.99999999997</v>
      </c>
      <c r="L782">
        <f t="shared" si="482"/>
        <v>1</v>
      </c>
      <c r="M782" s="23">
        <f t="shared" ca="1" si="487"/>
        <v>207490.99999999997</v>
      </c>
    </row>
    <row r="783" spans="1:13" ht="39.75" customHeight="1" outlineLevel="2" x14ac:dyDescent="0.25">
      <c r="A783" s="4" t="str">
        <f>D783</f>
        <v>РЩО-15 (ВРУ-8504-3ВП-5-25-0-30) (15 секция)</v>
      </c>
      <c r="B783" s="5"/>
      <c r="C783" s="17"/>
      <c r="D783" s="5" t="s">
        <v>192</v>
      </c>
      <c r="E783" s="7"/>
      <c r="F783" s="7"/>
      <c r="G783" s="8"/>
      <c r="H783" s="9">
        <v>1</v>
      </c>
      <c r="I783" s="10" t="s">
        <v>7</v>
      </c>
      <c r="J783" s="5" t="s">
        <v>9</v>
      </c>
      <c r="L783">
        <f>H783</f>
        <v>1</v>
      </c>
      <c r="M783" s="23">
        <f t="shared" si="487"/>
        <v>0</v>
      </c>
    </row>
    <row r="784" spans="1:13" ht="21" customHeight="1" outlineLevel="2" x14ac:dyDescent="0.25">
      <c r="A784" s="11" t="str">
        <f>A783</f>
        <v>РЩО-15 (ВРУ-8504-3ВП-5-25-0-30) (15 секция)</v>
      </c>
      <c r="B784" s="12" t="s">
        <v>8</v>
      </c>
      <c r="C784" s="18" t="s">
        <v>250</v>
      </c>
      <c r="D784" s="11" t="s">
        <v>251</v>
      </c>
      <c r="E784" s="12">
        <v>160000</v>
      </c>
      <c r="F784" s="13">
        <f>0.6*E784</f>
        <v>96000</v>
      </c>
      <c r="G784" s="13">
        <f>H784*F784</f>
        <v>96000</v>
      </c>
      <c r="H784" s="14">
        <v>1</v>
      </c>
      <c r="I784" s="15" t="s">
        <v>13</v>
      </c>
      <c r="J784" s="12" t="s">
        <v>16</v>
      </c>
      <c r="K784">
        <v>96000</v>
      </c>
      <c r="L784">
        <f t="shared" ref="L784:L796" si="490">L783</f>
        <v>1</v>
      </c>
      <c r="M784" s="23">
        <f t="shared" si="487"/>
        <v>96000</v>
      </c>
    </row>
    <row r="785" spans="1:13" ht="21" customHeight="1" outlineLevel="2" x14ac:dyDescent="0.25">
      <c r="A785" s="11" t="str">
        <f t="shared" ref="A785:A795" si="491">A784</f>
        <v>РЩО-15 (ВРУ-8504-3ВП-5-25-0-30) (15 секция)</v>
      </c>
      <c r="B785" s="12" t="s">
        <v>64</v>
      </c>
      <c r="C785" s="18">
        <v>398044</v>
      </c>
      <c r="D785" s="11" t="s">
        <v>61</v>
      </c>
      <c r="E785" s="12">
        <v>3112</v>
      </c>
      <c r="F785" s="13">
        <f t="shared" ref="F785:F792" si="492">E785*0.6</f>
        <v>1867.1999999999998</v>
      </c>
      <c r="G785" s="13">
        <f>F785*H785</f>
        <v>1867.1999999999998</v>
      </c>
      <c r="H785" s="14">
        <v>1</v>
      </c>
      <c r="I785" s="15" t="s">
        <v>13</v>
      </c>
      <c r="J785" s="12" t="s">
        <v>36</v>
      </c>
      <c r="K785">
        <v>1867.1999999999998</v>
      </c>
      <c r="L785">
        <f t="shared" si="490"/>
        <v>1</v>
      </c>
      <c r="M785" s="23">
        <f t="shared" si="487"/>
        <v>1867.1999999999998</v>
      </c>
    </row>
    <row r="786" spans="1:13" ht="21" customHeight="1" outlineLevel="2" x14ac:dyDescent="0.25">
      <c r="A786" s="11" t="str">
        <f t="shared" si="491"/>
        <v>РЩО-15 (ВРУ-8504-3ВП-5-25-0-30) (15 секция)</v>
      </c>
      <c r="B786" s="12" t="s">
        <v>64</v>
      </c>
      <c r="C786" s="18">
        <v>193182</v>
      </c>
      <c r="D786" s="11" t="s">
        <v>84</v>
      </c>
      <c r="E786" s="12">
        <v>2493</v>
      </c>
      <c r="F786" s="13">
        <f t="shared" si="492"/>
        <v>1495.8</v>
      </c>
      <c r="G786" s="13">
        <f t="shared" ref="G786:G793" si="493">F786*H786</f>
        <v>1495.8</v>
      </c>
      <c r="H786" s="14">
        <v>1</v>
      </c>
      <c r="I786" s="15" t="s">
        <v>13</v>
      </c>
      <c r="J786" s="12" t="s">
        <v>36</v>
      </c>
      <c r="K786">
        <v>1495.8</v>
      </c>
      <c r="L786">
        <f t="shared" si="490"/>
        <v>1</v>
      </c>
      <c r="M786" s="23">
        <f t="shared" si="487"/>
        <v>1495.8</v>
      </c>
    </row>
    <row r="787" spans="1:13" ht="21" customHeight="1" outlineLevel="2" x14ac:dyDescent="0.25">
      <c r="A787" s="11" t="str">
        <f t="shared" si="491"/>
        <v>РЩО-15 (ВРУ-8504-3ВП-5-25-0-30) (15 секция)</v>
      </c>
      <c r="B787" s="12" t="s">
        <v>64</v>
      </c>
      <c r="C787" s="18">
        <v>398043</v>
      </c>
      <c r="D787" s="11" t="s">
        <v>63</v>
      </c>
      <c r="E787" s="12">
        <v>2493</v>
      </c>
      <c r="F787" s="13">
        <f t="shared" si="492"/>
        <v>1495.8</v>
      </c>
      <c r="G787" s="13">
        <f t="shared" si="493"/>
        <v>4487.3999999999996</v>
      </c>
      <c r="H787" s="14">
        <v>3</v>
      </c>
      <c r="I787" s="15" t="s">
        <v>13</v>
      </c>
      <c r="J787" s="12" t="s">
        <v>36</v>
      </c>
      <c r="K787">
        <v>4487.3999999999996</v>
      </c>
      <c r="L787">
        <f t="shared" si="490"/>
        <v>1</v>
      </c>
      <c r="M787" s="23">
        <f t="shared" si="487"/>
        <v>4487.3999999999996</v>
      </c>
    </row>
    <row r="788" spans="1:13" ht="21" customHeight="1" outlineLevel="2" x14ac:dyDescent="0.25">
      <c r="A788" s="11" t="str">
        <f t="shared" si="491"/>
        <v>РЩО-15 (ВРУ-8504-3ВП-5-25-0-30) (15 секция)</v>
      </c>
      <c r="B788" s="12" t="s">
        <v>12</v>
      </c>
      <c r="C788" s="18">
        <v>813876</v>
      </c>
      <c r="D788" s="11" t="s">
        <v>85</v>
      </c>
      <c r="E788" s="12">
        <v>9555</v>
      </c>
      <c r="F788" s="13">
        <f t="shared" si="492"/>
        <v>5733</v>
      </c>
      <c r="G788" s="13">
        <f t="shared" si="493"/>
        <v>5733</v>
      </c>
      <c r="H788" s="14">
        <v>1</v>
      </c>
      <c r="I788" s="15" t="s">
        <v>13</v>
      </c>
      <c r="J788" s="12" t="s">
        <v>36</v>
      </c>
      <c r="K788">
        <v>5733</v>
      </c>
      <c r="L788">
        <f t="shared" si="490"/>
        <v>1</v>
      </c>
      <c r="M788" s="23">
        <f t="shared" si="487"/>
        <v>5733</v>
      </c>
    </row>
    <row r="789" spans="1:13" ht="21" customHeight="1" outlineLevel="2" x14ac:dyDescent="0.25">
      <c r="A789" s="11" t="str">
        <f t="shared" si="491"/>
        <v>РЩО-15 (ВРУ-8504-3ВП-5-25-0-30) (15 секция)</v>
      </c>
      <c r="B789" s="12" t="s">
        <v>12</v>
      </c>
      <c r="C789" s="18">
        <v>813874</v>
      </c>
      <c r="D789" s="11" t="s">
        <v>86</v>
      </c>
      <c r="E789" s="12">
        <v>10010</v>
      </c>
      <c r="F789" s="13">
        <f t="shared" si="492"/>
        <v>6006</v>
      </c>
      <c r="G789" s="13">
        <f t="shared" si="493"/>
        <v>6006</v>
      </c>
      <c r="H789" s="14">
        <v>1</v>
      </c>
      <c r="I789" s="15" t="s">
        <v>13</v>
      </c>
      <c r="J789" s="12" t="s">
        <v>36</v>
      </c>
      <c r="K789">
        <v>6006</v>
      </c>
      <c r="L789">
        <f t="shared" si="490"/>
        <v>1</v>
      </c>
      <c r="M789" s="23">
        <f t="shared" si="487"/>
        <v>6006</v>
      </c>
    </row>
    <row r="790" spans="1:13" ht="21" customHeight="1" outlineLevel="2" x14ac:dyDescent="0.25">
      <c r="A790" s="11" t="str">
        <f t="shared" si="491"/>
        <v>РЩО-15 (ВРУ-8504-3ВП-5-25-0-30) (15 секция)</v>
      </c>
      <c r="B790" s="12" t="s">
        <v>12</v>
      </c>
      <c r="C790" s="18">
        <v>813873</v>
      </c>
      <c r="D790" s="11" t="s">
        <v>87</v>
      </c>
      <c r="E790" s="12">
        <v>9009</v>
      </c>
      <c r="F790" s="13">
        <f t="shared" si="492"/>
        <v>5405.4</v>
      </c>
      <c r="G790" s="13">
        <f t="shared" si="493"/>
        <v>5405.4</v>
      </c>
      <c r="H790" s="14">
        <v>1</v>
      </c>
      <c r="I790" s="15" t="s">
        <v>13</v>
      </c>
      <c r="J790" s="12" t="s">
        <v>36</v>
      </c>
      <c r="K790">
        <v>5405.4</v>
      </c>
      <c r="L790">
        <f t="shared" si="490"/>
        <v>1</v>
      </c>
      <c r="M790" s="23">
        <f t="shared" si="487"/>
        <v>5405.4</v>
      </c>
    </row>
    <row r="791" spans="1:13" ht="21" customHeight="1" outlineLevel="2" x14ac:dyDescent="0.25">
      <c r="A791" s="11" t="str">
        <f t="shared" si="491"/>
        <v>РЩО-15 (ВРУ-8504-3ВП-5-25-0-30) (15 секция)</v>
      </c>
      <c r="B791" s="12" t="s">
        <v>12</v>
      </c>
      <c r="C791" s="18">
        <v>813872</v>
      </c>
      <c r="D791" s="11" t="s">
        <v>62</v>
      </c>
      <c r="E791" s="12">
        <v>10101</v>
      </c>
      <c r="F791" s="13">
        <f t="shared" si="492"/>
        <v>6060.5999999999995</v>
      </c>
      <c r="G791" s="13">
        <f t="shared" si="493"/>
        <v>12121.199999999999</v>
      </c>
      <c r="H791" s="14">
        <v>2</v>
      </c>
      <c r="I791" s="15" t="s">
        <v>13</v>
      </c>
      <c r="J791" s="12" t="s">
        <v>36</v>
      </c>
      <c r="K791">
        <v>12121.199999999999</v>
      </c>
      <c r="L791">
        <f t="shared" si="490"/>
        <v>1</v>
      </c>
      <c r="M791" s="23">
        <f t="shared" si="487"/>
        <v>12121.199999999999</v>
      </c>
    </row>
    <row r="792" spans="1:13" ht="21" customHeight="1" outlineLevel="2" x14ac:dyDescent="0.25">
      <c r="A792" s="11" t="str">
        <f t="shared" si="491"/>
        <v>РЩО-15 (ВРУ-8504-3ВП-5-25-0-30) (15 секция)</v>
      </c>
      <c r="B792" s="12" t="s">
        <v>12</v>
      </c>
      <c r="C792" s="18">
        <v>296708</v>
      </c>
      <c r="D792" s="11" t="s">
        <v>31</v>
      </c>
      <c r="E792" s="12">
        <v>828</v>
      </c>
      <c r="F792" s="13">
        <f t="shared" si="492"/>
        <v>496.79999999999995</v>
      </c>
      <c r="G792" s="13">
        <f t="shared" si="493"/>
        <v>1490.3999999999999</v>
      </c>
      <c r="H792" s="14">
        <v>3</v>
      </c>
      <c r="I792" s="15" t="s">
        <v>13</v>
      </c>
      <c r="J792" s="12" t="s">
        <v>36</v>
      </c>
      <c r="K792">
        <v>1490.3999999999999</v>
      </c>
      <c r="L792">
        <f t="shared" si="490"/>
        <v>1</v>
      </c>
      <c r="M792" s="23">
        <f t="shared" si="487"/>
        <v>1490.3999999999999</v>
      </c>
    </row>
    <row r="793" spans="1:13" ht="21" customHeight="1" outlineLevel="2" x14ac:dyDescent="0.25">
      <c r="A793" s="11" t="str">
        <f t="shared" si="491"/>
        <v>РЩО-15 (ВРУ-8504-3ВП-5-25-0-30) (15 секция)</v>
      </c>
      <c r="B793" s="12" t="s">
        <v>47</v>
      </c>
      <c r="C793" s="18" t="s">
        <v>233</v>
      </c>
      <c r="D793" s="11" t="s">
        <v>234</v>
      </c>
      <c r="E793" s="12">
        <v>664</v>
      </c>
      <c r="F793" s="13">
        <f>E793</f>
        <v>664</v>
      </c>
      <c r="G793" s="13">
        <f t="shared" si="493"/>
        <v>2656</v>
      </c>
      <c r="H793" s="14">
        <v>4</v>
      </c>
      <c r="I793" s="15" t="s">
        <v>235</v>
      </c>
      <c r="J793" s="12" t="s">
        <v>20</v>
      </c>
      <c r="K793">
        <v>2656</v>
      </c>
      <c r="L793">
        <f t="shared" si="490"/>
        <v>1</v>
      </c>
      <c r="M793" s="23">
        <f t="shared" si="487"/>
        <v>2656</v>
      </c>
    </row>
    <row r="794" spans="1:13" ht="24" customHeight="1" outlineLevel="2" x14ac:dyDescent="0.25">
      <c r="A794" s="11" t="str">
        <f t="shared" si="491"/>
        <v>РЩО-15 (ВРУ-8504-3ВП-5-25-0-30) (15 секция)</v>
      </c>
      <c r="B794" s="11" t="s">
        <v>10</v>
      </c>
      <c r="C794" s="11" t="s">
        <v>10</v>
      </c>
      <c r="D794" s="11" t="s">
        <v>10</v>
      </c>
      <c r="E794" s="11">
        <f ca="1">OFFSET(E794,1,2)</f>
        <v>36000</v>
      </c>
      <c r="F794" s="13">
        <f ca="1">E794</f>
        <v>36000</v>
      </c>
      <c r="G794" s="13">
        <f ca="1">F794*H794</f>
        <v>36000</v>
      </c>
      <c r="H794" s="11">
        <v>1</v>
      </c>
      <c r="I794" s="11" t="s">
        <v>13</v>
      </c>
      <c r="J794" s="11" t="s">
        <v>10</v>
      </c>
      <c r="K794">
        <v>36000</v>
      </c>
      <c r="L794">
        <f t="shared" si="490"/>
        <v>1</v>
      </c>
      <c r="M794" s="23">
        <f t="shared" ca="1" si="487"/>
        <v>36000</v>
      </c>
    </row>
    <row r="795" spans="1:13" ht="21" customHeight="1" outlineLevel="2" x14ac:dyDescent="0.25">
      <c r="A795" s="11" t="str">
        <f t="shared" si="491"/>
        <v>РЩО-15 (ВРУ-8504-3ВП-5-25-0-30) (15 секция)</v>
      </c>
      <c r="B795" s="11" t="s">
        <v>11</v>
      </c>
      <c r="C795" s="11" t="s">
        <v>11</v>
      </c>
      <c r="D795" s="11" t="s">
        <v>11</v>
      </c>
      <c r="E795" s="11">
        <v>6</v>
      </c>
      <c r="F795" s="13">
        <v>100</v>
      </c>
      <c r="G795" s="13">
        <f t="shared" ref="G795" si="494">F795*H795</f>
        <v>36000</v>
      </c>
      <c r="H795" s="11">
        <f>60*E795</f>
        <v>360</v>
      </c>
      <c r="I795" s="11" t="s">
        <v>13</v>
      </c>
      <c r="J795" s="11" t="s">
        <v>11</v>
      </c>
      <c r="K795">
        <v>36000</v>
      </c>
      <c r="L795">
        <f t="shared" si="490"/>
        <v>1</v>
      </c>
      <c r="M795" s="23">
        <f t="shared" si="487"/>
        <v>36000</v>
      </c>
    </row>
    <row r="796" spans="1:13" ht="21" customHeight="1" outlineLevel="1" x14ac:dyDescent="0.25">
      <c r="A796" s="11" t="s">
        <v>363</v>
      </c>
      <c r="B796" s="11"/>
      <c r="C796" s="11"/>
      <c r="D796" s="11"/>
      <c r="E796" s="11"/>
      <c r="F796" s="13"/>
      <c r="G796" s="13">
        <f ca="1">SUBTOTAL(9,G783:G795)</f>
        <v>209262.4</v>
      </c>
      <c r="H796" s="11"/>
      <c r="I796" s="11"/>
      <c r="J796" s="11"/>
      <c r="K796">
        <v>209262.4</v>
      </c>
      <c r="L796">
        <f t="shared" si="490"/>
        <v>1</v>
      </c>
      <c r="M796" s="23">
        <f t="shared" ca="1" si="487"/>
        <v>209262.4</v>
      </c>
    </row>
    <row r="797" spans="1:13" ht="39.75" customHeight="1" outlineLevel="2" x14ac:dyDescent="0.25">
      <c r="A797" s="4" t="str">
        <f>D797</f>
        <v>Щит освещения (ПР-1) (15 секция)</v>
      </c>
      <c r="B797" s="5"/>
      <c r="C797" s="17"/>
      <c r="D797" s="5" t="s">
        <v>118</v>
      </c>
      <c r="E797" s="7"/>
      <c r="F797" s="7"/>
      <c r="G797" s="8"/>
      <c r="H797" s="9">
        <v>1</v>
      </c>
      <c r="I797" s="10" t="s">
        <v>7</v>
      </c>
      <c r="J797" s="5" t="s">
        <v>9</v>
      </c>
      <c r="L797">
        <f>H797</f>
        <v>1</v>
      </c>
      <c r="M797" s="23">
        <f t="shared" si="487"/>
        <v>0</v>
      </c>
    </row>
    <row r="798" spans="1:13" ht="21" customHeight="1" outlineLevel="2" x14ac:dyDescent="0.25">
      <c r="A798" s="11" t="str">
        <f>A797</f>
        <v>Щит освещения (ПР-1) (15 секция)</v>
      </c>
      <c r="B798" s="12" t="s">
        <v>8</v>
      </c>
      <c r="C798" s="18" t="s">
        <v>253</v>
      </c>
      <c r="D798" s="11" t="s">
        <v>88</v>
      </c>
      <c r="E798" s="12">
        <v>30500</v>
      </c>
      <c r="F798" s="13">
        <f>0.6*E798</f>
        <v>18300</v>
      </c>
      <c r="G798" s="13">
        <f>H798*F798</f>
        <v>18300</v>
      </c>
      <c r="H798" s="14">
        <v>1</v>
      </c>
      <c r="I798" s="15" t="s">
        <v>13</v>
      </c>
      <c r="J798" s="12" t="s">
        <v>16</v>
      </c>
      <c r="K798">
        <v>18300</v>
      </c>
      <c r="L798">
        <f t="shared" ref="L798:L802" si="495">L797</f>
        <v>1</v>
      </c>
      <c r="M798" s="23">
        <f t="shared" si="487"/>
        <v>18300</v>
      </c>
    </row>
    <row r="799" spans="1:13" ht="21" customHeight="1" outlineLevel="2" x14ac:dyDescent="0.25">
      <c r="A799" s="11" t="str">
        <f t="shared" ref="A799:A801" si="496">A798</f>
        <v>Щит освещения (ПР-1) (15 секция)</v>
      </c>
      <c r="B799" s="12" t="s">
        <v>64</v>
      </c>
      <c r="C799" s="18">
        <v>398043</v>
      </c>
      <c r="D799" s="11" t="s">
        <v>63</v>
      </c>
      <c r="E799" s="12">
        <v>2493</v>
      </c>
      <c r="F799" s="13">
        <f>E799*0.6</f>
        <v>1495.8</v>
      </c>
      <c r="G799" s="13">
        <f>F799*H799</f>
        <v>1495.8</v>
      </c>
      <c r="H799" s="14">
        <v>1</v>
      </c>
      <c r="I799" s="15" t="s">
        <v>13</v>
      </c>
      <c r="J799" s="12" t="s">
        <v>36</v>
      </c>
      <c r="K799">
        <v>1495.8</v>
      </c>
      <c r="L799">
        <f t="shared" si="495"/>
        <v>1</v>
      </c>
      <c r="M799" s="23">
        <f t="shared" si="487"/>
        <v>1495.8</v>
      </c>
    </row>
    <row r="800" spans="1:13" ht="24" customHeight="1" outlineLevel="2" x14ac:dyDescent="0.25">
      <c r="A800" s="11" t="str">
        <f t="shared" si="496"/>
        <v>Щит освещения (ПР-1) (15 секция)</v>
      </c>
      <c r="B800" s="11" t="s">
        <v>10</v>
      </c>
      <c r="C800" s="11" t="s">
        <v>10</v>
      </c>
      <c r="D800" s="11" t="s">
        <v>10</v>
      </c>
      <c r="E800" s="11">
        <f ca="1">OFFSET(E800,1,2)</f>
        <v>18000</v>
      </c>
      <c r="F800" s="13">
        <f ca="1">E800</f>
        <v>18000</v>
      </c>
      <c r="G800" s="13">
        <f ca="1">F800*H800</f>
        <v>18000</v>
      </c>
      <c r="H800" s="11">
        <v>1</v>
      </c>
      <c r="I800" s="11" t="s">
        <v>13</v>
      </c>
      <c r="J800" s="11" t="s">
        <v>10</v>
      </c>
      <c r="K800">
        <v>18000</v>
      </c>
      <c r="L800">
        <f t="shared" si="495"/>
        <v>1</v>
      </c>
      <c r="M800" s="23">
        <f t="shared" ca="1" si="487"/>
        <v>18000</v>
      </c>
    </row>
    <row r="801" spans="1:13" ht="21" customHeight="1" outlineLevel="2" x14ac:dyDescent="0.25">
      <c r="A801" s="11" t="str">
        <f t="shared" si="496"/>
        <v>Щит освещения (ПР-1) (15 секция)</v>
      </c>
      <c r="B801" s="11" t="s">
        <v>11</v>
      </c>
      <c r="C801" s="11" t="s">
        <v>11</v>
      </c>
      <c r="D801" s="11" t="s">
        <v>11</v>
      </c>
      <c r="E801" s="11">
        <v>3</v>
      </c>
      <c r="F801" s="13">
        <v>100</v>
      </c>
      <c r="G801" s="13">
        <f t="shared" ref="G801" si="497">F801*H801</f>
        <v>18000</v>
      </c>
      <c r="H801" s="11">
        <f>60*E801</f>
        <v>180</v>
      </c>
      <c r="I801" s="11" t="s">
        <v>13</v>
      </c>
      <c r="J801" s="11" t="s">
        <v>11</v>
      </c>
      <c r="K801">
        <v>18000</v>
      </c>
      <c r="L801">
        <f t="shared" si="495"/>
        <v>1</v>
      </c>
      <c r="M801" s="23">
        <f t="shared" si="487"/>
        <v>18000</v>
      </c>
    </row>
    <row r="802" spans="1:13" ht="21" customHeight="1" outlineLevel="1" x14ac:dyDescent="0.25">
      <c r="A802" s="11" t="s">
        <v>364</v>
      </c>
      <c r="B802" s="11"/>
      <c r="C802" s="11"/>
      <c r="D802" s="11"/>
      <c r="E802" s="11"/>
      <c r="F802" s="13"/>
      <c r="G802" s="13">
        <f ca="1">SUBTOTAL(9,G797:G801)</f>
        <v>55795.8</v>
      </c>
      <c r="H802" s="11"/>
      <c r="I802" s="11"/>
      <c r="J802" s="11"/>
      <c r="K802">
        <v>55795.8</v>
      </c>
      <c r="L802">
        <f t="shared" si="495"/>
        <v>1</v>
      </c>
      <c r="M802" s="23">
        <f t="shared" ca="1" si="487"/>
        <v>55795.8</v>
      </c>
    </row>
    <row r="803" spans="1:13" ht="39.75" customHeight="1" outlineLevel="2" x14ac:dyDescent="0.25">
      <c r="A803" s="4" t="str">
        <f>D803</f>
        <v>Щит освещения (ПР-3), (ПР-4), (ПР-5), (ПР-6) (15 секция)</v>
      </c>
      <c r="B803" s="5"/>
      <c r="C803" s="17"/>
      <c r="D803" s="5" t="s">
        <v>119</v>
      </c>
      <c r="E803" s="7"/>
      <c r="F803" s="7"/>
      <c r="G803" s="8"/>
      <c r="H803" s="9">
        <v>4</v>
      </c>
      <c r="I803" s="10" t="s">
        <v>7</v>
      </c>
      <c r="J803" s="5" t="s">
        <v>9</v>
      </c>
      <c r="L803">
        <f>H803</f>
        <v>4</v>
      </c>
      <c r="M803" s="23">
        <f t="shared" si="487"/>
        <v>0</v>
      </c>
    </row>
    <row r="804" spans="1:13" ht="21" customHeight="1" outlineLevel="2" x14ac:dyDescent="0.25">
      <c r="A804" s="11" t="str">
        <f>A803</f>
        <v>Щит освещения (ПР-3), (ПР-4), (ПР-5), (ПР-6) (15 секция)</v>
      </c>
      <c r="B804" s="12" t="s">
        <v>8</v>
      </c>
      <c r="C804" s="18" t="s">
        <v>253</v>
      </c>
      <c r="D804" s="11" t="s">
        <v>88</v>
      </c>
      <c r="E804" s="12">
        <v>30500</v>
      </c>
      <c r="F804" s="13">
        <f>0.6*E804</f>
        <v>18300</v>
      </c>
      <c r="G804" s="13">
        <f>H804*F804</f>
        <v>18300</v>
      </c>
      <c r="H804" s="14">
        <v>1</v>
      </c>
      <c r="I804" s="15" t="s">
        <v>13</v>
      </c>
      <c r="J804" s="12" t="s">
        <v>16</v>
      </c>
      <c r="K804">
        <v>18300</v>
      </c>
      <c r="L804">
        <f t="shared" ref="L804:L808" si="498">L803</f>
        <v>4</v>
      </c>
      <c r="M804" s="23">
        <f t="shared" si="487"/>
        <v>73200</v>
      </c>
    </row>
    <row r="805" spans="1:13" ht="21" customHeight="1" outlineLevel="2" x14ac:dyDescent="0.25">
      <c r="A805" s="11" t="str">
        <f t="shared" ref="A805:A807" si="499">A804</f>
        <v>Щит освещения (ПР-3), (ПР-4), (ПР-5), (ПР-6) (15 секция)</v>
      </c>
      <c r="B805" s="12" t="s">
        <v>64</v>
      </c>
      <c r="C805" s="18">
        <v>193180</v>
      </c>
      <c r="D805" s="11" t="s">
        <v>60</v>
      </c>
      <c r="E805" s="12">
        <v>2493</v>
      </c>
      <c r="F805" s="13">
        <f>E805*0.6</f>
        <v>1495.8</v>
      </c>
      <c r="G805" s="13">
        <f t="shared" ref="G805" si="500">F805*H805</f>
        <v>1495.8</v>
      </c>
      <c r="H805" s="14">
        <v>1</v>
      </c>
      <c r="I805" s="15" t="s">
        <v>13</v>
      </c>
      <c r="J805" s="12" t="s">
        <v>36</v>
      </c>
      <c r="K805">
        <v>1495.8</v>
      </c>
      <c r="L805">
        <f t="shared" si="498"/>
        <v>4</v>
      </c>
      <c r="M805" s="23">
        <f t="shared" si="487"/>
        <v>5983.2</v>
      </c>
    </row>
    <row r="806" spans="1:13" ht="24" customHeight="1" outlineLevel="2" x14ac:dyDescent="0.25">
      <c r="A806" s="11" t="str">
        <f t="shared" si="499"/>
        <v>Щит освещения (ПР-3), (ПР-4), (ПР-5), (ПР-6) (15 секция)</v>
      </c>
      <c r="B806" s="11" t="s">
        <v>10</v>
      </c>
      <c r="C806" s="11" t="s">
        <v>10</v>
      </c>
      <c r="D806" s="11" t="s">
        <v>10</v>
      </c>
      <c r="E806" s="11">
        <f ca="1">OFFSET(E806,1,2)</f>
        <v>3000</v>
      </c>
      <c r="F806" s="13">
        <f ca="1">E806</f>
        <v>3000</v>
      </c>
      <c r="G806" s="13">
        <f ca="1">F806*H806</f>
        <v>3000</v>
      </c>
      <c r="H806" s="11">
        <v>1</v>
      </c>
      <c r="I806" s="11" t="s">
        <v>13</v>
      </c>
      <c r="J806" s="11" t="s">
        <v>10</v>
      </c>
      <c r="K806">
        <v>3000</v>
      </c>
      <c r="L806">
        <f t="shared" si="498"/>
        <v>4</v>
      </c>
      <c r="M806" s="23">
        <f t="shared" ca="1" si="487"/>
        <v>12000</v>
      </c>
    </row>
    <row r="807" spans="1:13" ht="21" customHeight="1" outlineLevel="2" x14ac:dyDescent="0.25">
      <c r="A807" s="11" t="str">
        <f t="shared" si="499"/>
        <v>Щит освещения (ПР-3), (ПР-4), (ПР-5), (ПР-6) (15 секция)</v>
      </c>
      <c r="B807" s="11" t="s">
        <v>11</v>
      </c>
      <c r="C807" s="11" t="s">
        <v>11</v>
      </c>
      <c r="D807" s="11" t="s">
        <v>11</v>
      </c>
      <c r="E807" s="11">
        <v>0.5</v>
      </c>
      <c r="F807" s="13">
        <v>100</v>
      </c>
      <c r="G807" s="13">
        <f t="shared" ref="G807" si="501">F807*H807</f>
        <v>3000</v>
      </c>
      <c r="H807" s="11">
        <f>60*E807</f>
        <v>30</v>
      </c>
      <c r="I807" s="11" t="s">
        <v>13</v>
      </c>
      <c r="J807" s="11" t="s">
        <v>11</v>
      </c>
      <c r="K807">
        <v>3000</v>
      </c>
      <c r="L807">
        <f t="shared" si="498"/>
        <v>4</v>
      </c>
      <c r="M807" s="23">
        <f t="shared" si="487"/>
        <v>12000</v>
      </c>
    </row>
    <row r="808" spans="1:13" ht="21" customHeight="1" outlineLevel="1" x14ac:dyDescent="0.25">
      <c r="A808" s="11" t="s">
        <v>365</v>
      </c>
      <c r="B808" s="11"/>
      <c r="C808" s="11"/>
      <c r="D808" s="11"/>
      <c r="E808" s="11"/>
      <c r="F808" s="13"/>
      <c r="G808" s="13">
        <f ca="1">SUBTOTAL(9,G803:G807)</f>
        <v>25795.8</v>
      </c>
      <c r="H808" s="11"/>
      <c r="I808" s="11"/>
      <c r="J808" s="11"/>
      <c r="K808">
        <v>25795.8</v>
      </c>
      <c r="L808">
        <f t="shared" si="498"/>
        <v>4</v>
      </c>
      <c r="M808" s="23">
        <f t="shared" ca="1" si="487"/>
        <v>103183.2</v>
      </c>
    </row>
    <row r="809" spans="1:13" ht="39.75" customHeight="1" outlineLevel="2" x14ac:dyDescent="0.25">
      <c r="A809" s="4" t="str">
        <f>D809</f>
        <v>ЯУО 9601-3474 (15 секция)</v>
      </c>
      <c r="B809" s="5"/>
      <c r="C809" s="17"/>
      <c r="D809" s="5" t="s">
        <v>120</v>
      </c>
      <c r="E809" s="7"/>
      <c r="F809" s="7"/>
      <c r="G809" s="8"/>
      <c r="H809" s="9">
        <v>1</v>
      </c>
      <c r="I809" s="10" t="s">
        <v>7</v>
      </c>
      <c r="J809" s="5" t="s">
        <v>9</v>
      </c>
      <c r="L809">
        <f>H809</f>
        <v>1</v>
      </c>
      <c r="M809" s="23">
        <f t="shared" si="487"/>
        <v>0</v>
      </c>
    </row>
    <row r="810" spans="1:13" ht="21" customHeight="1" outlineLevel="2" x14ac:dyDescent="0.25">
      <c r="A810" s="11" t="str">
        <f>A809</f>
        <v>ЯУО 9601-3474 (15 секция)</v>
      </c>
      <c r="B810" s="12" t="s">
        <v>8</v>
      </c>
      <c r="C810" s="18" t="s">
        <v>260</v>
      </c>
      <c r="D810" s="11" t="s">
        <v>261</v>
      </c>
      <c r="E810" s="12">
        <v>29000</v>
      </c>
      <c r="F810" s="13">
        <f>0.6*E810</f>
        <v>17400</v>
      </c>
      <c r="G810" s="13">
        <f>H810*F810</f>
        <v>17400</v>
      </c>
      <c r="H810" s="14">
        <v>1</v>
      </c>
      <c r="I810" s="15" t="s">
        <v>13</v>
      </c>
      <c r="J810" s="12" t="s">
        <v>16</v>
      </c>
      <c r="K810">
        <v>17400</v>
      </c>
      <c r="L810">
        <f t="shared" ref="L810:L824" si="502">L809</f>
        <v>1</v>
      </c>
      <c r="M810" s="23">
        <f t="shared" si="487"/>
        <v>17400</v>
      </c>
    </row>
    <row r="811" spans="1:13" ht="21" customHeight="1" outlineLevel="2" x14ac:dyDescent="0.25">
      <c r="A811" s="11" t="str">
        <f t="shared" ref="A811:A823" si="503">A810</f>
        <v>ЯУО 9601-3474 (15 секция)</v>
      </c>
      <c r="B811" s="12" t="s">
        <v>12</v>
      </c>
      <c r="C811" s="18"/>
      <c r="D811" s="11" t="s">
        <v>25</v>
      </c>
      <c r="E811" s="12">
        <v>11273</v>
      </c>
      <c r="F811" s="13">
        <f t="shared" ref="F811:F813" si="504">E811*0.6</f>
        <v>6763.8</v>
      </c>
      <c r="G811" s="13">
        <f>F811*H811</f>
        <v>6763.8</v>
      </c>
      <c r="H811" s="14">
        <v>1</v>
      </c>
      <c r="I811" s="15" t="s">
        <v>13</v>
      </c>
      <c r="J811" s="12" t="s">
        <v>36</v>
      </c>
      <c r="K811">
        <v>6763.8</v>
      </c>
      <c r="L811">
        <f t="shared" si="502"/>
        <v>1</v>
      </c>
      <c r="M811" s="23">
        <f t="shared" si="487"/>
        <v>6763.8</v>
      </c>
    </row>
    <row r="812" spans="1:13" ht="21" customHeight="1" outlineLevel="2" x14ac:dyDescent="0.25">
      <c r="A812" s="11" t="str">
        <f t="shared" si="503"/>
        <v>ЯУО 9601-3474 (15 секция)</v>
      </c>
      <c r="B812" s="12" t="s">
        <v>21</v>
      </c>
      <c r="C812" s="18" t="s">
        <v>27</v>
      </c>
      <c r="D812" s="11" t="s">
        <v>26</v>
      </c>
      <c r="E812" s="12">
        <v>7007</v>
      </c>
      <c r="F812" s="13">
        <f t="shared" si="504"/>
        <v>4204.2</v>
      </c>
      <c r="G812" s="13">
        <f t="shared" ref="G812:G821" si="505">F812*H812</f>
        <v>4204.2</v>
      </c>
      <c r="H812" s="14">
        <v>1</v>
      </c>
      <c r="I812" s="15" t="s">
        <v>13</v>
      </c>
      <c r="J812" s="12" t="s">
        <v>36</v>
      </c>
      <c r="K812">
        <v>4204.2</v>
      </c>
      <c r="L812">
        <f t="shared" si="502"/>
        <v>1</v>
      </c>
      <c r="M812" s="23">
        <f t="shared" si="487"/>
        <v>4204.2</v>
      </c>
    </row>
    <row r="813" spans="1:13" ht="21" customHeight="1" outlineLevel="2" x14ac:dyDescent="0.25">
      <c r="A813" s="11" t="str">
        <f t="shared" si="503"/>
        <v>ЯУО 9601-3474 (15 секция)</v>
      </c>
      <c r="B813" s="12" t="s">
        <v>22</v>
      </c>
      <c r="C813" s="18" t="s">
        <v>29</v>
      </c>
      <c r="D813" s="11" t="s">
        <v>28</v>
      </c>
      <c r="E813" s="12">
        <v>4690</v>
      </c>
      <c r="F813" s="13">
        <f t="shared" si="504"/>
        <v>2814</v>
      </c>
      <c r="G813" s="13">
        <f t="shared" si="505"/>
        <v>2814</v>
      </c>
      <c r="H813" s="14">
        <v>1</v>
      </c>
      <c r="I813" s="15" t="s">
        <v>13</v>
      </c>
      <c r="J813" s="12" t="s">
        <v>36</v>
      </c>
      <c r="K813">
        <v>2814</v>
      </c>
      <c r="L813">
        <f t="shared" si="502"/>
        <v>1</v>
      </c>
      <c r="M813" s="23">
        <f t="shared" si="487"/>
        <v>2814</v>
      </c>
    </row>
    <row r="814" spans="1:13" ht="21" customHeight="1" outlineLevel="2" x14ac:dyDescent="0.25">
      <c r="A814" s="11" t="str">
        <f t="shared" si="503"/>
        <v>ЯУО 9601-3474 (15 секция)</v>
      </c>
      <c r="B814" s="12" t="s">
        <v>37</v>
      </c>
      <c r="C814" s="18"/>
      <c r="D814" s="11" t="s">
        <v>30</v>
      </c>
      <c r="E814" s="12">
        <v>13000</v>
      </c>
      <c r="F814" s="13">
        <f>E814</f>
        <v>13000</v>
      </c>
      <c r="G814" s="13">
        <f t="shared" si="505"/>
        <v>13000</v>
      </c>
      <c r="H814" s="14">
        <v>1</v>
      </c>
      <c r="I814" s="15" t="s">
        <v>13</v>
      </c>
      <c r="J814" s="12" t="s">
        <v>20</v>
      </c>
      <c r="K814">
        <v>13000</v>
      </c>
      <c r="L814">
        <f t="shared" si="502"/>
        <v>1</v>
      </c>
      <c r="M814" s="23">
        <f t="shared" si="487"/>
        <v>13000</v>
      </c>
    </row>
    <row r="815" spans="1:13" ht="21" customHeight="1" outlineLevel="2" x14ac:dyDescent="0.25">
      <c r="A815" s="11" t="str">
        <f t="shared" si="503"/>
        <v>ЯУО 9601-3474 (15 секция)</v>
      </c>
      <c r="B815" s="12" t="s">
        <v>38</v>
      </c>
      <c r="C815" s="18" t="s">
        <v>245</v>
      </c>
      <c r="D815" s="11" t="s">
        <v>246</v>
      </c>
      <c r="E815" s="12">
        <v>7990</v>
      </c>
      <c r="F815" s="13">
        <f>E815*0.6</f>
        <v>4794</v>
      </c>
      <c r="G815" s="13">
        <f t="shared" si="505"/>
        <v>4794</v>
      </c>
      <c r="H815" s="14">
        <v>1</v>
      </c>
      <c r="I815" s="15" t="s">
        <v>13</v>
      </c>
      <c r="J815" s="12" t="s">
        <v>236</v>
      </c>
      <c r="K815">
        <v>4794</v>
      </c>
      <c r="L815">
        <f t="shared" si="502"/>
        <v>1</v>
      </c>
      <c r="M815" s="23">
        <f t="shared" si="487"/>
        <v>4794</v>
      </c>
    </row>
    <row r="816" spans="1:13" ht="21" customHeight="1" outlineLevel="2" x14ac:dyDescent="0.25">
      <c r="A816" s="11" t="str">
        <f t="shared" si="503"/>
        <v>ЯУО 9601-3474 (15 секция)</v>
      </c>
      <c r="B816" s="12" t="s">
        <v>12</v>
      </c>
      <c r="C816" s="18">
        <v>296708</v>
      </c>
      <c r="D816" s="11" t="s">
        <v>31</v>
      </c>
      <c r="E816" s="12">
        <v>828</v>
      </c>
      <c r="F816" s="13">
        <f>E816*0.6</f>
        <v>496.79999999999995</v>
      </c>
      <c r="G816" s="13">
        <f t="shared" si="505"/>
        <v>496.79999999999995</v>
      </c>
      <c r="H816" s="14">
        <v>1</v>
      </c>
      <c r="I816" s="15" t="s">
        <v>13</v>
      </c>
      <c r="J816" s="12" t="s">
        <v>36</v>
      </c>
      <c r="K816">
        <v>496.79999999999995</v>
      </c>
      <c r="L816">
        <f t="shared" si="502"/>
        <v>1</v>
      </c>
      <c r="M816" s="23">
        <f t="shared" si="487"/>
        <v>496.79999999999995</v>
      </c>
    </row>
    <row r="817" spans="1:13" ht="24" customHeight="1" outlineLevel="2" x14ac:dyDescent="0.25">
      <c r="A817" s="11" t="str">
        <f t="shared" si="503"/>
        <v>ЯУО 9601-3474 (15 секция)</v>
      </c>
      <c r="B817" s="12" t="s">
        <v>21</v>
      </c>
      <c r="C817" s="11" t="s">
        <v>248</v>
      </c>
      <c r="D817" s="11" t="s">
        <v>249</v>
      </c>
      <c r="E817" s="11">
        <v>1490</v>
      </c>
      <c r="F817" s="13">
        <f>E817*0.6</f>
        <v>894</v>
      </c>
      <c r="G817" s="13">
        <f t="shared" si="505"/>
        <v>894</v>
      </c>
      <c r="H817" s="11">
        <v>1</v>
      </c>
      <c r="I817" s="11" t="s">
        <v>13</v>
      </c>
      <c r="J817" s="12" t="s">
        <v>276</v>
      </c>
      <c r="K817">
        <v>894</v>
      </c>
      <c r="L817">
        <f t="shared" si="502"/>
        <v>1</v>
      </c>
      <c r="M817" s="23">
        <f t="shared" si="487"/>
        <v>894</v>
      </c>
    </row>
    <row r="818" spans="1:13" ht="21" customHeight="1" outlineLevel="2" x14ac:dyDescent="0.25">
      <c r="A818" s="11" t="str">
        <f t="shared" si="503"/>
        <v>ЯУО 9601-3474 (15 секция)</v>
      </c>
      <c r="B818" s="12" t="s">
        <v>17</v>
      </c>
      <c r="C818" s="11">
        <v>574822</v>
      </c>
      <c r="D818" s="11" t="s">
        <v>32</v>
      </c>
      <c r="E818" s="11">
        <v>934</v>
      </c>
      <c r="F818" s="13">
        <f t="shared" ref="F818:F821" si="506">E818*0.6</f>
        <v>560.4</v>
      </c>
      <c r="G818" s="13">
        <f t="shared" si="505"/>
        <v>1120.8</v>
      </c>
      <c r="H818" s="11">
        <v>2</v>
      </c>
      <c r="I818" s="11" t="s">
        <v>13</v>
      </c>
      <c r="J818" s="12" t="s">
        <v>36</v>
      </c>
      <c r="K818">
        <v>1120.8</v>
      </c>
      <c r="L818">
        <f t="shared" si="502"/>
        <v>1</v>
      </c>
      <c r="M818" s="23">
        <f t="shared" si="487"/>
        <v>1120.8</v>
      </c>
    </row>
    <row r="819" spans="1:13" ht="21" customHeight="1" outlineLevel="2" x14ac:dyDescent="0.25">
      <c r="A819" s="11" t="str">
        <f t="shared" si="503"/>
        <v>ЯУО 9601-3474 (15 секция)</v>
      </c>
      <c r="B819" s="12" t="s">
        <v>39</v>
      </c>
      <c r="C819" s="18">
        <v>593150</v>
      </c>
      <c r="D819" s="11" t="s">
        <v>33</v>
      </c>
      <c r="E819" s="12">
        <v>439</v>
      </c>
      <c r="F819" s="13">
        <f t="shared" si="506"/>
        <v>263.39999999999998</v>
      </c>
      <c r="G819" s="13">
        <f t="shared" si="505"/>
        <v>263.39999999999998</v>
      </c>
      <c r="H819" s="14">
        <v>1</v>
      </c>
      <c r="I819" s="15" t="s">
        <v>19</v>
      </c>
      <c r="J819" s="12" t="s">
        <v>36</v>
      </c>
      <c r="K819">
        <v>263.39999999999998</v>
      </c>
      <c r="L819">
        <f t="shared" si="502"/>
        <v>1</v>
      </c>
      <c r="M819" s="23">
        <f t="shared" si="487"/>
        <v>263.39999999999998</v>
      </c>
    </row>
    <row r="820" spans="1:13" ht="21" customHeight="1" outlineLevel="2" x14ac:dyDescent="0.25">
      <c r="A820" s="11" t="str">
        <f t="shared" si="503"/>
        <v>ЯУО 9601-3474 (15 секция)</v>
      </c>
      <c r="B820" s="12" t="s">
        <v>24</v>
      </c>
      <c r="C820" s="18">
        <v>574842</v>
      </c>
      <c r="D820" s="11" t="s">
        <v>34</v>
      </c>
      <c r="E820" s="12">
        <v>960</v>
      </c>
      <c r="F820" s="13">
        <f t="shared" si="506"/>
        <v>576</v>
      </c>
      <c r="G820" s="13">
        <f t="shared" si="505"/>
        <v>576</v>
      </c>
      <c r="H820" s="14">
        <v>1</v>
      </c>
      <c r="I820" s="15" t="s">
        <v>19</v>
      </c>
      <c r="J820" s="12" t="s">
        <v>36</v>
      </c>
      <c r="K820">
        <v>576</v>
      </c>
      <c r="L820">
        <f t="shared" si="502"/>
        <v>1</v>
      </c>
      <c r="M820" s="23">
        <f t="shared" si="487"/>
        <v>576</v>
      </c>
    </row>
    <row r="821" spans="1:13" ht="21" customHeight="1" outlineLevel="2" x14ac:dyDescent="0.25">
      <c r="A821" s="11" t="str">
        <f t="shared" si="503"/>
        <v>ЯУО 9601-3474 (15 секция)</v>
      </c>
      <c r="B821" s="12" t="s">
        <v>24</v>
      </c>
      <c r="C821" s="18">
        <v>574843</v>
      </c>
      <c r="D821" s="11" t="s">
        <v>35</v>
      </c>
      <c r="E821" s="12">
        <v>960</v>
      </c>
      <c r="F821" s="13">
        <f t="shared" si="506"/>
        <v>576</v>
      </c>
      <c r="G821" s="13">
        <f t="shared" si="505"/>
        <v>576</v>
      </c>
      <c r="H821" s="14">
        <v>1</v>
      </c>
      <c r="I821" s="15" t="s">
        <v>19</v>
      </c>
      <c r="J821" s="12" t="s">
        <v>36</v>
      </c>
      <c r="K821">
        <v>576</v>
      </c>
      <c r="L821">
        <f t="shared" si="502"/>
        <v>1</v>
      </c>
      <c r="M821" s="23">
        <f t="shared" si="487"/>
        <v>576</v>
      </c>
    </row>
    <row r="822" spans="1:13" ht="24" customHeight="1" outlineLevel="2" x14ac:dyDescent="0.25">
      <c r="A822" s="11" t="str">
        <f>A821</f>
        <v>ЯУО 9601-3474 (15 секция)</v>
      </c>
      <c r="B822" s="11" t="s">
        <v>10</v>
      </c>
      <c r="C822" s="11" t="s">
        <v>10</v>
      </c>
      <c r="D822" s="11" t="s">
        <v>10</v>
      </c>
      <c r="E822" s="11">
        <f ca="1">OFFSET(E822,1,2)</f>
        <v>12000</v>
      </c>
      <c r="F822" s="13">
        <f ca="1">E822</f>
        <v>12000</v>
      </c>
      <c r="G822" s="13">
        <f ca="1">F822*H822</f>
        <v>12000</v>
      </c>
      <c r="H822" s="11">
        <v>1</v>
      </c>
      <c r="I822" s="11" t="s">
        <v>13</v>
      </c>
      <c r="J822" s="11" t="s">
        <v>10</v>
      </c>
      <c r="K822">
        <v>12000</v>
      </c>
      <c r="L822">
        <f t="shared" si="502"/>
        <v>1</v>
      </c>
      <c r="M822" s="23">
        <f t="shared" ca="1" si="487"/>
        <v>12000</v>
      </c>
    </row>
    <row r="823" spans="1:13" ht="21" customHeight="1" outlineLevel="2" x14ac:dyDescent="0.25">
      <c r="A823" s="11" t="str">
        <f t="shared" si="503"/>
        <v>ЯУО 9601-3474 (15 секция)</v>
      </c>
      <c r="B823" s="11" t="s">
        <v>11</v>
      </c>
      <c r="C823" s="11" t="s">
        <v>11</v>
      </c>
      <c r="D823" s="11" t="s">
        <v>11</v>
      </c>
      <c r="E823" s="11">
        <v>2</v>
      </c>
      <c r="F823" s="13">
        <v>100</v>
      </c>
      <c r="G823" s="13">
        <f t="shared" ref="G823" si="507">F823*H823</f>
        <v>12000</v>
      </c>
      <c r="H823" s="11">
        <f>60*E823</f>
        <v>120</v>
      </c>
      <c r="I823" s="11" t="s">
        <v>13</v>
      </c>
      <c r="J823" s="11" t="s">
        <v>11</v>
      </c>
      <c r="K823">
        <v>12000</v>
      </c>
      <c r="L823">
        <f t="shared" si="502"/>
        <v>1</v>
      </c>
      <c r="M823" s="23">
        <f t="shared" si="487"/>
        <v>12000</v>
      </c>
    </row>
    <row r="824" spans="1:13" ht="21" customHeight="1" outlineLevel="1" x14ac:dyDescent="0.25">
      <c r="A824" s="11" t="s">
        <v>279</v>
      </c>
      <c r="B824" s="11"/>
      <c r="C824" s="11"/>
      <c r="D824" s="11"/>
      <c r="E824" s="11"/>
      <c r="F824" s="13"/>
      <c r="G824" s="13">
        <f ca="1">SUBTOTAL(9,G809:G823)</f>
        <v>76903</v>
      </c>
      <c r="H824" s="11"/>
      <c r="I824" s="11"/>
      <c r="J824" s="11"/>
      <c r="K824">
        <v>76903</v>
      </c>
      <c r="L824">
        <f t="shared" si="502"/>
        <v>1</v>
      </c>
      <c r="M824" s="23">
        <f t="shared" ca="1" si="487"/>
        <v>76903</v>
      </c>
    </row>
    <row r="825" spans="1:13" ht="39.75" customHeight="1" outlineLevel="2" x14ac:dyDescent="0.25">
      <c r="A825" s="4" t="str">
        <f>D825</f>
        <v>ЩОФ (15 секция)</v>
      </c>
      <c r="B825" s="5"/>
      <c r="C825" s="17"/>
      <c r="D825" s="5" t="s">
        <v>121</v>
      </c>
      <c r="E825" s="7"/>
      <c r="F825" s="7"/>
      <c r="G825" s="8"/>
      <c r="H825" s="9">
        <v>1</v>
      </c>
      <c r="I825" s="10" t="s">
        <v>7</v>
      </c>
      <c r="J825" s="5" t="s">
        <v>9</v>
      </c>
      <c r="L825">
        <f>H825</f>
        <v>1</v>
      </c>
      <c r="M825" s="23">
        <f t="shared" si="487"/>
        <v>0</v>
      </c>
    </row>
    <row r="826" spans="1:13" ht="21" customHeight="1" outlineLevel="2" x14ac:dyDescent="0.25">
      <c r="A826" s="11" t="str">
        <f>A825</f>
        <v>ЩОФ (15 секция)</v>
      </c>
      <c r="B826" s="12" t="s">
        <v>8</v>
      </c>
      <c r="C826" s="18" t="s">
        <v>258</v>
      </c>
      <c r="D826" s="11" t="s">
        <v>259</v>
      </c>
      <c r="E826" s="12">
        <v>20000</v>
      </c>
      <c r="F826" s="13">
        <f>0.6*E826</f>
        <v>12000</v>
      </c>
      <c r="G826" s="13">
        <f>H826*F826</f>
        <v>12000</v>
      </c>
      <c r="H826" s="14">
        <v>1</v>
      </c>
      <c r="I826" s="15" t="s">
        <v>13</v>
      </c>
      <c r="J826" s="12" t="s">
        <v>16</v>
      </c>
      <c r="K826">
        <v>12000</v>
      </c>
      <c r="L826">
        <f t="shared" ref="L826:L831" si="508">L825</f>
        <v>1</v>
      </c>
      <c r="M826" s="23">
        <f t="shared" si="487"/>
        <v>12000</v>
      </c>
    </row>
    <row r="827" spans="1:13" ht="21" customHeight="1" outlineLevel="2" x14ac:dyDescent="0.25">
      <c r="A827" s="11" t="str">
        <f t="shared" ref="A827:A830" si="509">A826</f>
        <v>ЩОФ (15 секция)</v>
      </c>
      <c r="B827" s="12" t="s">
        <v>12</v>
      </c>
      <c r="C827" s="18"/>
      <c r="D827" s="11" t="s">
        <v>202</v>
      </c>
      <c r="E827" s="16">
        <v>2708</v>
      </c>
      <c r="F827" s="13">
        <f t="shared" ref="F827:F828" si="510">E827*0.6</f>
        <v>1624.8</v>
      </c>
      <c r="G827" s="13">
        <f>F827*H827</f>
        <v>1624.8</v>
      </c>
      <c r="H827" s="14">
        <v>1</v>
      </c>
      <c r="I827" s="15" t="s">
        <v>13</v>
      </c>
      <c r="J827" s="12" t="s">
        <v>36</v>
      </c>
      <c r="K827">
        <v>1624.8</v>
      </c>
      <c r="L827">
        <f t="shared" si="508"/>
        <v>1</v>
      </c>
      <c r="M827" s="23">
        <f t="shared" si="487"/>
        <v>1624.8</v>
      </c>
    </row>
    <row r="828" spans="1:13" ht="21" customHeight="1" outlineLevel="2" x14ac:dyDescent="0.25">
      <c r="A828" s="11" t="str">
        <f t="shared" si="509"/>
        <v>ЩОФ (15 секция)</v>
      </c>
      <c r="B828" s="12" t="s">
        <v>18</v>
      </c>
      <c r="C828" s="18">
        <v>982184</v>
      </c>
      <c r="D828" s="11" t="s">
        <v>40</v>
      </c>
      <c r="E828" s="12">
        <v>9009</v>
      </c>
      <c r="F828" s="13">
        <f t="shared" si="510"/>
        <v>5405.4</v>
      </c>
      <c r="G828" s="13">
        <f t="shared" ref="G828" si="511">F828*H828</f>
        <v>21621.599999999999</v>
      </c>
      <c r="H828" s="14">
        <v>4</v>
      </c>
      <c r="I828" s="15" t="s">
        <v>13</v>
      </c>
      <c r="J828" s="12" t="s">
        <v>36</v>
      </c>
      <c r="K828">
        <v>21621.599999999999</v>
      </c>
      <c r="L828">
        <f t="shared" si="508"/>
        <v>1</v>
      </c>
      <c r="M828" s="23">
        <f t="shared" si="487"/>
        <v>21621.599999999999</v>
      </c>
    </row>
    <row r="829" spans="1:13" ht="24" customHeight="1" outlineLevel="2" x14ac:dyDescent="0.25">
      <c r="A829" s="11" t="str">
        <f t="shared" si="509"/>
        <v>ЩОФ (15 секция)</v>
      </c>
      <c r="B829" s="11" t="s">
        <v>10</v>
      </c>
      <c r="C829" s="11" t="s">
        <v>10</v>
      </c>
      <c r="D829" s="11" t="s">
        <v>10</v>
      </c>
      <c r="E829" s="11">
        <f ca="1">OFFSET(E829,1,2)</f>
        <v>12000</v>
      </c>
      <c r="F829" s="13">
        <f ca="1">E829</f>
        <v>12000</v>
      </c>
      <c r="G829" s="13">
        <f ca="1">F829*H829</f>
        <v>12000</v>
      </c>
      <c r="H829" s="11">
        <v>1</v>
      </c>
      <c r="I829" s="11" t="s">
        <v>13</v>
      </c>
      <c r="J829" s="11" t="s">
        <v>10</v>
      </c>
      <c r="K829">
        <v>12000</v>
      </c>
      <c r="L829">
        <f t="shared" si="508"/>
        <v>1</v>
      </c>
      <c r="M829" s="23">
        <f t="shared" ca="1" si="487"/>
        <v>12000</v>
      </c>
    </row>
    <row r="830" spans="1:13" ht="21" customHeight="1" outlineLevel="2" x14ac:dyDescent="0.25">
      <c r="A830" s="11" t="str">
        <f t="shared" si="509"/>
        <v>ЩОФ (15 секция)</v>
      </c>
      <c r="B830" s="11" t="s">
        <v>11</v>
      </c>
      <c r="C830" s="11" t="s">
        <v>11</v>
      </c>
      <c r="D830" s="11" t="s">
        <v>11</v>
      </c>
      <c r="E830" s="11">
        <v>2</v>
      </c>
      <c r="F830" s="13">
        <v>100</v>
      </c>
      <c r="G830" s="13">
        <f t="shared" ref="G830" si="512">F830*H830</f>
        <v>12000</v>
      </c>
      <c r="H830" s="11">
        <f>60*E830</f>
        <v>120</v>
      </c>
      <c r="I830" s="11" t="s">
        <v>13</v>
      </c>
      <c r="J830" s="11" t="s">
        <v>11</v>
      </c>
      <c r="K830">
        <v>12000</v>
      </c>
      <c r="L830">
        <f t="shared" si="508"/>
        <v>1</v>
      </c>
      <c r="M830" s="23">
        <f t="shared" si="487"/>
        <v>12000</v>
      </c>
    </row>
    <row r="831" spans="1:13" ht="21" customHeight="1" outlineLevel="1" x14ac:dyDescent="0.25">
      <c r="A831" s="11" t="s">
        <v>280</v>
      </c>
      <c r="B831" s="11"/>
      <c r="C831" s="11"/>
      <c r="D831" s="11"/>
      <c r="E831" s="11"/>
      <c r="F831" s="13"/>
      <c r="G831" s="13">
        <f ca="1">SUBTOTAL(9,G825:G830)</f>
        <v>59246.399999999994</v>
      </c>
      <c r="H831" s="11"/>
      <c r="I831" s="11"/>
      <c r="J831" s="11"/>
      <c r="K831">
        <v>59246.399999999994</v>
      </c>
      <c r="L831">
        <f t="shared" si="508"/>
        <v>1</v>
      </c>
      <c r="M831" s="23">
        <f t="shared" ca="1" si="487"/>
        <v>59246.399999999994</v>
      </c>
    </row>
    <row r="832" spans="1:13" ht="39.75" customHeight="1" outlineLevel="2" x14ac:dyDescent="0.25">
      <c r="A832" s="4" t="str">
        <f>D832</f>
        <v>ЩЭ1 (16 секция)</v>
      </c>
      <c r="B832" s="5"/>
      <c r="C832" s="17"/>
      <c r="D832" s="5" t="s">
        <v>122</v>
      </c>
      <c r="E832" s="7"/>
      <c r="F832" s="7"/>
      <c r="G832" s="8"/>
      <c r="H832" s="9">
        <v>1</v>
      </c>
      <c r="I832" s="10" t="s">
        <v>7</v>
      </c>
      <c r="J832" s="5" t="s">
        <v>9</v>
      </c>
      <c r="L832">
        <f>H832</f>
        <v>1</v>
      </c>
      <c r="M832" s="23">
        <f t="shared" si="487"/>
        <v>0</v>
      </c>
    </row>
    <row r="833" spans="1:13" ht="21" customHeight="1" outlineLevel="2" x14ac:dyDescent="0.25">
      <c r="A833" s="11" t="str">
        <f>A832</f>
        <v>ЩЭ1 (16 секция)</v>
      </c>
      <c r="B833" s="12" t="s">
        <v>8</v>
      </c>
      <c r="C833" s="18" t="s">
        <v>225</v>
      </c>
      <c r="D833" s="11" t="s">
        <v>224</v>
      </c>
      <c r="E833" s="12">
        <v>45000</v>
      </c>
      <c r="F833" s="13">
        <f>0.6*E833</f>
        <v>27000</v>
      </c>
      <c r="G833" s="13">
        <f>H833*F833</f>
        <v>27000</v>
      </c>
      <c r="H833" s="14">
        <v>1</v>
      </c>
      <c r="I833" s="15" t="s">
        <v>13</v>
      </c>
      <c r="J833" s="12" t="s">
        <v>16</v>
      </c>
      <c r="K833">
        <v>27000</v>
      </c>
      <c r="L833">
        <f t="shared" ref="L833:L838" si="513">L832</f>
        <v>1</v>
      </c>
      <c r="M833" s="23">
        <f t="shared" si="487"/>
        <v>27000</v>
      </c>
    </row>
    <row r="834" spans="1:13" ht="21" customHeight="1" outlineLevel="2" x14ac:dyDescent="0.25">
      <c r="A834" s="11" t="str">
        <f t="shared" ref="A834:A837" si="514">A833</f>
        <v>ЩЭ1 (16 секция)</v>
      </c>
      <c r="B834" s="12" t="s">
        <v>64</v>
      </c>
      <c r="C834" s="18">
        <v>193176</v>
      </c>
      <c r="D834" s="11" t="s">
        <v>66</v>
      </c>
      <c r="E834" s="12">
        <v>2093</v>
      </c>
      <c r="F834" s="13">
        <f t="shared" ref="F834:F835" si="515">E834*0.6</f>
        <v>1255.8</v>
      </c>
      <c r="G834" s="13">
        <f>F834*H834</f>
        <v>5023.2</v>
      </c>
      <c r="H834" s="14">
        <v>4</v>
      </c>
      <c r="I834" s="15" t="s">
        <v>13</v>
      </c>
      <c r="J834" s="12" t="s">
        <v>36</v>
      </c>
      <c r="K834">
        <v>5023.2</v>
      </c>
      <c r="L834">
        <f t="shared" si="513"/>
        <v>1</v>
      </c>
      <c r="M834" s="23">
        <f t="shared" si="487"/>
        <v>5023.2</v>
      </c>
    </row>
    <row r="835" spans="1:13" ht="21" customHeight="1" outlineLevel="2" x14ac:dyDescent="0.25">
      <c r="A835" s="11" t="str">
        <f t="shared" si="514"/>
        <v>ЩЭ1 (16 секция)</v>
      </c>
      <c r="B835" s="12" t="s">
        <v>12</v>
      </c>
      <c r="C835" s="18"/>
      <c r="D835" s="11" t="s">
        <v>200</v>
      </c>
      <c r="E835" s="16">
        <v>1922</v>
      </c>
      <c r="F835" s="13">
        <f t="shared" si="515"/>
        <v>1153.2</v>
      </c>
      <c r="G835" s="13">
        <f t="shared" ref="G835" si="516">F835*H835</f>
        <v>4612.8</v>
      </c>
      <c r="H835" s="14">
        <v>4</v>
      </c>
      <c r="I835" s="15" t="s">
        <v>13</v>
      </c>
      <c r="J835" s="12" t="s">
        <v>36</v>
      </c>
      <c r="K835">
        <v>4612.8</v>
      </c>
      <c r="L835">
        <f t="shared" si="513"/>
        <v>1</v>
      </c>
      <c r="M835" s="23">
        <f t="shared" ref="M835:M880" si="517">L835*G835</f>
        <v>4612.8</v>
      </c>
    </row>
    <row r="836" spans="1:13" ht="24" customHeight="1" outlineLevel="2" x14ac:dyDescent="0.25">
      <c r="A836" s="11" t="str">
        <f t="shared" si="514"/>
        <v>ЩЭ1 (16 секция)</v>
      </c>
      <c r="B836" s="11" t="s">
        <v>10</v>
      </c>
      <c r="C836" s="11" t="s">
        <v>10</v>
      </c>
      <c r="D836" s="11" t="s">
        <v>10</v>
      </c>
      <c r="E836" s="11">
        <f ca="1">OFFSET(E836,1,2)</f>
        <v>24000</v>
      </c>
      <c r="F836" s="13">
        <f ca="1">E836</f>
        <v>24000</v>
      </c>
      <c r="G836" s="13">
        <f ca="1">F836*H836</f>
        <v>24000</v>
      </c>
      <c r="H836" s="11">
        <v>1</v>
      </c>
      <c r="I836" s="11" t="s">
        <v>13</v>
      </c>
      <c r="J836" s="11" t="s">
        <v>10</v>
      </c>
      <c r="K836">
        <v>24000</v>
      </c>
      <c r="L836">
        <f t="shared" si="513"/>
        <v>1</v>
      </c>
      <c r="M836" s="23">
        <f t="shared" ca="1" si="517"/>
        <v>24000</v>
      </c>
    </row>
    <row r="837" spans="1:13" ht="21" customHeight="1" outlineLevel="2" x14ac:dyDescent="0.25">
      <c r="A837" s="11" t="str">
        <f t="shared" si="514"/>
        <v>ЩЭ1 (16 секция)</v>
      </c>
      <c r="B837" s="11" t="s">
        <v>11</v>
      </c>
      <c r="C837" s="11" t="s">
        <v>11</v>
      </c>
      <c r="D837" s="11" t="s">
        <v>11</v>
      </c>
      <c r="E837" s="11">
        <v>4</v>
      </c>
      <c r="F837" s="13">
        <v>100</v>
      </c>
      <c r="G837" s="13">
        <f t="shared" ref="G837" si="518">F837*H837</f>
        <v>24000</v>
      </c>
      <c r="H837" s="11">
        <f>60*E837</f>
        <v>240</v>
      </c>
      <c r="I837" s="11" t="s">
        <v>13</v>
      </c>
      <c r="J837" s="11" t="s">
        <v>11</v>
      </c>
      <c r="K837">
        <v>24000</v>
      </c>
      <c r="L837">
        <f t="shared" si="513"/>
        <v>1</v>
      </c>
      <c r="M837" s="23">
        <f t="shared" si="517"/>
        <v>24000</v>
      </c>
    </row>
    <row r="838" spans="1:13" ht="21" customHeight="1" outlineLevel="1" x14ac:dyDescent="0.25">
      <c r="A838" s="11" t="s">
        <v>366</v>
      </c>
      <c r="B838" s="11"/>
      <c r="C838" s="11"/>
      <c r="D838" s="11"/>
      <c r="E838" s="11"/>
      <c r="F838" s="13"/>
      <c r="G838" s="13">
        <f ca="1">SUBTOTAL(9,G832:G837)</f>
        <v>84636</v>
      </c>
      <c r="H838" s="11"/>
      <c r="I838" s="11"/>
      <c r="J838" s="11"/>
      <c r="K838">
        <v>84636</v>
      </c>
      <c r="L838">
        <f t="shared" si="513"/>
        <v>1</v>
      </c>
      <c r="M838" s="23">
        <f t="shared" ca="1" si="517"/>
        <v>84636</v>
      </c>
    </row>
    <row r="839" spans="1:13" ht="39.75" customHeight="1" outlineLevel="2" x14ac:dyDescent="0.25">
      <c r="A839" s="4" t="str">
        <f>D839</f>
        <v>ЩЭ2 (16 секция)</v>
      </c>
      <c r="B839" s="5"/>
      <c r="C839" s="17"/>
      <c r="D839" s="5" t="s">
        <v>123</v>
      </c>
      <c r="E839" s="7"/>
      <c r="F839" s="7"/>
      <c r="G839" s="8"/>
      <c r="H839" s="9">
        <v>8</v>
      </c>
      <c r="I839" s="10" t="s">
        <v>7</v>
      </c>
      <c r="J839" s="5" t="s">
        <v>9</v>
      </c>
      <c r="L839">
        <f>H839</f>
        <v>8</v>
      </c>
      <c r="M839" s="23">
        <f t="shared" si="517"/>
        <v>0</v>
      </c>
    </row>
    <row r="840" spans="1:13" ht="21" customHeight="1" outlineLevel="2" x14ac:dyDescent="0.25">
      <c r="A840" s="11" t="str">
        <f>A839</f>
        <v>ЩЭ2 (16 секция)</v>
      </c>
      <c r="B840" s="12" t="s">
        <v>8</v>
      </c>
      <c r="C840" s="18" t="s">
        <v>227</v>
      </c>
      <c r="D840" s="11" t="s">
        <v>226</v>
      </c>
      <c r="E840" s="12">
        <v>44500</v>
      </c>
      <c r="F840" s="13">
        <f>0.6*E840</f>
        <v>26700</v>
      </c>
      <c r="G840" s="13">
        <f>H840*F840</f>
        <v>26700</v>
      </c>
      <c r="H840" s="14">
        <v>1</v>
      </c>
      <c r="I840" s="15" t="s">
        <v>13</v>
      </c>
      <c r="J840" s="12" t="s">
        <v>16</v>
      </c>
      <c r="K840">
        <v>26700</v>
      </c>
      <c r="L840">
        <f t="shared" ref="L840:L845" si="519">L839</f>
        <v>8</v>
      </c>
      <c r="M840" s="23">
        <f t="shared" si="517"/>
        <v>213600</v>
      </c>
    </row>
    <row r="841" spans="1:13" ht="21" customHeight="1" outlineLevel="2" x14ac:dyDescent="0.25">
      <c r="A841" s="11" t="str">
        <f t="shared" ref="A841:A844" si="520">A840</f>
        <v>ЩЭ2 (16 секция)</v>
      </c>
      <c r="B841" s="12" t="s">
        <v>64</v>
      </c>
      <c r="C841" s="18">
        <v>193176</v>
      </c>
      <c r="D841" s="11" t="s">
        <v>66</v>
      </c>
      <c r="E841" s="12">
        <v>2093</v>
      </c>
      <c r="F841" s="13">
        <f t="shared" ref="F841:F842" si="521">E841*0.6</f>
        <v>1255.8</v>
      </c>
      <c r="G841" s="13">
        <f>F841*H841</f>
        <v>6279</v>
      </c>
      <c r="H841" s="14">
        <v>5</v>
      </c>
      <c r="I841" s="15" t="s">
        <v>13</v>
      </c>
      <c r="J841" s="12" t="s">
        <v>36</v>
      </c>
      <c r="K841">
        <v>6279</v>
      </c>
      <c r="L841">
        <f t="shared" si="519"/>
        <v>8</v>
      </c>
      <c r="M841" s="23">
        <f t="shared" si="517"/>
        <v>50232</v>
      </c>
    </row>
    <row r="842" spans="1:13" ht="21" customHeight="1" outlineLevel="2" x14ac:dyDescent="0.25">
      <c r="A842" s="11" t="str">
        <f t="shared" si="520"/>
        <v>ЩЭ2 (16 секция)</v>
      </c>
      <c r="B842" s="12" t="s">
        <v>12</v>
      </c>
      <c r="C842" s="18"/>
      <c r="D842" s="11" t="s">
        <v>200</v>
      </c>
      <c r="E842" s="16">
        <v>1922</v>
      </c>
      <c r="F842" s="13">
        <f t="shared" si="521"/>
        <v>1153.2</v>
      </c>
      <c r="G842" s="13">
        <f t="shared" ref="G842" si="522">F842*H842</f>
        <v>5766</v>
      </c>
      <c r="H842" s="14">
        <v>5</v>
      </c>
      <c r="I842" s="15" t="s">
        <v>13</v>
      </c>
      <c r="J842" s="12" t="s">
        <v>36</v>
      </c>
      <c r="K842">
        <v>5766</v>
      </c>
      <c r="L842">
        <f t="shared" si="519"/>
        <v>8</v>
      </c>
      <c r="M842" s="23">
        <f t="shared" si="517"/>
        <v>46128</v>
      </c>
    </row>
    <row r="843" spans="1:13" ht="24" customHeight="1" outlineLevel="2" x14ac:dyDescent="0.25">
      <c r="A843" s="11" t="str">
        <f t="shared" si="520"/>
        <v>ЩЭ2 (16 секция)</v>
      </c>
      <c r="B843" s="11" t="s">
        <v>10</v>
      </c>
      <c r="C843" s="11" t="s">
        <v>10</v>
      </c>
      <c r="D843" s="11" t="s">
        <v>10</v>
      </c>
      <c r="E843" s="11">
        <f ca="1">OFFSET(E843,1,2)</f>
        <v>24000</v>
      </c>
      <c r="F843" s="13">
        <f ca="1">E843</f>
        <v>24000</v>
      </c>
      <c r="G843" s="13">
        <f ca="1">F843*H843</f>
        <v>24000</v>
      </c>
      <c r="H843" s="11">
        <v>1</v>
      </c>
      <c r="I843" s="11" t="s">
        <v>13</v>
      </c>
      <c r="J843" s="11" t="s">
        <v>10</v>
      </c>
      <c r="K843">
        <v>24000</v>
      </c>
      <c r="L843">
        <f t="shared" si="519"/>
        <v>8</v>
      </c>
      <c r="M843" s="23">
        <f t="shared" ca="1" si="517"/>
        <v>192000</v>
      </c>
    </row>
    <row r="844" spans="1:13" ht="21" customHeight="1" outlineLevel="2" x14ac:dyDescent="0.25">
      <c r="A844" s="11" t="str">
        <f t="shared" si="520"/>
        <v>ЩЭ2 (16 секция)</v>
      </c>
      <c r="B844" s="11" t="s">
        <v>11</v>
      </c>
      <c r="C844" s="11" t="s">
        <v>11</v>
      </c>
      <c r="D844" s="11" t="s">
        <v>11</v>
      </c>
      <c r="E844" s="11">
        <v>4</v>
      </c>
      <c r="F844" s="13">
        <v>100</v>
      </c>
      <c r="G844" s="13">
        <f t="shared" ref="G844" si="523">F844*H844</f>
        <v>24000</v>
      </c>
      <c r="H844" s="11">
        <f>60*E844</f>
        <v>240</v>
      </c>
      <c r="I844" s="11" t="s">
        <v>13</v>
      </c>
      <c r="J844" s="11" t="s">
        <v>11</v>
      </c>
      <c r="K844">
        <v>24000</v>
      </c>
      <c r="L844">
        <f t="shared" si="519"/>
        <v>8</v>
      </c>
      <c r="M844" s="23">
        <f t="shared" si="517"/>
        <v>192000</v>
      </c>
    </row>
    <row r="845" spans="1:13" ht="21" customHeight="1" outlineLevel="1" x14ac:dyDescent="0.25">
      <c r="A845" s="11" t="s">
        <v>367</v>
      </c>
      <c r="B845" s="11"/>
      <c r="C845" s="11"/>
      <c r="D845" s="11"/>
      <c r="E845" s="11"/>
      <c r="F845" s="13"/>
      <c r="G845" s="13">
        <f ca="1">SUBTOTAL(9,G839:G844)</f>
        <v>86745</v>
      </c>
      <c r="H845" s="11"/>
      <c r="I845" s="11"/>
      <c r="J845" s="11"/>
      <c r="K845">
        <v>86745</v>
      </c>
      <c r="L845">
        <f t="shared" si="519"/>
        <v>8</v>
      </c>
      <c r="M845" s="23">
        <f t="shared" ca="1" si="517"/>
        <v>693960</v>
      </c>
    </row>
    <row r="846" spans="1:13" ht="39.75" customHeight="1" outlineLevel="2" x14ac:dyDescent="0.25">
      <c r="A846" s="4" t="str">
        <f>D846</f>
        <v>ЩК (16 секция)</v>
      </c>
      <c r="B846" s="5"/>
      <c r="C846" s="17"/>
      <c r="D846" s="5" t="s">
        <v>124</v>
      </c>
      <c r="E846" s="7"/>
      <c r="F846" s="7"/>
      <c r="G846" s="8"/>
      <c r="H846" s="9">
        <v>44</v>
      </c>
      <c r="I846" s="10" t="s">
        <v>7</v>
      </c>
      <c r="J846" s="5" t="s">
        <v>9</v>
      </c>
      <c r="L846">
        <f>H846</f>
        <v>44</v>
      </c>
      <c r="M846" s="23">
        <f t="shared" si="517"/>
        <v>0</v>
      </c>
    </row>
    <row r="847" spans="1:13" ht="21" customHeight="1" outlineLevel="2" x14ac:dyDescent="0.25">
      <c r="A847" s="11" t="str">
        <f>A846</f>
        <v>ЩК (16 секция)</v>
      </c>
      <c r="B847" s="12" t="s">
        <v>8</v>
      </c>
      <c r="C847" s="18" t="s">
        <v>223</v>
      </c>
      <c r="D847" s="11" t="s">
        <v>222</v>
      </c>
      <c r="E847" s="12">
        <v>10050</v>
      </c>
      <c r="F847" s="13">
        <f>E847*0.6</f>
        <v>6030</v>
      </c>
      <c r="G847" s="13">
        <f>H847*F847</f>
        <v>6030</v>
      </c>
      <c r="H847" s="14">
        <v>1</v>
      </c>
      <c r="I847" s="15" t="s">
        <v>13</v>
      </c>
      <c r="J847" s="12" t="s">
        <v>262</v>
      </c>
      <c r="K847">
        <v>6030</v>
      </c>
      <c r="L847">
        <f t="shared" ref="L847:L854" si="524">L846</f>
        <v>44</v>
      </c>
      <c r="M847" s="23">
        <f t="shared" si="517"/>
        <v>265320</v>
      </c>
    </row>
    <row r="848" spans="1:13" ht="21" customHeight="1" outlineLevel="2" x14ac:dyDescent="0.25">
      <c r="A848" s="11" t="str">
        <f t="shared" ref="A848:A851" si="525">A847</f>
        <v>ЩК (16 секция)</v>
      </c>
      <c r="B848" s="12" t="s">
        <v>12</v>
      </c>
      <c r="C848" s="18"/>
      <c r="D848" s="11" t="s">
        <v>199</v>
      </c>
      <c r="E848" s="16">
        <v>1671</v>
      </c>
      <c r="F848" s="13">
        <f t="shared" ref="F848:F851" si="526">E848*0.6</f>
        <v>1002.5999999999999</v>
      </c>
      <c r="G848" s="13">
        <f t="shared" ref="G848:G851" si="527">F848*H848</f>
        <v>1002.5999999999999</v>
      </c>
      <c r="H848" s="14">
        <v>1</v>
      </c>
      <c r="I848" s="15" t="s">
        <v>13</v>
      </c>
      <c r="J848" s="12" t="s">
        <v>36</v>
      </c>
      <c r="K848">
        <v>1002.5999999999999</v>
      </c>
      <c r="L848">
        <f t="shared" si="524"/>
        <v>44</v>
      </c>
      <c r="M848" s="23">
        <f t="shared" si="517"/>
        <v>44114.399999999994</v>
      </c>
    </row>
    <row r="849" spans="1:13" ht="21" customHeight="1" outlineLevel="2" x14ac:dyDescent="0.25">
      <c r="A849" s="11" t="str">
        <f t="shared" si="525"/>
        <v>ЩК (16 секция)</v>
      </c>
      <c r="B849" s="12" t="s">
        <v>12</v>
      </c>
      <c r="C849" s="18"/>
      <c r="D849" s="11" t="s">
        <v>197</v>
      </c>
      <c r="E849" s="12">
        <v>710</v>
      </c>
      <c r="F849" s="13">
        <f t="shared" si="526"/>
        <v>426</v>
      </c>
      <c r="G849" s="13">
        <f t="shared" si="527"/>
        <v>426</v>
      </c>
      <c r="H849" s="14">
        <v>1</v>
      </c>
      <c r="I849" s="15" t="s">
        <v>13</v>
      </c>
      <c r="J849" s="12" t="s">
        <v>36</v>
      </c>
      <c r="K849">
        <v>426</v>
      </c>
      <c r="L849">
        <f t="shared" si="524"/>
        <v>44</v>
      </c>
      <c r="M849" s="23">
        <f t="shared" si="517"/>
        <v>18744</v>
      </c>
    </row>
    <row r="850" spans="1:13" ht="21" customHeight="1" outlineLevel="2" x14ac:dyDescent="0.25">
      <c r="A850" s="11" t="str">
        <f t="shared" si="525"/>
        <v>ЩК (16 секция)</v>
      </c>
      <c r="B850" s="12" t="s">
        <v>18</v>
      </c>
      <c r="C850" s="18">
        <v>105546</v>
      </c>
      <c r="D850" s="11" t="s">
        <v>67</v>
      </c>
      <c r="E850" s="12">
        <v>3513</v>
      </c>
      <c r="F850" s="13">
        <f t="shared" si="526"/>
        <v>2107.7999999999997</v>
      </c>
      <c r="G850" s="13">
        <f t="shared" si="527"/>
        <v>2107.7999999999997</v>
      </c>
      <c r="H850" s="14">
        <v>1</v>
      </c>
      <c r="I850" s="15" t="s">
        <v>13</v>
      </c>
      <c r="J850" s="12" t="s">
        <v>36</v>
      </c>
      <c r="K850">
        <v>2107.7999999999997</v>
      </c>
      <c r="L850">
        <f t="shared" si="524"/>
        <v>44</v>
      </c>
      <c r="M850" s="23">
        <f t="shared" si="517"/>
        <v>92743.199999999983</v>
      </c>
    </row>
    <row r="851" spans="1:13" ht="21" customHeight="1" outlineLevel="2" x14ac:dyDescent="0.25">
      <c r="A851" s="11" t="str">
        <f t="shared" si="525"/>
        <v>ЩК (16 секция)</v>
      </c>
      <c r="B851" s="12" t="s">
        <v>18</v>
      </c>
      <c r="C851" s="18">
        <v>105544</v>
      </c>
      <c r="D851" s="11" t="s">
        <v>68</v>
      </c>
      <c r="E851" s="12">
        <v>3331</v>
      </c>
      <c r="F851" s="13">
        <f t="shared" si="526"/>
        <v>1998.6</v>
      </c>
      <c r="G851" s="13">
        <f t="shared" si="527"/>
        <v>7994.4</v>
      </c>
      <c r="H851" s="14">
        <v>4</v>
      </c>
      <c r="I851" s="15" t="s">
        <v>13</v>
      </c>
      <c r="J851" s="12" t="s">
        <v>36</v>
      </c>
      <c r="K851">
        <v>7994.4</v>
      </c>
      <c r="L851">
        <f t="shared" si="524"/>
        <v>44</v>
      </c>
      <c r="M851" s="23">
        <f t="shared" si="517"/>
        <v>351753.6</v>
      </c>
    </row>
    <row r="852" spans="1:13" ht="24" customHeight="1" outlineLevel="2" x14ac:dyDescent="0.25">
      <c r="A852" s="11" t="str">
        <f>A849</f>
        <v>ЩК (16 секция)</v>
      </c>
      <c r="B852" s="11" t="s">
        <v>10</v>
      </c>
      <c r="C852" s="11" t="s">
        <v>10</v>
      </c>
      <c r="D852" s="11" t="s">
        <v>10</v>
      </c>
      <c r="E852" s="11">
        <f ca="1">OFFSET(E852,1,2)</f>
        <v>6000</v>
      </c>
      <c r="F852" s="13">
        <f ca="1">E852</f>
        <v>6000</v>
      </c>
      <c r="G852" s="13">
        <f ca="1">F852*H852</f>
        <v>6000</v>
      </c>
      <c r="H852" s="11">
        <v>1</v>
      </c>
      <c r="I852" s="11" t="s">
        <v>13</v>
      </c>
      <c r="J852" s="11" t="s">
        <v>10</v>
      </c>
      <c r="K852">
        <v>6000</v>
      </c>
      <c r="L852">
        <f t="shared" si="524"/>
        <v>44</v>
      </c>
      <c r="M852" s="23">
        <f t="shared" ca="1" si="517"/>
        <v>264000</v>
      </c>
    </row>
    <row r="853" spans="1:13" ht="21" customHeight="1" outlineLevel="2" x14ac:dyDescent="0.25">
      <c r="A853" s="11" t="str">
        <f t="shared" ref="A853" si="528">A852</f>
        <v>ЩК (16 секция)</v>
      </c>
      <c r="B853" s="11" t="s">
        <v>11</v>
      </c>
      <c r="C853" s="11" t="s">
        <v>11</v>
      </c>
      <c r="D853" s="11" t="s">
        <v>11</v>
      </c>
      <c r="E853" s="11">
        <v>1</v>
      </c>
      <c r="F853" s="13">
        <v>100</v>
      </c>
      <c r="G853" s="13">
        <f t="shared" ref="G853" si="529">F853*H853</f>
        <v>6000</v>
      </c>
      <c r="H853" s="11">
        <f>60*E853</f>
        <v>60</v>
      </c>
      <c r="I853" s="11" t="s">
        <v>13</v>
      </c>
      <c r="J853" s="11" t="s">
        <v>11</v>
      </c>
      <c r="K853">
        <v>6000</v>
      </c>
      <c r="L853">
        <f t="shared" si="524"/>
        <v>44</v>
      </c>
      <c r="M853" s="23">
        <f t="shared" si="517"/>
        <v>264000</v>
      </c>
    </row>
    <row r="854" spans="1:13" ht="21" customHeight="1" outlineLevel="1" x14ac:dyDescent="0.25">
      <c r="A854" s="11" t="s">
        <v>368</v>
      </c>
      <c r="B854" s="11"/>
      <c r="C854" s="11"/>
      <c r="D854" s="11"/>
      <c r="E854" s="11"/>
      <c r="F854" s="13"/>
      <c r="G854" s="13">
        <f ca="1">SUBTOTAL(9,G846:G853)</f>
        <v>29560.799999999999</v>
      </c>
      <c r="H854" s="11"/>
      <c r="I854" s="11"/>
      <c r="J854" s="11"/>
      <c r="K854">
        <v>29560.799999999999</v>
      </c>
      <c r="L854">
        <f t="shared" si="524"/>
        <v>44</v>
      </c>
      <c r="M854" s="23">
        <f t="shared" ca="1" si="517"/>
        <v>1300675.2</v>
      </c>
    </row>
    <row r="855" spans="1:13" ht="39.75" customHeight="1" outlineLevel="2" x14ac:dyDescent="0.25">
      <c r="A855" s="4" t="str">
        <f>D855</f>
        <v>ЩО3ж (16 секция)</v>
      </c>
      <c r="B855" s="5"/>
      <c r="C855" s="17"/>
      <c r="D855" s="5" t="s">
        <v>220</v>
      </c>
      <c r="E855" s="7"/>
      <c r="F855" s="7"/>
      <c r="G855" s="8"/>
      <c r="H855" s="9">
        <v>1</v>
      </c>
      <c r="I855" s="10" t="s">
        <v>7</v>
      </c>
      <c r="J855" s="5" t="s">
        <v>9</v>
      </c>
      <c r="L855">
        <f>H855</f>
        <v>1</v>
      </c>
      <c r="M855" s="23">
        <f t="shared" si="517"/>
        <v>0</v>
      </c>
    </row>
    <row r="856" spans="1:13" ht="21" customHeight="1" outlineLevel="2" x14ac:dyDescent="0.25">
      <c r="A856" s="11" t="str">
        <f>A855</f>
        <v>ЩО3ж (16 секция)</v>
      </c>
      <c r="B856" s="12" t="s">
        <v>8</v>
      </c>
      <c r="C856" s="18" t="s">
        <v>254</v>
      </c>
      <c r="D856" s="11" t="s">
        <v>255</v>
      </c>
      <c r="E856" s="12">
        <v>10500</v>
      </c>
      <c r="F856" s="13">
        <f>0.6*E856</f>
        <v>6300</v>
      </c>
      <c r="G856" s="13">
        <f>H856*F856</f>
        <v>6300</v>
      </c>
      <c r="H856" s="14">
        <v>1</v>
      </c>
      <c r="I856" s="15" t="s">
        <v>13</v>
      </c>
      <c r="J856" s="12" t="s">
        <v>16</v>
      </c>
      <c r="K856">
        <v>6300</v>
      </c>
      <c r="L856">
        <f t="shared" ref="L856:L861" si="530">L855</f>
        <v>1</v>
      </c>
      <c r="M856" s="23">
        <f t="shared" si="517"/>
        <v>6300</v>
      </c>
    </row>
    <row r="857" spans="1:13" ht="21" customHeight="1" outlineLevel="2" x14ac:dyDescent="0.25">
      <c r="A857" s="11" t="str">
        <f t="shared" ref="A857:A858" si="531">A856</f>
        <v>ЩО3ж (16 секция)</v>
      </c>
      <c r="B857" s="12" t="s">
        <v>64</v>
      </c>
      <c r="C857" s="18">
        <v>193180</v>
      </c>
      <c r="D857" s="11" t="s">
        <v>60</v>
      </c>
      <c r="E857" s="12">
        <v>2493</v>
      </c>
      <c r="F857" s="13">
        <f t="shared" ref="F857:F858" si="532">E857*0.6</f>
        <v>1495.8</v>
      </c>
      <c r="G857" s="13">
        <f t="shared" ref="G857:G858" si="533">F857*H857</f>
        <v>1495.8</v>
      </c>
      <c r="H857" s="14">
        <v>1</v>
      </c>
      <c r="I857" s="15" t="s">
        <v>13</v>
      </c>
      <c r="J857" s="12" t="s">
        <v>36</v>
      </c>
      <c r="K857">
        <v>1495.8</v>
      </c>
      <c r="L857">
        <f t="shared" si="530"/>
        <v>1</v>
      </c>
      <c r="M857" s="23">
        <f t="shared" si="517"/>
        <v>1495.8</v>
      </c>
    </row>
    <row r="858" spans="1:13" ht="21" customHeight="1" outlineLevel="2" x14ac:dyDescent="0.25">
      <c r="A858" s="11" t="str">
        <f t="shared" si="531"/>
        <v>ЩО3ж (16 секция)</v>
      </c>
      <c r="B858" s="12" t="s">
        <v>12</v>
      </c>
      <c r="C858" s="18">
        <v>296709</v>
      </c>
      <c r="D858" s="11" t="s">
        <v>196</v>
      </c>
      <c r="E858" s="12">
        <v>699</v>
      </c>
      <c r="F858" s="13">
        <f t="shared" si="532"/>
        <v>419.4</v>
      </c>
      <c r="G858" s="13">
        <f t="shared" si="533"/>
        <v>2516.3999999999996</v>
      </c>
      <c r="H858" s="14">
        <v>6</v>
      </c>
      <c r="I858" s="15" t="s">
        <v>13</v>
      </c>
      <c r="J858" s="12" t="s">
        <v>36</v>
      </c>
      <c r="K858">
        <v>2516.3999999999996</v>
      </c>
      <c r="L858">
        <f t="shared" si="530"/>
        <v>1</v>
      </c>
      <c r="M858" s="23">
        <f t="shared" si="517"/>
        <v>2516.3999999999996</v>
      </c>
    </row>
    <row r="859" spans="1:13" ht="24" customHeight="1" outlineLevel="2" x14ac:dyDescent="0.25">
      <c r="A859" s="11" t="str">
        <f>A858</f>
        <v>ЩО3ж (16 секция)</v>
      </c>
      <c r="B859" s="11" t="s">
        <v>10</v>
      </c>
      <c r="C859" s="11" t="s">
        <v>10</v>
      </c>
      <c r="D859" s="11" t="s">
        <v>10</v>
      </c>
      <c r="E859" s="11">
        <f ca="1">OFFSET(E859,1,2)</f>
        <v>6000</v>
      </c>
      <c r="F859" s="13">
        <f ca="1">E859</f>
        <v>6000</v>
      </c>
      <c r="G859" s="13">
        <f ca="1">F859*H859</f>
        <v>6000</v>
      </c>
      <c r="H859" s="11">
        <v>1</v>
      </c>
      <c r="I859" s="11" t="s">
        <v>13</v>
      </c>
      <c r="J859" s="11" t="s">
        <v>10</v>
      </c>
      <c r="K859">
        <v>6000</v>
      </c>
      <c r="L859">
        <f t="shared" si="530"/>
        <v>1</v>
      </c>
      <c r="M859" s="23">
        <f t="shared" ca="1" si="517"/>
        <v>6000</v>
      </c>
    </row>
    <row r="860" spans="1:13" ht="21" customHeight="1" outlineLevel="2" x14ac:dyDescent="0.25">
      <c r="A860" s="11" t="str">
        <f t="shared" ref="A860" si="534">A859</f>
        <v>ЩО3ж (16 секция)</v>
      </c>
      <c r="B860" s="11" t="s">
        <v>11</v>
      </c>
      <c r="C860" s="11" t="s">
        <v>11</v>
      </c>
      <c r="D860" s="11" t="s">
        <v>11</v>
      </c>
      <c r="E860" s="11">
        <v>1</v>
      </c>
      <c r="F860" s="13">
        <v>100</v>
      </c>
      <c r="G860" s="13">
        <f t="shared" ref="G860" si="535">F860*H860</f>
        <v>6000</v>
      </c>
      <c r="H860" s="11">
        <f>60*E860</f>
        <v>60</v>
      </c>
      <c r="I860" s="11" t="s">
        <v>13</v>
      </c>
      <c r="J860" s="11" t="s">
        <v>11</v>
      </c>
      <c r="K860">
        <v>6000</v>
      </c>
      <c r="L860">
        <f t="shared" si="530"/>
        <v>1</v>
      </c>
      <c r="M860" s="23">
        <f t="shared" si="517"/>
        <v>6000</v>
      </c>
    </row>
    <row r="861" spans="1:13" ht="21" customHeight="1" outlineLevel="1" x14ac:dyDescent="0.25">
      <c r="A861" s="11" t="s">
        <v>369</v>
      </c>
      <c r="B861" s="11"/>
      <c r="C861" s="11"/>
      <c r="D861" s="11"/>
      <c r="E861" s="11"/>
      <c r="F861" s="13"/>
      <c r="G861" s="13">
        <f ca="1">SUBTOTAL(9,G855:G860)</f>
        <v>22312.2</v>
      </c>
      <c r="H861" s="11"/>
      <c r="I861" s="11"/>
      <c r="J861" s="11"/>
      <c r="K861">
        <v>22312.2</v>
      </c>
      <c r="L861">
        <f t="shared" si="530"/>
        <v>1</v>
      </c>
      <c r="M861" s="23">
        <f t="shared" ca="1" si="517"/>
        <v>22312.2</v>
      </c>
    </row>
    <row r="862" spans="1:13" ht="39.75" customHeight="1" outlineLevel="2" x14ac:dyDescent="0.25">
      <c r="A862" s="4" t="str">
        <f>D862</f>
        <v>ЩАО3ж (16 секция)</v>
      </c>
      <c r="B862" s="5"/>
      <c r="C862" s="17"/>
      <c r="D862" s="5" t="s">
        <v>207</v>
      </c>
      <c r="E862" s="7"/>
      <c r="F862" s="7"/>
      <c r="G862" s="8"/>
      <c r="H862" s="9">
        <v>1</v>
      </c>
      <c r="I862" s="10" t="s">
        <v>7</v>
      </c>
      <c r="J862" s="5" t="s">
        <v>9</v>
      </c>
      <c r="L862">
        <f>H862</f>
        <v>1</v>
      </c>
      <c r="M862" s="23">
        <f t="shared" si="517"/>
        <v>0</v>
      </c>
    </row>
    <row r="863" spans="1:13" ht="21" customHeight="1" outlineLevel="2" x14ac:dyDescent="0.25">
      <c r="A863" s="11" t="str">
        <f>A862</f>
        <v>ЩАО3ж (16 секция)</v>
      </c>
      <c r="B863" s="12" t="s">
        <v>8</v>
      </c>
      <c r="C863" s="18" t="s">
        <v>254</v>
      </c>
      <c r="D863" s="11" t="s">
        <v>255</v>
      </c>
      <c r="E863" s="12">
        <v>10500</v>
      </c>
      <c r="F863" s="13">
        <f>0.6*E863</f>
        <v>6300</v>
      </c>
      <c r="G863" s="13">
        <f>H863*F863</f>
        <v>6300</v>
      </c>
      <c r="H863" s="14">
        <v>1</v>
      </c>
      <c r="I863" s="15" t="s">
        <v>13</v>
      </c>
      <c r="J863" s="12" t="s">
        <v>16</v>
      </c>
      <c r="K863">
        <v>6300</v>
      </c>
      <c r="L863">
        <f t="shared" ref="L863:L868" si="536">L862</f>
        <v>1</v>
      </c>
      <c r="M863" s="23">
        <f t="shared" si="517"/>
        <v>6300</v>
      </c>
    </row>
    <row r="864" spans="1:13" ht="21" customHeight="1" outlineLevel="2" x14ac:dyDescent="0.25">
      <c r="A864" s="11" t="str">
        <f t="shared" ref="A864:A865" si="537">A863</f>
        <v>ЩАО3ж (16 секция)</v>
      </c>
      <c r="B864" s="12" t="s">
        <v>64</v>
      </c>
      <c r="C864" s="18">
        <v>193180</v>
      </c>
      <c r="D864" s="11" t="s">
        <v>60</v>
      </c>
      <c r="E864" s="12">
        <v>2493</v>
      </c>
      <c r="F864" s="13">
        <f t="shared" ref="F864:F865" si="538">E864*0.6</f>
        <v>1495.8</v>
      </c>
      <c r="G864" s="13">
        <f t="shared" ref="G864:G865" si="539">F864*H864</f>
        <v>1495.8</v>
      </c>
      <c r="H864" s="14">
        <v>1</v>
      </c>
      <c r="I864" s="15" t="s">
        <v>13</v>
      </c>
      <c r="J864" s="12" t="s">
        <v>36</v>
      </c>
      <c r="K864">
        <v>1495.8</v>
      </c>
      <c r="L864">
        <f t="shared" si="536"/>
        <v>1</v>
      </c>
      <c r="M864" s="23">
        <f t="shared" si="517"/>
        <v>1495.8</v>
      </c>
    </row>
    <row r="865" spans="1:13" ht="21" customHeight="1" outlineLevel="2" x14ac:dyDescent="0.25">
      <c r="A865" s="11" t="str">
        <f t="shared" si="537"/>
        <v>ЩАО3ж (16 секция)</v>
      </c>
      <c r="B865" s="12" t="s">
        <v>12</v>
      </c>
      <c r="C865" s="18">
        <v>296709</v>
      </c>
      <c r="D865" s="11" t="s">
        <v>196</v>
      </c>
      <c r="E865" s="12">
        <v>699</v>
      </c>
      <c r="F865" s="13">
        <f t="shared" si="538"/>
        <v>419.4</v>
      </c>
      <c r="G865" s="13">
        <f t="shared" si="539"/>
        <v>1258.1999999999998</v>
      </c>
      <c r="H865" s="14">
        <v>3</v>
      </c>
      <c r="I865" s="15" t="s">
        <v>13</v>
      </c>
      <c r="J865" s="12" t="s">
        <v>36</v>
      </c>
      <c r="K865">
        <v>1258.1999999999998</v>
      </c>
      <c r="L865">
        <f t="shared" si="536"/>
        <v>1</v>
      </c>
      <c r="M865" s="23">
        <f t="shared" si="517"/>
        <v>1258.1999999999998</v>
      </c>
    </row>
    <row r="866" spans="1:13" ht="24" customHeight="1" outlineLevel="2" x14ac:dyDescent="0.25">
      <c r="A866" s="11" t="str">
        <f>A865</f>
        <v>ЩАО3ж (16 секция)</v>
      </c>
      <c r="B866" s="11" t="s">
        <v>10</v>
      </c>
      <c r="C866" s="11" t="s">
        <v>10</v>
      </c>
      <c r="D866" s="11" t="s">
        <v>10</v>
      </c>
      <c r="E866" s="11">
        <f ca="1">OFFSET(E866,1,2)</f>
        <v>6000</v>
      </c>
      <c r="F866" s="13">
        <f ca="1">E866</f>
        <v>6000</v>
      </c>
      <c r="G866" s="13">
        <f ca="1">F866*H866</f>
        <v>6000</v>
      </c>
      <c r="H866" s="11">
        <v>1</v>
      </c>
      <c r="I866" s="11" t="s">
        <v>13</v>
      </c>
      <c r="J866" s="11" t="s">
        <v>10</v>
      </c>
      <c r="K866">
        <v>6000</v>
      </c>
      <c r="L866">
        <f t="shared" si="536"/>
        <v>1</v>
      </c>
      <c r="M866" s="23">
        <f t="shared" ca="1" si="517"/>
        <v>6000</v>
      </c>
    </row>
    <row r="867" spans="1:13" ht="21" customHeight="1" outlineLevel="2" x14ac:dyDescent="0.25">
      <c r="A867" s="11" t="str">
        <f t="shared" ref="A867" si="540">A866</f>
        <v>ЩАО3ж (16 секция)</v>
      </c>
      <c r="B867" s="11" t="s">
        <v>11</v>
      </c>
      <c r="C867" s="11" t="s">
        <v>11</v>
      </c>
      <c r="D867" s="11" t="s">
        <v>11</v>
      </c>
      <c r="E867" s="11">
        <v>1</v>
      </c>
      <c r="F867" s="13">
        <v>100</v>
      </c>
      <c r="G867" s="13">
        <f t="shared" ref="G867" si="541">F867*H867</f>
        <v>6000</v>
      </c>
      <c r="H867" s="11">
        <f>60*E867</f>
        <v>60</v>
      </c>
      <c r="I867" s="11" t="s">
        <v>13</v>
      </c>
      <c r="J867" s="11" t="s">
        <v>11</v>
      </c>
      <c r="K867">
        <v>6000</v>
      </c>
      <c r="L867">
        <f t="shared" si="536"/>
        <v>1</v>
      </c>
      <c r="M867" s="23">
        <f t="shared" si="517"/>
        <v>6000</v>
      </c>
    </row>
    <row r="868" spans="1:13" ht="21" customHeight="1" outlineLevel="1" x14ac:dyDescent="0.25">
      <c r="A868" s="11" t="s">
        <v>370</v>
      </c>
      <c r="B868" s="11"/>
      <c r="C868" s="11"/>
      <c r="D868" s="11"/>
      <c r="E868" s="11"/>
      <c r="F868" s="13"/>
      <c r="G868" s="13">
        <f ca="1">SUBTOTAL(9,G862:G867)</f>
        <v>21054</v>
      </c>
      <c r="H868" s="11"/>
      <c r="I868" s="11"/>
      <c r="J868" s="11"/>
      <c r="K868">
        <v>21054</v>
      </c>
      <c r="L868">
        <f t="shared" si="536"/>
        <v>1</v>
      </c>
      <c r="M868" s="23">
        <f t="shared" ca="1" si="517"/>
        <v>21054</v>
      </c>
    </row>
    <row r="869" spans="1:13" ht="39.75" customHeight="1" outlineLevel="2" x14ac:dyDescent="0.25">
      <c r="A869" s="4" t="str">
        <f>D869</f>
        <v>Шкаф ЯРП-Инд (ЯРВ-100А) 460х250х145  IP31 (16 секция)</v>
      </c>
      <c r="B869" s="5"/>
      <c r="C869" s="17"/>
      <c r="D869" s="5" t="s">
        <v>125</v>
      </c>
      <c r="E869" s="7"/>
      <c r="F869" s="7"/>
      <c r="G869" s="8"/>
      <c r="H869" s="9">
        <v>1</v>
      </c>
      <c r="I869" s="10" t="s">
        <v>7</v>
      </c>
      <c r="J869" s="5" t="s">
        <v>9</v>
      </c>
      <c r="L869">
        <f>H869</f>
        <v>1</v>
      </c>
      <c r="M869" s="23">
        <f t="shared" si="517"/>
        <v>0</v>
      </c>
    </row>
    <row r="870" spans="1:13" ht="39.75" customHeight="1" outlineLevel="1" x14ac:dyDescent="0.25">
      <c r="A870" s="4" t="s">
        <v>371</v>
      </c>
      <c r="B870" s="5"/>
      <c r="C870" s="17"/>
      <c r="D870" s="5"/>
      <c r="E870" s="7"/>
      <c r="F870" s="7"/>
      <c r="G870" s="8">
        <f>SUBTOTAL(9,G869:G869)</f>
        <v>0</v>
      </c>
      <c r="H870" s="9"/>
      <c r="I870" s="10"/>
      <c r="J870" s="5"/>
      <c r="K870">
        <v>0</v>
      </c>
      <c r="L870">
        <f>L869</f>
        <v>1</v>
      </c>
      <c r="M870" s="23">
        <f t="shared" si="517"/>
        <v>0</v>
      </c>
    </row>
    <row r="871" spans="1:13" ht="39.75" customHeight="1" outlineLevel="2" x14ac:dyDescent="0.25">
      <c r="A871" s="4" t="str">
        <f>D871</f>
        <v>ЩУ-Т1 (16 секция)</v>
      </c>
      <c r="B871" s="5"/>
      <c r="C871" s="17"/>
      <c r="D871" s="5" t="s">
        <v>126</v>
      </c>
      <c r="E871" s="7"/>
      <c r="F871" s="7"/>
      <c r="G871" s="8"/>
      <c r="H871" s="9">
        <v>1</v>
      </c>
      <c r="I871" s="10" t="s">
        <v>7</v>
      </c>
      <c r="J871" s="5" t="s">
        <v>9</v>
      </c>
      <c r="L871">
        <f>H871</f>
        <v>1</v>
      </c>
      <c r="M871" s="23">
        <f t="shared" si="517"/>
        <v>0</v>
      </c>
    </row>
    <row r="872" spans="1:13" ht="21" customHeight="1" outlineLevel="2" x14ac:dyDescent="0.25">
      <c r="A872" s="11" t="str">
        <f>A871</f>
        <v>ЩУ-Т1 (16 секция)</v>
      </c>
      <c r="B872" s="12" t="s">
        <v>8</v>
      </c>
      <c r="C872" s="18" t="s">
        <v>254</v>
      </c>
      <c r="D872" s="11" t="s">
        <v>255</v>
      </c>
      <c r="E872" s="12">
        <v>10500</v>
      </c>
      <c r="F872" s="13">
        <f>0.6*E872</f>
        <v>6300</v>
      </c>
      <c r="G872" s="13">
        <f>H872*F872</f>
        <v>6300</v>
      </c>
      <c r="H872" s="14">
        <v>1</v>
      </c>
      <c r="I872" s="15" t="s">
        <v>13</v>
      </c>
      <c r="J872" s="12" t="s">
        <v>16</v>
      </c>
      <c r="K872">
        <v>6300</v>
      </c>
      <c r="L872">
        <f t="shared" ref="L872:L880" si="542">L871</f>
        <v>1</v>
      </c>
      <c r="M872" s="23">
        <f t="shared" si="517"/>
        <v>6300</v>
      </c>
    </row>
    <row r="873" spans="1:13" ht="21" customHeight="1" outlineLevel="2" x14ac:dyDescent="0.25">
      <c r="A873" s="11" t="str">
        <f t="shared" ref="A873:A876" si="543">A872</f>
        <v>ЩУ-Т1 (16 секция)</v>
      </c>
      <c r="B873" s="12" t="s">
        <v>18</v>
      </c>
      <c r="C873" s="18">
        <v>105542</v>
      </c>
      <c r="D873" s="11" t="s">
        <v>65</v>
      </c>
      <c r="E873" s="12">
        <v>3513</v>
      </c>
      <c r="F873" s="13">
        <f t="shared" ref="F873:F876" si="544">E873*0.6</f>
        <v>2107.7999999999997</v>
      </c>
      <c r="G873" s="13">
        <f t="shared" ref="G873:G877" si="545">F873*H873</f>
        <v>2107.7999999999997</v>
      </c>
      <c r="H873" s="14">
        <v>1</v>
      </c>
      <c r="I873" s="15" t="s">
        <v>13</v>
      </c>
      <c r="J873" s="12" t="s">
        <v>36</v>
      </c>
      <c r="K873">
        <v>2107.7999999999997</v>
      </c>
      <c r="L873">
        <f t="shared" si="542"/>
        <v>1</v>
      </c>
      <c r="M873" s="23">
        <f t="shared" si="517"/>
        <v>2107.7999999999997</v>
      </c>
    </row>
    <row r="874" spans="1:13" ht="21" customHeight="1" outlineLevel="2" x14ac:dyDescent="0.25">
      <c r="A874" s="11" t="str">
        <f t="shared" si="543"/>
        <v>ЩУ-Т1 (16 секция)</v>
      </c>
      <c r="B874" s="12" t="s">
        <v>12</v>
      </c>
      <c r="C874" s="18"/>
      <c r="D874" s="11" t="s">
        <v>198</v>
      </c>
      <c r="E874" s="16">
        <v>1660</v>
      </c>
      <c r="F874" s="13">
        <f t="shared" si="544"/>
        <v>996</v>
      </c>
      <c r="G874" s="13">
        <f t="shared" si="545"/>
        <v>996</v>
      </c>
      <c r="H874" s="14">
        <v>1</v>
      </c>
      <c r="I874" s="15" t="s">
        <v>13</v>
      </c>
      <c r="J874" s="12" t="s">
        <v>36</v>
      </c>
      <c r="K874">
        <v>996</v>
      </c>
      <c r="L874">
        <f t="shared" si="542"/>
        <v>1</v>
      </c>
      <c r="M874" s="23">
        <f t="shared" si="517"/>
        <v>996</v>
      </c>
    </row>
    <row r="875" spans="1:13" ht="21" customHeight="1" outlineLevel="2" x14ac:dyDescent="0.25">
      <c r="A875" s="11" t="str">
        <f t="shared" si="543"/>
        <v>ЩУ-Т1 (16 секция)</v>
      </c>
      <c r="B875" s="12" t="s">
        <v>12</v>
      </c>
      <c r="C875" s="18">
        <v>296708</v>
      </c>
      <c r="D875" s="11" t="s">
        <v>31</v>
      </c>
      <c r="E875" s="12">
        <v>828</v>
      </c>
      <c r="F875" s="13">
        <f t="shared" si="544"/>
        <v>496.79999999999995</v>
      </c>
      <c r="G875" s="13">
        <f t="shared" si="545"/>
        <v>496.79999999999995</v>
      </c>
      <c r="H875" s="14">
        <v>1</v>
      </c>
      <c r="I875" s="15" t="s">
        <v>13</v>
      </c>
      <c r="J875" s="12" t="s">
        <v>36</v>
      </c>
      <c r="K875">
        <v>496.79999999999995</v>
      </c>
      <c r="L875">
        <f t="shared" si="542"/>
        <v>1</v>
      </c>
      <c r="M875" s="23">
        <f t="shared" si="517"/>
        <v>496.79999999999995</v>
      </c>
    </row>
    <row r="876" spans="1:13" ht="21" customHeight="1" outlineLevel="2" x14ac:dyDescent="0.25">
      <c r="A876" s="11" t="str">
        <f t="shared" si="543"/>
        <v>ЩУ-Т1 (16 секция)</v>
      </c>
      <c r="B876" s="12" t="s">
        <v>21</v>
      </c>
      <c r="C876" s="18" t="s">
        <v>70</v>
      </c>
      <c r="D876" s="11" t="s">
        <v>69</v>
      </c>
      <c r="E876" s="12">
        <v>3505</v>
      </c>
      <c r="F876" s="13">
        <f t="shared" si="544"/>
        <v>2103</v>
      </c>
      <c r="G876" s="13">
        <f t="shared" si="545"/>
        <v>2103</v>
      </c>
      <c r="H876" s="14">
        <v>1</v>
      </c>
      <c r="I876" s="15" t="s">
        <v>13</v>
      </c>
      <c r="J876" s="12" t="s">
        <v>36</v>
      </c>
      <c r="K876">
        <v>2103</v>
      </c>
      <c r="L876">
        <f t="shared" si="542"/>
        <v>1</v>
      </c>
      <c r="M876" s="23">
        <f t="shared" si="517"/>
        <v>2103</v>
      </c>
    </row>
    <row r="877" spans="1:13" ht="21" customHeight="1" outlineLevel="2" x14ac:dyDescent="0.25">
      <c r="A877" s="11" t="str">
        <f>A873</f>
        <v>ЩУ-Т1 (16 секция)</v>
      </c>
      <c r="B877" s="12" t="s">
        <v>71</v>
      </c>
      <c r="C877" s="18" t="s">
        <v>264</v>
      </c>
      <c r="D877" s="11" t="s">
        <v>263</v>
      </c>
      <c r="E877" s="16">
        <v>19505</v>
      </c>
      <c r="F877" s="13">
        <f>E877</f>
        <v>19505</v>
      </c>
      <c r="G877" s="13">
        <f t="shared" si="545"/>
        <v>19505</v>
      </c>
      <c r="H877" s="14">
        <v>1</v>
      </c>
      <c r="I877" s="15" t="s">
        <v>13</v>
      </c>
      <c r="J877" s="12" t="s">
        <v>20</v>
      </c>
      <c r="K877">
        <v>19505</v>
      </c>
      <c r="L877">
        <f t="shared" si="542"/>
        <v>1</v>
      </c>
      <c r="M877" s="23">
        <f t="shared" si="517"/>
        <v>19505</v>
      </c>
    </row>
    <row r="878" spans="1:13" ht="24" customHeight="1" outlineLevel="2" x14ac:dyDescent="0.25">
      <c r="A878" s="11" t="str">
        <f>A874</f>
        <v>ЩУ-Т1 (16 секция)</v>
      </c>
      <c r="B878" s="11" t="s">
        <v>10</v>
      </c>
      <c r="C878" s="11" t="s">
        <v>10</v>
      </c>
      <c r="D878" s="11" t="s">
        <v>10</v>
      </c>
      <c r="E878" s="11">
        <f ca="1">OFFSET(E878,1,2)</f>
        <v>6000</v>
      </c>
      <c r="F878" s="13">
        <f ca="1">E878</f>
        <v>6000</v>
      </c>
      <c r="G878" s="13">
        <f ca="1">F878*H878</f>
        <v>6000</v>
      </c>
      <c r="H878" s="11">
        <v>1</v>
      </c>
      <c r="I878" s="11" t="s">
        <v>13</v>
      </c>
      <c r="J878" s="11" t="s">
        <v>10</v>
      </c>
      <c r="K878">
        <v>6000</v>
      </c>
      <c r="L878">
        <f t="shared" si="542"/>
        <v>1</v>
      </c>
      <c r="M878" s="23">
        <f t="shared" ca="1" si="517"/>
        <v>6000</v>
      </c>
    </row>
    <row r="879" spans="1:13" ht="21" customHeight="1" outlineLevel="2" x14ac:dyDescent="0.25">
      <c r="A879" s="11" t="str">
        <f t="shared" ref="A879" si="546">A878</f>
        <v>ЩУ-Т1 (16 секция)</v>
      </c>
      <c r="B879" s="11" t="s">
        <v>11</v>
      </c>
      <c r="C879" s="11" t="s">
        <v>11</v>
      </c>
      <c r="D879" s="11" t="s">
        <v>11</v>
      </c>
      <c r="E879" s="11">
        <v>1</v>
      </c>
      <c r="F879" s="13">
        <v>100</v>
      </c>
      <c r="G879" s="13">
        <f t="shared" ref="G879" si="547">F879*H879</f>
        <v>6000</v>
      </c>
      <c r="H879" s="11">
        <f>60*E879</f>
        <v>60</v>
      </c>
      <c r="I879" s="11" t="s">
        <v>13</v>
      </c>
      <c r="J879" s="11" t="s">
        <v>11</v>
      </c>
      <c r="K879">
        <v>6000</v>
      </c>
      <c r="L879">
        <f t="shared" si="542"/>
        <v>1</v>
      </c>
      <c r="M879" s="23">
        <f t="shared" si="517"/>
        <v>6000</v>
      </c>
    </row>
    <row r="880" spans="1:13" ht="21" customHeight="1" outlineLevel="1" x14ac:dyDescent="0.25">
      <c r="A880" s="19" t="s">
        <v>372</v>
      </c>
      <c r="B880" s="19"/>
      <c r="C880" s="19"/>
      <c r="D880" s="19"/>
      <c r="E880" s="19"/>
      <c r="F880" s="20"/>
      <c r="G880" s="20">
        <f ca="1">SUBTOTAL(9,G871:G879)</f>
        <v>43508.6</v>
      </c>
      <c r="H880" s="19"/>
      <c r="I880" s="19"/>
      <c r="J880" s="19"/>
      <c r="K880">
        <v>43508.6</v>
      </c>
      <c r="L880">
        <f t="shared" si="542"/>
        <v>1</v>
      </c>
      <c r="M880" s="23">
        <f t="shared" ca="1" si="517"/>
        <v>43508.6</v>
      </c>
    </row>
    <row r="881" spans="1:11" ht="21" customHeight="1" x14ac:dyDescent="0.25">
      <c r="A881" s="19" t="s">
        <v>373</v>
      </c>
      <c r="B881" s="19"/>
      <c r="C881" s="19"/>
      <c r="D881" s="19"/>
      <c r="E881" s="19"/>
      <c r="F881" s="20"/>
      <c r="G881" s="20">
        <f ca="1">SUBTOTAL(9,G2:G879)</f>
        <v>8759037.6000000015</v>
      </c>
      <c r="H881" s="19"/>
      <c r="I881" s="19"/>
      <c r="J881" s="19"/>
      <c r="K881">
        <v>8759037.6000000015</v>
      </c>
    </row>
  </sheetData>
  <autoFilter ref="A1:J880" xr:uid="{0E2C231C-0991-4FBE-BD8E-9CD4D9BF51D9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C316-B605-4117-A256-9C1AFE898F65}">
  <dimension ref="A1:J101"/>
  <sheetViews>
    <sheetView tabSelected="1" workbookViewId="0">
      <selection activeCell="O15" sqref="O15"/>
    </sheetView>
  </sheetViews>
  <sheetFormatPr defaultRowHeight="20.25" customHeight="1" x14ac:dyDescent="0.25"/>
  <cols>
    <col min="2" max="2" width="59.140625" customWidth="1"/>
    <col min="5" max="5" width="12.42578125" style="22" bestFit="1" customWidth="1"/>
  </cols>
  <sheetData>
    <row r="1" spans="1:10" ht="20.25" customHeight="1" x14ac:dyDescent="0.25">
      <c r="A1" s="1" t="s">
        <v>1</v>
      </c>
      <c r="B1" s="1" t="s">
        <v>14</v>
      </c>
      <c r="C1" s="1" t="s">
        <v>3</v>
      </c>
      <c r="D1" s="1" t="s">
        <v>3</v>
      </c>
      <c r="E1" s="21" t="s">
        <v>6</v>
      </c>
      <c r="F1" s="3" t="s">
        <v>15</v>
      </c>
      <c r="G1" s="3" t="s">
        <v>4</v>
      </c>
      <c r="H1" s="3" t="s">
        <v>5</v>
      </c>
      <c r="I1" t="s">
        <v>374</v>
      </c>
      <c r="J1">
        <v>2.25</v>
      </c>
    </row>
    <row r="2" spans="1:10" ht="20.25" customHeight="1" x14ac:dyDescent="0.25">
      <c r="A2" s="17"/>
      <c r="B2" s="5" t="s">
        <v>89</v>
      </c>
      <c r="C2" s="7">
        <f>ROUNDUP(J2,-3)</f>
        <v>174000</v>
      </c>
      <c r="D2" s="7">
        <f>0.7*C2</f>
        <v>121799.99999999999</v>
      </c>
      <c r="E2" s="6">
        <f>D2*F2</f>
        <v>121799.99999999999</v>
      </c>
      <c r="F2" s="9">
        <v>1</v>
      </c>
      <c r="G2" s="10" t="s">
        <v>7</v>
      </c>
      <c r="H2" s="5" t="s">
        <v>9</v>
      </c>
      <c r="I2">
        <v>76903</v>
      </c>
      <c r="J2">
        <f>2.25*I2</f>
        <v>173031.75</v>
      </c>
    </row>
    <row r="3" spans="1:10" ht="20.25" customHeight="1" x14ac:dyDescent="0.25">
      <c r="A3" s="17"/>
      <c r="B3" s="5" t="s">
        <v>90</v>
      </c>
      <c r="C3" s="7">
        <f t="shared" ref="C3:C66" si="0">ROUNDUP(J3,-3)</f>
        <v>134000</v>
      </c>
      <c r="D3" s="7">
        <f t="shared" ref="D3:D66" si="1">0.7*C3</f>
        <v>93800</v>
      </c>
      <c r="E3" s="6">
        <f t="shared" ref="E3:E66" si="2">D3*F3</f>
        <v>93800</v>
      </c>
      <c r="F3" s="9">
        <v>1</v>
      </c>
      <c r="G3" s="10" t="s">
        <v>7</v>
      </c>
      <c r="H3" s="5" t="s">
        <v>9</v>
      </c>
      <c r="I3">
        <v>59246.399999999994</v>
      </c>
      <c r="J3">
        <f t="shared" ref="J3:J66" si="3">2.25*I3</f>
        <v>133304.4</v>
      </c>
    </row>
    <row r="4" spans="1:10" ht="20.25" customHeight="1" x14ac:dyDescent="0.25">
      <c r="A4" s="17"/>
      <c r="B4" s="5" t="s">
        <v>120</v>
      </c>
      <c r="C4" s="7">
        <f t="shared" si="0"/>
        <v>174000</v>
      </c>
      <c r="D4" s="7">
        <f t="shared" si="1"/>
        <v>121799.99999999999</v>
      </c>
      <c r="E4" s="6">
        <f t="shared" si="2"/>
        <v>121799.99999999999</v>
      </c>
      <c r="F4" s="9">
        <v>1</v>
      </c>
      <c r="G4" s="10" t="s">
        <v>7</v>
      </c>
      <c r="H4" s="5" t="s">
        <v>9</v>
      </c>
      <c r="I4">
        <v>76903</v>
      </c>
      <c r="J4">
        <f t="shared" si="3"/>
        <v>173031.75</v>
      </c>
    </row>
    <row r="5" spans="1:10" ht="20.25" customHeight="1" x14ac:dyDescent="0.25">
      <c r="A5" s="17"/>
      <c r="B5" s="5" t="s">
        <v>121</v>
      </c>
      <c r="C5" s="7">
        <f t="shared" si="0"/>
        <v>134000</v>
      </c>
      <c r="D5" s="7">
        <f t="shared" si="1"/>
        <v>93800</v>
      </c>
      <c r="E5" s="6">
        <f t="shared" si="2"/>
        <v>93800</v>
      </c>
      <c r="F5" s="9">
        <v>1</v>
      </c>
      <c r="G5" s="10" t="s">
        <v>7</v>
      </c>
      <c r="H5" s="5" t="s">
        <v>9</v>
      </c>
      <c r="I5">
        <v>59246.399999999994</v>
      </c>
      <c r="J5">
        <f t="shared" si="3"/>
        <v>133304.4</v>
      </c>
    </row>
    <row r="6" spans="1:10" ht="20.25" customHeight="1" x14ac:dyDescent="0.25">
      <c r="A6" s="17"/>
      <c r="B6" s="5" t="s">
        <v>127</v>
      </c>
      <c r="C6" s="7">
        <f t="shared" si="0"/>
        <v>645000</v>
      </c>
      <c r="D6" s="7">
        <f t="shared" si="1"/>
        <v>451500</v>
      </c>
      <c r="E6" s="6">
        <f t="shared" si="2"/>
        <v>451500</v>
      </c>
      <c r="F6" s="9">
        <v>1</v>
      </c>
      <c r="G6" s="10" t="s">
        <v>7</v>
      </c>
      <c r="H6" s="5" t="s">
        <v>9</v>
      </c>
      <c r="I6">
        <v>286616.2</v>
      </c>
      <c r="J6">
        <f t="shared" si="3"/>
        <v>644886.45000000007</v>
      </c>
    </row>
    <row r="7" spans="1:10" ht="20.25" customHeight="1" x14ac:dyDescent="0.25">
      <c r="A7" s="17"/>
      <c r="B7" s="5" t="s">
        <v>139</v>
      </c>
      <c r="C7" s="7">
        <f t="shared" si="0"/>
        <v>529000</v>
      </c>
      <c r="D7" s="7">
        <f t="shared" si="1"/>
        <v>370300</v>
      </c>
      <c r="E7" s="6">
        <f t="shared" si="2"/>
        <v>370300</v>
      </c>
      <c r="F7" s="9">
        <v>1</v>
      </c>
      <c r="G7" s="10" t="s">
        <v>7</v>
      </c>
      <c r="H7" s="5" t="s">
        <v>9</v>
      </c>
      <c r="I7">
        <v>234884.8</v>
      </c>
      <c r="J7">
        <f t="shared" si="3"/>
        <v>528490.79999999993</v>
      </c>
    </row>
    <row r="8" spans="1:10" ht="20.25" customHeight="1" x14ac:dyDescent="0.25">
      <c r="A8" s="17"/>
      <c r="B8" s="5" t="s">
        <v>140</v>
      </c>
      <c r="C8" s="7">
        <f t="shared" si="0"/>
        <v>971000</v>
      </c>
      <c r="D8" s="7">
        <f t="shared" si="1"/>
        <v>679700</v>
      </c>
      <c r="E8" s="6">
        <f t="shared" si="2"/>
        <v>679700</v>
      </c>
      <c r="F8" s="9">
        <v>1</v>
      </c>
      <c r="G8" s="10" t="s">
        <v>7</v>
      </c>
      <c r="H8" s="5" t="s">
        <v>9</v>
      </c>
      <c r="I8">
        <v>431182.80000000005</v>
      </c>
      <c r="J8">
        <f t="shared" si="3"/>
        <v>970161.3</v>
      </c>
    </row>
    <row r="9" spans="1:10" ht="20.25" customHeight="1" x14ac:dyDescent="0.25">
      <c r="A9" s="17"/>
      <c r="B9" s="5" t="s">
        <v>59</v>
      </c>
      <c r="C9" s="7">
        <f t="shared" si="0"/>
        <v>435000</v>
      </c>
      <c r="D9" s="7">
        <f t="shared" si="1"/>
        <v>304500</v>
      </c>
      <c r="E9" s="6">
        <f t="shared" si="2"/>
        <v>304500</v>
      </c>
      <c r="F9" s="9">
        <v>1</v>
      </c>
      <c r="G9" s="10" t="s">
        <v>7</v>
      </c>
      <c r="H9" s="5" t="s">
        <v>9</v>
      </c>
      <c r="I9">
        <v>193080</v>
      </c>
      <c r="J9">
        <f t="shared" si="3"/>
        <v>434430</v>
      </c>
    </row>
    <row r="10" spans="1:10" ht="20.25" customHeight="1" x14ac:dyDescent="0.25">
      <c r="A10" s="17"/>
      <c r="B10" s="5" t="s">
        <v>141</v>
      </c>
      <c r="C10" s="7">
        <f t="shared" si="0"/>
        <v>419000</v>
      </c>
      <c r="D10" s="7">
        <f t="shared" si="1"/>
        <v>293300</v>
      </c>
      <c r="E10" s="6">
        <f t="shared" si="2"/>
        <v>293300</v>
      </c>
      <c r="F10" s="9">
        <v>1</v>
      </c>
      <c r="G10" s="10" t="s">
        <v>7</v>
      </c>
      <c r="H10" s="5" t="s">
        <v>9</v>
      </c>
      <c r="I10">
        <v>186000</v>
      </c>
      <c r="J10">
        <f t="shared" si="3"/>
        <v>418500</v>
      </c>
    </row>
    <row r="11" spans="1:10" ht="20.25" customHeight="1" x14ac:dyDescent="0.25">
      <c r="A11" s="17"/>
      <c r="B11" s="5" t="s">
        <v>142</v>
      </c>
      <c r="C11" s="7">
        <f t="shared" si="0"/>
        <v>102000</v>
      </c>
      <c r="D11" s="7">
        <f t="shared" si="1"/>
        <v>71400</v>
      </c>
      <c r="E11" s="6">
        <f t="shared" si="2"/>
        <v>71400</v>
      </c>
      <c r="F11" s="9">
        <v>1</v>
      </c>
      <c r="G11" s="10" t="s">
        <v>7</v>
      </c>
      <c r="H11" s="5" t="s">
        <v>9</v>
      </c>
      <c r="I11">
        <v>45196.800000000003</v>
      </c>
      <c r="J11">
        <f t="shared" si="3"/>
        <v>101692.8</v>
      </c>
    </row>
    <row r="12" spans="1:10" ht="20.25" customHeight="1" x14ac:dyDescent="0.25">
      <c r="A12" s="17"/>
      <c r="B12" s="5" t="s">
        <v>143</v>
      </c>
      <c r="C12" s="7">
        <f t="shared" si="0"/>
        <v>191000</v>
      </c>
      <c r="D12" s="7">
        <f t="shared" si="1"/>
        <v>133700</v>
      </c>
      <c r="E12" s="6">
        <f t="shared" si="2"/>
        <v>133700</v>
      </c>
      <c r="F12" s="9">
        <v>1</v>
      </c>
      <c r="G12" s="10" t="s">
        <v>7</v>
      </c>
      <c r="H12" s="5" t="s">
        <v>9</v>
      </c>
      <c r="I12">
        <v>84636</v>
      </c>
      <c r="J12">
        <f t="shared" si="3"/>
        <v>190431</v>
      </c>
    </row>
    <row r="13" spans="1:10" ht="20.25" customHeight="1" x14ac:dyDescent="0.25">
      <c r="A13" s="17"/>
      <c r="B13" s="5" t="s">
        <v>144</v>
      </c>
      <c r="C13" s="7">
        <f t="shared" si="0"/>
        <v>196000</v>
      </c>
      <c r="D13" s="7">
        <f t="shared" si="1"/>
        <v>137200</v>
      </c>
      <c r="E13" s="6">
        <f t="shared" si="2"/>
        <v>1234800</v>
      </c>
      <c r="F13" s="9">
        <v>9</v>
      </c>
      <c r="G13" s="10" t="s">
        <v>7</v>
      </c>
      <c r="H13" s="5" t="s">
        <v>9</v>
      </c>
      <c r="I13">
        <v>86745</v>
      </c>
      <c r="J13">
        <f t="shared" si="3"/>
        <v>195176.25</v>
      </c>
    </row>
    <row r="14" spans="1:10" ht="20.25" customHeight="1" x14ac:dyDescent="0.25">
      <c r="A14" s="17"/>
      <c r="B14" s="5" t="s">
        <v>145</v>
      </c>
      <c r="C14" s="7">
        <f t="shared" si="0"/>
        <v>204000</v>
      </c>
      <c r="D14" s="7">
        <f t="shared" si="1"/>
        <v>142800</v>
      </c>
      <c r="E14" s="6">
        <f t="shared" si="2"/>
        <v>1142400</v>
      </c>
      <c r="F14" s="9">
        <v>8</v>
      </c>
      <c r="G14" s="10" t="s">
        <v>7</v>
      </c>
      <c r="H14" s="5" t="s">
        <v>9</v>
      </c>
      <c r="I14">
        <v>90654</v>
      </c>
      <c r="J14">
        <f t="shared" si="3"/>
        <v>203971.5</v>
      </c>
    </row>
    <row r="15" spans="1:10" ht="20.25" customHeight="1" x14ac:dyDescent="0.25">
      <c r="A15" s="17"/>
      <c r="B15" s="5" t="s">
        <v>146</v>
      </c>
      <c r="C15" s="7">
        <f t="shared" si="0"/>
        <v>67000</v>
      </c>
      <c r="D15" s="7">
        <f t="shared" si="1"/>
        <v>46900</v>
      </c>
      <c r="E15" s="6">
        <f t="shared" si="2"/>
        <v>4549300</v>
      </c>
      <c r="F15" s="9">
        <v>97</v>
      </c>
      <c r="G15" s="10" t="s">
        <v>7</v>
      </c>
      <c r="H15" s="5" t="s">
        <v>9</v>
      </c>
      <c r="I15">
        <v>29560.799999999999</v>
      </c>
      <c r="J15">
        <f t="shared" si="3"/>
        <v>66511.8</v>
      </c>
    </row>
    <row r="16" spans="1:10" ht="20.25" customHeight="1" x14ac:dyDescent="0.25">
      <c r="A16" s="17"/>
      <c r="B16" s="5" t="s">
        <v>147</v>
      </c>
      <c r="C16" s="7">
        <f t="shared" si="0"/>
        <v>51000</v>
      </c>
      <c r="D16" s="7">
        <f t="shared" si="1"/>
        <v>35700</v>
      </c>
      <c r="E16" s="6">
        <f t="shared" si="2"/>
        <v>71400</v>
      </c>
      <c r="F16" s="9">
        <v>2</v>
      </c>
      <c r="G16" s="10" t="s">
        <v>7</v>
      </c>
      <c r="H16" s="5" t="s">
        <v>9</v>
      </c>
      <c r="I16">
        <v>22312.2</v>
      </c>
      <c r="J16">
        <f t="shared" si="3"/>
        <v>50202.450000000004</v>
      </c>
    </row>
    <row r="17" spans="1:10" ht="20.25" customHeight="1" x14ac:dyDescent="0.25">
      <c r="A17" s="17"/>
      <c r="B17" s="5" t="s">
        <v>209</v>
      </c>
      <c r="C17" s="7">
        <f t="shared" si="0"/>
        <v>49000</v>
      </c>
      <c r="D17" s="7">
        <f t="shared" si="1"/>
        <v>34300</v>
      </c>
      <c r="E17" s="6">
        <f t="shared" si="2"/>
        <v>68600</v>
      </c>
      <c r="F17" s="9">
        <v>2</v>
      </c>
      <c r="G17" s="10" t="s">
        <v>7</v>
      </c>
      <c r="H17" s="5" t="s">
        <v>9</v>
      </c>
      <c r="I17">
        <v>21473.4</v>
      </c>
      <c r="J17">
        <f t="shared" si="3"/>
        <v>48315.15</v>
      </c>
    </row>
    <row r="18" spans="1:10" ht="20.25" customHeight="1" x14ac:dyDescent="0.25">
      <c r="A18" s="17"/>
      <c r="B18" s="5" t="s">
        <v>210</v>
      </c>
      <c r="C18" s="7">
        <f t="shared" si="0"/>
        <v>48000</v>
      </c>
      <c r="D18" s="7">
        <f t="shared" si="1"/>
        <v>33600</v>
      </c>
      <c r="E18" s="6">
        <f t="shared" si="2"/>
        <v>33600</v>
      </c>
      <c r="F18" s="9">
        <v>1</v>
      </c>
      <c r="G18" s="10" t="s">
        <v>7</v>
      </c>
      <c r="H18" s="5" t="s">
        <v>9</v>
      </c>
      <c r="I18">
        <v>21000</v>
      </c>
      <c r="J18">
        <f t="shared" si="3"/>
        <v>47250</v>
      </c>
    </row>
    <row r="19" spans="1:10" ht="20.25" customHeight="1" x14ac:dyDescent="0.25">
      <c r="A19" s="17"/>
      <c r="B19" s="5" t="s">
        <v>148</v>
      </c>
      <c r="C19" s="7">
        <f t="shared" si="0"/>
        <v>98000</v>
      </c>
      <c r="D19" s="7">
        <f t="shared" si="1"/>
        <v>68600</v>
      </c>
      <c r="E19" s="6">
        <f t="shared" si="2"/>
        <v>68600</v>
      </c>
      <c r="F19" s="9">
        <v>1</v>
      </c>
      <c r="G19" s="10" t="s">
        <v>7</v>
      </c>
      <c r="H19" s="5" t="s">
        <v>9</v>
      </c>
      <c r="I19">
        <v>43508.6</v>
      </c>
      <c r="J19">
        <f t="shared" si="3"/>
        <v>97894.349999999991</v>
      </c>
    </row>
    <row r="20" spans="1:10" ht="20.25" customHeight="1" x14ac:dyDescent="0.25">
      <c r="A20" s="17"/>
      <c r="B20" s="5" t="s">
        <v>149</v>
      </c>
      <c r="C20" s="7">
        <f t="shared" si="0"/>
        <v>191000</v>
      </c>
      <c r="D20" s="7">
        <f t="shared" si="1"/>
        <v>133700</v>
      </c>
      <c r="E20" s="6">
        <f t="shared" si="2"/>
        <v>133700</v>
      </c>
      <c r="F20" s="9">
        <v>1</v>
      </c>
      <c r="G20" s="10" t="s">
        <v>7</v>
      </c>
      <c r="H20" s="5" t="s">
        <v>9</v>
      </c>
      <c r="I20">
        <v>84636</v>
      </c>
      <c r="J20">
        <f t="shared" si="3"/>
        <v>190431</v>
      </c>
    </row>
    <row r="21" spans="1:10" ht="20.25" customHeight="1" x14ac:dyDescent="0.25">
      <c r="A21" s="17"/>
      <c r="B21" s="5" t="s">
        <v>211</v>
      </c>
      <c r="C21" s="7">
        <f t="shared" si="0"/>
        <v>196000</v>
      </c>
      <c r="D21" s="7">
        <f t="shared" si="1"/>
        <v>137200</v>
      </c>
      <c r="E21" s="6">
        <f t="shared" si="2"/>
        <v>1097600</v>
      </c>
      <c r="F21" s="9">
        <v>8</v>
      </c>
      <c r="G21" s="10" t="s">
        <v>7</v>
      </c>
      <c r="H21" s="5" t="s">
        <v>9</v>
      </c>
      <c r="I21">
        <v>86745</v>
      </c>
      <c r="J21">
        <f t="shared" si="3"/>
        <v>195176.25</v>
      </c>
    </row>
    <row r="22" spans="1:10" ht="20.25" customHeight="1" x14ac:dyDescent="0.25">
      <c r="A22" s="17"/>
      <c r="B22" s="5" t="s">
        <v>212</v>
      </c>
      <c r="C22" s="7">
        <f t="shared" si="0"/>
        <v>67000</v>
      </c>
      <c r="D22" s="7">
        <f t="shared" si="1"/>
        <v>46900</v>
      </c>
      <c r="E22" s="6">
        <f t="shared" si="2"/>
        <v>2063600</v>
      </c>
      <c r="F22" s="9">
        <v>44</v>
      </c>
      <c r="G22" s="10" t="s">
        <v>7</v>
      </c>
      <c r="H22" s="5" t="s">
        <v>9</v>
      </c>
      <c r="I22">
        <v>29560.799999999999</v>
      </c>
      <c r="J22">
        <f t="shared" si="3"/>
        <v>66511.8</v>
      </c>
    </row>
    <row r="23" spans="1:10" ht="20.25" customHeight="1" x14ac:dyDescent="0.25">
      <c r="A23" s="17"/>
      <c r="B23" s="5" t="s">
        <v>150</v>
      </c>
      <c r="C23" s="7">
        <f t="shared" si="0"/>
        <v>51000</v>
      </c>
      <c r="D23" s="7">
        <f t="shared" si="1"/>
        <v>35700</v>
      </c>
      <c r="E23" s="6">
        <f t="shared" si="2"/>
        <v>35700</v>
      </c>
      <c r="F23" s="9">
        <v>1</v>
      </c>
      <c r="G23" s="10" t="s">
        <v>7</v>
      </c>
      <c r="H23" s="5" t="s">
        <v>9</v>
      </c>
      <c r="I23">
        <v>22312.2</v>
      </c>
      <c r="J23">
        <f t="shared" si="3"/>
        <v>50202.450000000004</v>
      </c>
    </row>
    <row r="24" spans="1:10" ht="20.25" customHeight="1" x14ac:dyDescent="0.25">
      <c r="A24" s="17"/>
      <c r="B24" s="5" t="s">
        <v>151</v>
      </c>
      <c r="C24" s="7">
        <f t="shared" si="0"/>
        <v>48000</v>
      </c>
      <c r="D24" s="7">
        <f t="shared" si="1"/>
        <v>33600</v>
      </c>
      <c r="E24" s="6">
        <f t="shared" si="2"/>
        <v>33600</v>
      </c>
      <c r="F24" s="9">
        <v>1</v>
      </c>
      <c r="G24" s="10" t="s">
        <v>7</v>
      </c>
      <c r="H24" s="5" t="s">
        <v>9</v>
      </c>
      <c r="I24">
        <v>21054</v>
      </c>
      <c r="J24">
        <f t="shared" si="3"/>
        <v>47371.5</v>
      </c>
    </row>
    <row r="25" spans="1:10" ht="20.25" customHeight="1" x14ac:dyDescent="0.25">
      <c r="A25" s="17"/>
      <c r="B25" s="5" t="s">
        <v>152</v>
      </c>
      <c r="C25" s="7">
        <f t="shared" si="0"/>
        <v>48000</v>
      </c>
      <c r="D25" s="7">
        <f t="shared" si="1"/>
        <v>33600</v>
      </c>
      <c r="E25" s="6">
        <f t="shared" si="2"/>
        <v>33600</v>
      </c>
      <c r="F25" s="9">
        <v>1</v>
      </c>
      <c r="G25" s="10" t="s">
        <v>7</v>
      </c>
      <c r="H25" s="5" t="s">
        <v>9</v>
      </c>
      <c r="I25">
        <v>21000</v>
      </c>
      <c r="J25">
        <f t="shared" si="3"/>
        <v>47250</v>
      </c>
    </row>
    <row r="26" spans="1:10" ht="20.25" customHeight="1" x14ac:dyDescent="0.25">
      <c r="A26" s="17"/>
      <c r="B26" s="5" t="s">
        <v>153</v>
      </c>
      <c r="C26" s="7">
        <f t="shared" si="0"/>
        <v>98000</v>
      </c>
      <c r="D26" s="7">
        <f t="shared" si="1"/>
        <v>68600</v>
      </c>
      <c r="E26" s="6">
        <f t="shared" si="2"/>
        <v>68600</v>
      </c>
      <c r="F26" s="9">
        <v>1</v>
      </c>
      <c r="G26" s="10" t="s">
        <v>7</v>
      </c>
      <c r="H26" s="5" t="s">
        <v>9</v>
      </c>
      <c r="I26">
        <v>43508.6</v>
      </c>
      <c r="J26">
        <f t="shared" si="3"/>
        <v>97894.349999999991</v>
      </c>
    </row>
    <row r="27" spans="1:10" ht="20.25" customHeight="1" x14ac:dyDescent="0.25">
      <c r="A27" s="17"/>
      <c r="B27" s="5" t="s">
        <v>154</v>
      </c>
      <c r="C27" s="7">
        <f t="shared" si="0"/>
        <v>645000</v>
      </c>
      <c r="D27" s="7">
        <f t="shared" si="1"/>
        <v>451500</v>
      </c>
      <c r="E27" s="6">
        <f t="shared" si="2"/>
        <v>451500</v>
      </c>
      <c r="F27" s="9">
        <v>1</v>
      </c>
      <c r="G27" s="10" t="s">
        <v>7</v>
      </c>
      <c r="H27" s="5" t="s">
        <v>9</v>
      </c>
      <c r="I27">
        <v>286589.2</v>
      </c>
      <c r="J27">
        <f t="shared" si="3"/>
        <v>644825.70000000007</v>
      </c>
    </row>
    <row r="28" spans="1:10" ht="20.25" customHeight="1" x14ac:dyDescent="0.25">
      <c r="A28" s="17"/>
      <c r="B28" s="5" t="s">
        <v>159</v>
      </c>
      <c r="C28" s="7">
        <f t="shared" si="0"/>
        <v>522000</v>
      </c>
      <c r="D28" s="7">
        <f t="shared" si="1"/>
        <v>365400</v>
      </c>
      <c r="E28" s="6">
        <f t="shared" si="2"/>
        <v>365400</v>
      </c>
      <c r="F28" s="9">
        <v>1</v>
      </c>
      <c r="G28" s="10" t="s">
        <v>7</v>
      </c>
      <c r="H28" s="5" t="s">
        <v>9</v>
      </c>
      <c r="I28">
        <v>231623.2</v>
      </c>
      <c r="J28">
        <f t="shared" si="3"/>
        <v>521152.2</v>
      </c>
    </row>
    <row r="29" spans="1:10" ht="20.25" customHeight="1" x14ac:dyDescent="0.25">
      <c r="A29" s="17"/>
      <c r="B29" s="5" t="s">
        <v>164</v>
      </c>
      <c r="C29" s="7">
        <f t="shared" si="0"/>
        <v>926000</v>
      </c>
      <c r="D29" s="7">
        <f t="shared" si="1"/>
        <v>648200</v>
      </c>
      <c r="E29" s="6">
        <f t="shared" si="2"/>
        <v>648200</v>
      </c>
      <c r="F29" s="9">
        <v>1</v>
      </c>
      <c r="G29" s="10" t="s">
        <v>7</v>
      </c>
      <c r="H29" s="5" t="s">
        <v>9</v>
      </c>
      <c r="I29">
        <v>411156.00000000006</v>
      </c>
      <c r="J29">
        <f t="shared" si="3"/>
        <v>925101.00000000012</v>
      </c>
    </row>
    <row r="30" spans="1:10" ht="20.25" customHeight="1" x14ac:dyDescent="0.25">
      <c r="A30" s="17"/>
      <c r="B30" s="5" t="s">
        <v>165</v>
      </c>
      <c r="C30" s="7">
        <f t="shared" si="0"/>
        <v>442000</v>
      </c>
      <c r="D30" s="7">
        <f t="shared" si="1"/>
        <v>309400</v>
      </c>
      <c r="E30" s="6">
        <f t="shared" si="2"/>
        <v>309400</v>
      </c>
      <c r="F30" s="9">
        <v>1</v>
      </c>
      <c r="G30" s="10" t="s">
        <v>7</v>
      </c>
      <c r="H30" s="5" t="s">
        <v>9</v>
      </c>
      <c r="I30">
        <v>196246.8</v>
      </c>
      <c r="J30">
        <f t="shared" si="3"/>
        <v>441555.3</v>
      </c>
    </row>
    <row r="31" spans="1:10" ht="20.25" customHeight="1" x14ac:dyDescent="0.25">
      <c r="A31" s="17"/>
      <c r="B31" s="5" t="s">
        <v>72</v>
      </c>
      <c r="C31" s="7">
        <f t="shared" si="0"/>
        <v>419000</v>
      </c>
      <c r="D31" s="7">
        <f t="shared" si="1"/>
        <v>293300</v>
      </c>
      <c r="E31" s="6">
        <f t="shared" si="2"/>
        <v>293300</v>
      </c>
      <c r="F31" s="9">
        <v>1</v>
      </c>
      <c r="G31" s="10" t="s">
        <v>7</v>
      </c>
      <c r="H31" s="5" t="s">
        <v>9</v>
      </c>
      <c r="I31">
        <v>186000</v>
      </c>
      <c r="J31">
        <f t="shared" si="3"/>
        <v>418500</v>
      </c>
    </row>
    <row r="32" spans="1:10" ht="20.25" customHeight="1" x14ac:dyDescent="0.25">
      <c r="A32" s="17"/>
      <c r="B32" s="5" t="s">
        <v>166</v>
      </c>
      <c r="C32" s="7">
        <f t="shared" si="0"/>
        <v>148000</v>
      </c>
      <c r="D32" s="7">
        <f t="shared" si="1"/>
        <v>103600</v>
      </c>
      <c r="E32" s="6">
        <f t="shared" si="2"/>
        <v>103600</v>
      </c>
      <c r="F32" s="9">
        <v>1</v>
      </c>
      <c r="G32" s="10" t="s">
        <v>7</v>
      </c>
      <c r="H32" s="5" t="s">
        <v>9</v>
      </c>
      <c r="I32">
        <v>65596.800000000003</v>
      </c>
      <c r="J32">
        <f t="shared" si="3"/>
        <v>147592.80000000002</v>
      </c>
    </row>
    <row r="33" spans="1:10" ht="20.25" customHeight="1" x14ac:dyDescent="0.25">
      <c r="A33" s="17"/>
      <c r="B33" s="5" t="s">
        <v>167</v>
      </c>
      <c r="C33" s="7">
        <f t="shared" si="0"/>
        <v>183000</v>
      </c>
      <c r="D33" s="7">
        <f t="shared" si="1"/>
        <v>128099.99999999999</v>
      </c>
      <c r="E33" s="6">
        <f t="shared" si="2"/>
        <v>128099.99999999999</v>
      </c>
      <c r="F33" s="9">
        <v>1</v>
      </c>
      <c r="G33" s="10" t="s">
        <v>7</v>
      </c>
      <c r="H33" s="5" t="s">
        <v>9</v>
      </c>
      <c r="I33">
        <v>81327</v>
      </c>
      <c r="J33">
        <f t="shared" si="3"/>
        <v>182985.75</v>
      </c>
    </row>
    <row r="34" spans="1:10" ht="20.25" customHeight="1" x14ac:dyDescent="0.25">
      <c r="A34" s="17"/>
      <c r="B34" s="5" t="s">
        <v>168</v>
      </c>
      <c r="C34" s="7">
        <f t="shared" si="0"/>
        <v>191000</v>
      </c>
      <c r="D34" s="7">
        <f t="shared" si="1"/>
        <v>133700</v>
      </c>
      <c r="E34" s="6">
        <f t="shared" si="2"/>
        <v>1203300</v>
      </c>
      <c r="F34" s="9">
        <v>9</v>
      </c>
      <c r="G34" s="10" t="s">
        <v>7</v>
      </c>
      <c r="H34" s="5" t="s">
        <v>9</v>
      </c>
      <c r="I34">
        <v>84636</v>
      </c>
      <c r="J34">
        <f t="shared" si="3"/>
        <v>190431</v>
      </c>
    </row>
    <row r="35" spans="1:10" ht="20.25" customHeight="1" x14ac:dyDescent="0.25">
      <c r="A35" s="17"/>
      <c r="B35" s="5" t="s">
        <v>73</v>
      </c>
      <c r="C35" s="7">
        <f t="shared" si="0"/>
        <v>67000</v>
      </c>
      <c r="D35" s="7">
        <f t="shared" si="1"/>
        <v>46900</v>
      </c>
      <c r="E35" s="6">
        <f t="shared" si="2"/>
        <v>2626400</v>
      </c>
      <c r="F35" s="9">
        <v>56</v>
      </c>
      <c r="G35" s="10" t="s">
        <v>7</v>
      </c>
      <c r="H35" s="5" t="s">
        <v>9</v>
      </c>
      <c r="I35">
        <v>29560.799999999999</v>
      </c>
      <c r="J35">
        <f t="shared" si="3"/>
        <v>66511.8</v>
      </c>
    </row>
    <row r="36" spans="1:10" ht="20.25" customHeight="1" x14ac:dyDescent="0.25">
      <c r="A36" s="17"/>
      <c r="B36" s="5" t="s">
        <v>74</v>
      </c>
      <c r="C36" s="7">
        <f t="shared" si="0"/>
        <v>50000</v>
      </c>
      <c r="D36" s="7">
        <f t="shared" si="1"/>
        <v>35000</v>
      </c>
      <c r="E36" s="6">
        <f t="shared" si="2"/>
        <v>70000</v>
      </c>
      <c r="F36" s="9">
        <v>2</v>
      </c>
      <c r="G36" s="10" t="s">
        <v>7</v>
      </c>
      <c r="H36" s="5" t="s">
        <v>9</v>
      </c>
      <c r="I36">
        <v>21892.799999999999</v>
      </c>
      <c r="J36">
        <f t="shared" si="3"/>
        <v>49258.799999999996</v>
      </c>
    </row>
    <row r="37" spans="1:10" ht="20.25" customHeight="1" x14ac:dyDescent="0.25">
      <c r="A37" s="17"/>
      <c r="B37" s="5" t="s">
        <v>75</v>
      </c>
      <c r="C37" s="7">
        <f t="shared" si="0"/>
        <v>48000</v>
      </c>
      <c r="D37" s="7">
        <f t="shared" si="1"/>
        <v>33600</v>
      </c>
      <c r="E37" s="6">
        <f t="shared" si="2"/>
        <v>67200</v>
      </c>
      <c r="F37" s="9">
        <v>2</v>
      </c>
      <c r="G37" s="10" t="s">
        <v>7</v>
      </c>
      <c r="H37" s="5" t="s">
        <v>9</v>
      </c>
      <c r="I37">
        <v>21054</v>
      </c>
      <c r="J37">
        <f t="shared" si="3"/>
        <v>47371.5</v>
      </c>
    </row>
    <row r="38" spans="1:10" ht="20.25" customHeight="1" x14ac:dyDescent="0.25">
      <c r="A38" s="17"/>
      <c r="B38" s="5" t="s">
        <v>169</v>
      </c>
      <c r="C38" s="7">
        <f t="shared" si="0"/>
        <v>48000</v>
      </c>
      <c r="D38" s="7">
        <f t="shared" si="1"/>
        <v>33600</v>
      </c>
      <c r="E38" s="6">
        <f t="shared" si="2"/>
        <v>33600</v>
      </c>
      <c r="F38" s="9">
        <v>1</v>
      </c>
      <c r="G38" s="10" t="s">
        <v>7</v>
      </c>
      <c r="H38" s="5" t="s">
        <v>9</v>
      </c>
      <c r="I38">
        <v>21000</v>
      </c>
      <c r="J38">
        <f t="shared" si="3"/>
        <v>47250</v>
      </c>
    </row>
    <row r="39" spans="1:10" ht="20.25" customHeight="1" x14ac:dyDescent="0.25">
      <c r="A39" s="17"/>
      <c r="B39" s="5" t="s">
        <v>76</v>
      </c>
      <c r="C39" s="7">
        <f t="shared" si="0"/>
        <v>98000</v>
      </c>
      <c r="D39" s="7">
        <f t="shared" si="1"/>
        <v>68600</v>
      </c>
      <c r="E39" s="6">
        <f t="shared" si="2"/>
        <v>68600</v>
      </c>
      <c r="F39" s="9">
        <v>1</v>
      </c>
      <c r="G39" s="10" t="s">
        <v>7</v>
      </c>
      <c r="H39" s="5" t="s">
        <v>9</v>
      </c>
      <c r="I39">
        <v>43508.6</v>
      </c>
      <c r="J39">
        <f t="shared" si="3"/>
        <v>97894.349999999991</v>
      </c>
    </row>
    <row r="40" spans="1:10" ht="20.25" customHeight="1" x14ac:dyDescent="0.25">
      <c r="A40" s="17"/>
      <c r="B40" s="5" t="s">
        <v>77</v>
      </c>
      <c r="C40" s="7">
        <f t="shared" si="0"/>
        <v>90000</v>
      </c>
      <c r="D40" s="7">
        <f t="shared" si="1"/>
        <v>62999.999999999993</v>
      </c>
      <c r="E40" s="6">
        <f t="shared" si="2"/>
        <v>62999.999999999993</v>
      </c>
      <c r="F40" s="9">
        <v>1</v>
      </c>
      <c r="G40" s="10" t="s">
        <v>7</v>
      </c>
      <c r="H40" s="5" t="s">
        <v>9</v>
      </c>
      <c r="I40">
        <v>39675</v>
      </c>
      <c r="J40">
        <f t="shared" si="3"/>
        <v>89268.75</v>
      </c>
    </row>
    <row r="41" spans="1:10" ht="20.25" customHeight="1" x14ac:dyDescent="0.25">
      <c r="A41" s="17"/>
      <c r="B41" s="5" t="s">
        <v>170</v>
      </c>
      <c r="C41" s="7">
        <f t="shared" si="0"/>
        <v>584000</v>
      </c>
      <c r="D41" s="7">
        <f t="shared" si="1"/>
        <v>408800</v>
      </c>
      <c r="E41" s="6">
        <f t="shared" si="2"/>
        <v>408800</v>
      </c>
      <c r="F41" s="9">
        <v>1</v>
      </c>
      <c r="G41" s="10" t="s">
        <v>7</v>
      </c>
      <c r="H41" s="5" t="s">
        <v>9</v>
      </c>
      <c r="I41">
        <v>259341.8</v>
      </c>
      <c r="J41">
        <f t="shared" si="3"/>
        <v>583519.04999999993</v>
      </c>
    </row>
    <row r="42" spans="1:10" ht="20.25" customHeight="1" x14ac:dyDescent="0.25">
      <c r="A42" s="17"/>
      <c r="B42" s="5" t="s">
        <v>173</v>
      </c>
      <c r="C42" s="7">
        <f t="shared" si="0"/>
        <v>468000</v>
      </c>
      <c r="D42" s="7">
        <f t="shared" si="1"/>
        <v>327600</v>
      </c>
      <c r="E42" s="6">
        <f t="shared" si="2"/>
        <v>327600</v>
      </c>
      <c r="F42" s="9">
        <v>1</v>
      </c>
      <c r="G42" s="10" t="s">
        <v>7</v>
      </c>
      <c r="H42" s="5" t="s">
        <v>9</v>
      </c>
      <c r="I42">
        <v>207772</v>
      </c>
      <c r="J42">
        <f t="shared" si="3"/>
        <v>467487</v>
      </c>
    </row>
    <row r="43" spans="1:10" ht="20.25" customHeight="1" x14ac:dyDescent="0.25">
      <c r="A43" s="17"/>
      <c r="B43" s="5" t="s">
        <v>174</v>
      </c>
      <c r="C43" s="7">
        <f t="shared" si="0"/>
        <v>59000</v>
      </c>
      <c r="D43" s="7">
        <f t="shared" si="1"/>
        <v>41300</v>
      </c>
      <c r="E43" s="6">
        <f t="shared" si="2"/>
        <v>41300</v>
      </c>
      <c r="F43" s="9">
        <v>1</v>
      </c>
      <c r="G43" s="10" t="s">
        <v>7</v>
      </c>
      <c r="H43" s="5" t="s">
        <v>9</v>
      </c>
      <c r="I43">
        <v>26167.200000000001</v>
      </c>
      <c r="J43">
        <f t="shared" si="3"/>
        <v>58876.200000000004</v>
      </c>
    </row>
    <row r="44" spans="1:10" ht="20.25" customHeight="1" x14ac:dyDescent="0.25">
      <c r="A44" s="17"/>
      <c r="B44" s="5" t="s">
        <v>215</v>
      </c>
      <c r="C44" s="7">
        <f t="shared" si="0"/>
        <v>59000</v>
      </c>
      <c r="D44" s="7">
        <f t="shared" si="1"/>
        <v>41300</v>
      </c>
      <c r="E44" s="6">
        <f t="shared" si="2"/>
        <v>41300</v>
      </c>
      <c r="F44" s="9">
        <v>1</v>
      </c>
      <c r="G44" s="10" t="s">
        <v>7</v>
      </c>
      <c r="H44" s="5" t="s">
        <v>9</v>
      </c>
      <c r="I44">
        <v>25795.8</v>
      </c>
      <c r="J44">
        <f t="shared" si="3"/>
        <v>58040.549999999996</v>
      </c>
    </row>
    <row r="45" spans="1:10" ht="20.25" customHeight="1" x14ac:dyDescent="0.25">
      <c r="A45" s="17"/>
      <c r="B45" s="5" t="s">
        <v>214</v>
      </c>
      <c r="C45" s="7">
        <f t="shared" si="0"/>
        <v>59000</v>
      </c>
      <c r="D45" s="7">
        <f t="shared" si="1"/>
        <v>41300</v>
      </c>
      <c r="E45" s="6">
        <f t="shared" si="2"/>
        <v>82600</v>
      </c>
      <c r="F45" s="9">
        <v>2</v>
      </c>
      <c r="G45" s="10" t="s">
        <v>7</v>
      </c>
      <c r="H45" s="5" t="s">
        <v>9</v>
      </c>
      <c r="I45">
        <v>25795.8</v>
      </c>
      <c r="J45">
        <f t="shared" si="3"/>
        <v>58040.549999999996</v>
      </c>
    </row>
    <row r="46" spans="1:10" ht="20.25" customHeight="1" x14ac:dyDescent="0.25">
      <c r="A46" s="17"/>
      <c r="B46" s="5" t="s">
        <v>89</v>
      </c>
      <c r="C46" s="7">
        <f t="shared" si="0"/>
        <v>174000</v>
      </c>
      <c r="D46" s="7">
        <f t="shared" si="1"/>
        <v>121799.99999999999</v>
      </c>
      <c r="E46" s="6">
        <f t="shared" si="2"/>
        <v>121799.99999999999</v>
      </c>
      <c r="F46" s="9">
        <v>1</v>
      </c>
      <c r="G46" s="10" t="s">
        <v>7</v>
      </c>
      <c r="H46" s="5" t="s">
        <v>9</v>
      </c>
      <c r="I46">
        <v>76903</v>
      </c>
      <c r="J46">
        <f t="shared" si="3"/>
        <v>173031.75</v>
      </c>
    </row>
    <row r="47" spans="1:10" ht="20.25" customHeight="1" x14ac:dyDescent="0.25">
      <c r="A47" s="17"/>
      <c r="B47" s="5" t="s">
        <v>90</v>
      </c>
      <c r="C47" s="7">
        <f t="shared" si="0"/>
        <v>134000</v>
      </c>
      <c r="D47" s="7">
        <f t="shared" si="1"/>
        <v>93800</v>
      </c>
      <c r="E47" s="6">
        <f t="shared" si="2"/>
        <v>93800</v>
      </c>
      <c r="F47" s="9">
        <v>1</v>
      </c>
      <c r="G47" s="10" t="s">
        <v>7</v>
      </c>
      <c r="H47" s="5" t="s">
        <v>9</v>
      </c>
      <c r="I47">
        <v>59246.399999999994</v>
      </c>
      <c r="J47">
        <f t="shared" si="3"/>
        <v>133304.4</v>
      </c>
    </row>
    <row r="48" spans="1:10" ht="20.25" customHeight="1" x14ac:dyDescent="0.25">
      <c r="A48" s="17"/>
      <c r="B48" s="5" t="s">
        <v>175</v>
      </c>
      <c r="C48" s="7">
        <f t="shared" si="0"/>
        <v>191000</v>
      </c>
      <c r="D48" s="7">
        <f t="shared" si="1"/>
        <v>133700</v>
      </c>
      <c r="E48" s="6">
        <f t="shared" si="2"/>
        <v>133700</v>
      </c>
      <c r="F48" s="9">
        <v>1</v>
      </c>
      <c r="G48" s="10" t="s">
        <v>7</v>
      </c>
      <c r="H48" s="5" t="s">
        <v>9</v>
      </c>
      <c r="I48">
        <v>84636</v>
      </c>
      <c r="J48">
        <f t="shared" si="3"/>
        <v>190431</v>
      </c>
    </row>
    <row r="49" spans="1:10" ht="20.25" customHeight="1" x14ac:dyDescent="0.25">
      <c r="A49" s="17"/>
      <c r="B49" s="5" t="s">
        <v>176</v>
      </c>
      <c r="C49" s="7">
        <f t="shared" si="0"/>
        <v>196000</v>
      </c>
      <c r="D49" s="7">
        <f t="shared" si="1"/>
        <v>137200</v>
      </c>
      <c r="E49" s="6">
        <f t="shared" si="2"/>
        <v>1097600</v>
      </c>
      <c r="F49" s="9">
        <v>8</v>
      </c>
      <c r="G49" s="10" t="s">
        <v>7</v>
      </c>
      <c r="H49" s="5" t="s">
        <v>9</v>
      </c>
      <c r="I49">
        <v>86745</v>
      </c>
      <c r="J49">
        <f t="shared" si="3"/>
        <v>195176.25</v>
      </c>
    </row>
    <row r="50" spans="1:10" ht="20.25" customHeight="1" x14ac:dyDescent="0.25">
      <c r="A50" s="17"/>
      <c r="B50" s="5" t="s">
        <v>91</v>
      </c>
      <c r="C50" s="7">
        <f t="shared" si="0"/>
        <v>67000</v>
      </c>
      <c r="D50" s="7">
        <f t="shared" si="1"/>
        <v>46900</v>
      </c>
      <c r="E50" s="6">
        <f t="shared" si="2"/>
        <v>2063600</v>
      </c>
      <c r="F50" s="9">
        <v>44</v>
      </c>
      <c r="G50" s="10" t="s">
        <v>7</v>
      </c>
      <c r="H50" s="5" t="s">
        <v>9</v>
      </c>
      <c r="I50">
        <v>29560.799999999999</v>
      </c>
      <c r="J50">
        <f t="shared" si="3"/>
        <v>66511.8</v>
      </c>
    </row>
    <row r="51" spans="1:10" ht="20.25" customHeight="1" x14ac:dyDescent="0.25">
      <c r="A51" s="17"/>
      <c r="B51" s="5" t="s">
        <v>92</v>
      </c>
      <c r="C51" s="7">
        <f t="shared" si="0"/>
        <v>51000</v>
      </c>
      <c r="D51" s="7">
        <f t="shared" si="1"/>
        <v>35700</v>
      </c>
      <c r="E51" s="6">
        <f t="shared" si="2"/>
        <v>35700</v>
      </c>
      <c r="F51" s="9">
        <v>1</v>
      </c>
      <c r="G51" s="10" t="s">
        <v>7</v>
      </c>
      <c r="H51" s="5" t="s">
        <v>9</v>
      </c>
      <c r="I51">
        <v>22312.2</v>
      </c>
      <c r="J51">
        <f t="shared" si="3"/>
        <v>50202.450000000004</v>
      </c>
    </row>
    <row r="52" spans="1:10" ht="20.25" customHeight="1" x14ac:dyDescent="0.25">
      <c r="A52" s="17"/>
      <c r="B52" s="5" t="s">
        <v>93</v>
      </c>
      <c r="C52" s="7">
        <f t="shared" si="0"/>
        <v>48000</v>
      </c>
      <c r="D52" s="7">
        <f t="shared" si="1"/>
        <v>33600</v>
      </c>
      <c r="E52" s="6">
        <f t="shared" si="2"/>
        <v>33600</v>
      </c>
      <c r="F52" s="9">
        <v>1</v>
      </c>
      <c r="G52" s="10" t="s">
        <v>7</v>
      </c>
      <c r="H52" s="5" t="s">
        <v>9</v>
      </c>
      <c r="I52">
        <v>21054</v>
      </c>
      <c r="J52">
        <f t="shared" si="3"/>
        <v>47371.5</v>
      </c>
    </row>
    <row r="53" spans="1:10" ht="20.25" customHeight="1" x14ac:dyDescent="0.25">
      <c r="A53" s="17"/>
      <c r="B53" s="5" t="s">
        <v>94</v>
      </c>
      <c r="C53" s="7">
        <f t="shared" si="0"/>
        <v>48000</v>
      </c>
      <c r="D53" s="7">
        <f t="shared" si="1"/>
        <v>33600</v>
      </c>
      <c r="E53" s="6">
        <f t="shared" si="2"/>
        <v>33600</v>
      </c>
      <c r="F53" s="9">
        <v>1</v>
      </c>
      <c r="G53" s="10" t="s">
        <v>7</v>
      </c>
      <c r="H53" s="5" t="s">
        <v>9</v>
      </c>
      <c r="I53">
        <v>21000</v>
      </c>
      <c r="J53">
        <f t="shared" si="3"/>
        <v>47250</v>
      </c>
    </row>
    <row r="54" spans="1:10" ht="20.25" customHeight="1" x14ac:dyDescent="0.25">
      <c r="A54" s="17"/>
      <c r="B54" s="5" t="s">
        <v>95</v>
      </c>
      <c r="C54" s="7">
        <f t="shared" si="0"/>
        <v>98000</v>
      </c>
      <c r="D54" s="7">
        <f t="shared" si="1"/>
        <v>68600</v>
      </c>
      <c r="E54" s="6">
        <f t="shared" si="2"/>
        <v>68600</v>
      </c>
      <c r="F54" s="9">
        <v>1</v>
      </c>
      <c r="G54" s="10" t="s">
        <v>7</v>
      </c>
      <c r="H54" s="5" t="s">
        <v>9</v>
      </c>
      <c r="I54">
        <v>43508.6</v>
      </c>
      <c r="J54">
        <f t="shared" si="3"/>
        <v>97894.349999999991</v>
      </c>
    </row>
    <row r="55" spans="1:10" ht="20.25" customHeight="1" x14ac:dyDescent="0.25">
      <c r="A55" s="17"/>
      <c r="B55" s="5" t="s">
        <v>177</v>
      </c>
      <c r="C55" s="7">
        <f t="shared" si="0"/>
        <v>663000</v>
      </c>
      <c r="D55" s="7">
        <f t="shared" si="1"/>
        <v>464099.99999999994</v>
      </c>
      <c r="E55" s="6">
        <f t="shared" si="2"/>
        <v>464099.99999999994</v>
      </c>
      <c r="F55" s="9">
        <v>1</v>
      </c>
      <c r="G55" s="10" t="s">
        <v>7</v>
      </c>
      <c r="H55" s="5" t="s">
        <v>9</v>
      </c>
      <c r="I55">
        <v>294437.2</v>
      </c>
      <c r="J55">
        <f t="shared" si="3"/>
        <v>662483.70000000007</v>
      </c>
    </row>
    <row r="56" spans="1:10" ht="20.25" customHeight="1" x14ac:dyDescent="0.25">
      <c r="A56" s="17"/>
      <c r="B56" s="5" t="s">
        <v>182</v>
      </c>
      <c r="C56" s="7">
        <f t="shared" si="0"/>
        <v>507000</v>
      </c>
      <c r="D56" s="7">
        <f t="shared" si="1"/>
        <v>354900</v>
      </c>
      <c r="E56" s="6">
        <f t="shared" si="2"/>
        <v>354900</v>
      </c>
      <c r="F56" s="9">
        <v>1</v>
      </c>
      <c r="G56" s="10" t="s">
        <v>7</v>
      </c>
      <c r="H56" s="5" t="s">
        <v>9</v>
      </c>
      <c r="I56">
        <v>225299.8</v>
      </c>
      <c r="J56">
        <f t="shared" si="3"/>
        <v>506924.55</v>
      </c>
    </row>
    <row r="57" spans="1:10" ht="20.25" customHeight="1" x14ac:dyDescent="0.25">
      <c r="A57" s="17"/>
      <c r="B57" s="5" t="s">
        <v>183</v>
      </c>
      <c r="C57" s="7">
        <f t="shared" si="0"/>
        <v>971000</v>
      </c>
      <c r="D57" s="7">
        <f t="shared" si="1"/>
        <v>679700</v>
      </c>
      <c r="E57" s="6">
        <f t="shared" si="2"/>
        <v>679700</v>
      </c>
      <c r="F57" s="9">
        <v>1</v>
      </c>
      <c r="G57" s="10" t="s">
        <v>7</v>
      </c>
      <c r="H57" s="5" t="s">
        <v>9</v>
      </c>
      <c r="I57">
        <v>431182.80000000005</v>
      </c>
      <c r="J57">
        <f t="shared" si="3"/>
        <v>970161.3</v>
      </c>
    </row>
    <row r="58" spans="1:10" ht="20.25" customHeight="1" x14ac:dyDescent="0.25">
      <c r="A58" s="17"/>
      <c r="B58" s="5" t="s">
        <v>216</v>
      </c>
      <c r="C58" s="7">
        <f t="shared" si="0"/>
        <v>415000</v>
      </c>
      <c r="D58" s="7">
        <f t="shared" si="1"/>
        <v>290500</v>
      </c>
      <c r="E58" s="6">
        <f t="shared" si="2"/>
        <v>290500</v>
      </c>
      <c r="F58" s="9">
        <v>1</v>
      </c>
      <c r="G58" s="10" t="s">
        <v>7</v>
      </c>
      <c r="H58" s="5" t="s">
        <v>9</v>
      </c>
      <c r="I58">
        <v>184080</v>
      </c>
      <c r="J58">
        <f t="shared" si="3"/>
        <v>414180</v>
      </c>
    </row>
    <row r="59" spans="1:10" ht="20.25" customHeight="1" x14ac:dyDescent="0.25">
      <c r="A59" s="17"/>
      <c r="B59" s="5" t="s">
        <v>184</v>
      </c>
      <c r="C59" s="7">
        <f t="shared" si="0"/>
        <v>419000</v>
      </c>
      <c r="D59" s="7">
        <f t="shared" si="1"/>
        <v>293300</v>
      </c>
      <c r="E59" s="6">
        <f t="shared" si="2"/>
        <v>293300</v>
      </c>
      <c r="F59" s="9">
        <v>1</v>
      </c>
      <c r="G59" s="10" t="s">
        <v>7</v>
      </c>
      <c r="H59" s="5" t="s">
        <v>9</v>
      </c>
      <c r="I59">
        <v>186000</v>
      </c>
      <c r="J59">
        <f t="shared" si="3"/>
        <v>418500</v>
      </c>
    </row>
    <row r="60" spans="1:10" ht="20.25" customHeight="1" x14ac:dyDescent="0.25">
      <c r="A60" s="17"/>
      <c r="B60" s="5" t="s">
        <v>96</v>
      </c>
      <c r="C60" s="7">
        <f t="shared" si="0"/>
        <v>104000</v>
      </c>
      <c r="D60" s="7">
        <f t="shared" si="1"/>
        <v>72800</v>
      </c>
      <c r="E60" s="6">
        <f t="shared" si="2"/>
        <v>72800</v>
      </c>
      <c r="F60" s="9">
        <v>1</v>
      </c>
      <c r="G60" s="10" t="s">
        <v>7</v>
      </c>
      <c r="H60" s="5" t="s">
        <v>9</v>
      </c>
      <c r="I60">
        <v>45795</v>
      </c>
      <c r="J60">
        <f t="shared" si="3"/>
        <v>103038.75</v>
      </c>
    </row>
    <row r="61" spans="1:10" ht="20.25" customHeight="1" x14ac:dyDescent="0.25">
      <c r="A61" s="17"/>
      <c r="B61" s="5" t="s">
        <v>185</v>
      </c>
      <c r="C61" s="7">
        <f t="shared" si="0"/>
        <v>191000</v>
      </c>
      <c r="D61" s="7">
        <f t="shared" si="1"/>
        <v>133700</v>
      </c>
      <c r="E61" s="6">
        <f t="shared" si="2"/>
        <v>1337000</v>
      </c>
      <c r="F61" s="9">
        <v>10</v>
      </c>
      <c r="G61" s="10" t="s">
        <v>7</v>
      </c>
      <c r="H61" s="5" t="s">
        <v>9</v>
      </c>
      <c r="I61">
        <v>84636</v>
      </c>
      <c r="J61">
        <f t="shared" si="3"/>
        <v>190431</v>
      </c>
    </row>
    <row r="62" spans="1:10" ht="20.25" customHeight="1" x14ac:dyDescent="0.25">
      <c r="A62" s="17"/>
      <c r="B62" s="5" t="s">
        <v>97</v>
      </c>
      <c r="C62" s="7">
        <f t="shared" si="0"/>
        <v>196000</v>
      </c>
      <c r="D62" s="7">
        <f t="shared" si="1"/>
        <v>137200</v>
      </c>
      <c r="E62" s="6">
        <f t="shared" si="2"/>
        <v>1097600</v>
      </c>
      <c r="F62" s="9">
        <v>8</v>
      </c>
      <c r="G62" s="10" t="s">
        <v>7</v>
      </c>
      <c r="H62" s="5" t="s">
        <v>9</v>
      </c>
      <c r="I62">
        <v>86745</v>
      </c>
      <c r="J62">
        <f t="shared" si="3"/>
        <v>195176.25</v>
      </c>
    </row>
    <row r="63" spans="1:10" ht="20.25" customHeight="1" x14ac:dyDescent="0.25">
      <c r="A63" s="17"/>
      <c r="B63" s="5" t="s">
        <v>98</v>
      </c>
      <c r="C63" s="7">
        <f t="shared" si="0"/>
        <v>67000</v>
      </c>
      <c r="D63" s="7">
        <f t="shared" si="1"/>
        <v>46900</v>
      </c>
      <c r="E63" s="6">
        <f t="shared" si="2"/>
        <v>3752000</v>
      </c>
      <c r="F63" s="9">
        <v>80</v>
      </c>
      <c r="G63" s="10" t="s">
        <v>7</v>
      </c>
      <c r="H63" s="5" t="s">
        <v>9</v>
      </c>
      <c r="I63">
        <v>29560.799999999999</v>
      </c>
      <c r="J63">
        <f t="shared" si="3"/>
        <v>66511.8</v>
      </c>
    </row>
    <row r="64" spans="1:10" ht="20.25" customHeight="1" x14ac:dyDescent="0.25">
      <c r="A64" s="17"/>
      <c r="B64" s="5" t="s">
        <v>99</v>
      </c>
      <c r="C64" s="7">
        <f t="shared" si="0"/>
        <v>51000</v>
      </c>
      <c r="D64" s="7">
        <f t="shared" si="1"/>
        <v>35700</v>
      </c>
      <c r="E64" s="6">
        <f t="shared" si="2"/>
        <v>71400</v>
      </c>
      <c r="F64" s="9">
        <v>2</v>
      </c>
      <c r="G64" s="10" t="s">
        <v>7</v>
      </c>
      <c r="H64" s="5" t="s">
        <v>9</v>
      </c>
      <c r="I64">
        <v>22312.2</v>
      </c>
      <c r="J64">
        <f t="shared" si="3"/>
        <v>50202.450000000004</v>
      </c>
    </row>
    <row r="65" spans="1:10" ht="20.25" customHeight="1" x14ac:dyDescent="0.25">
      <c r="A65" s="17"/>
      <c r="B65" s="5" t="s">
        <v>217</v>
      </c>
      <c r="C65" s="7">
        <f t="shared" si="0"/>
        <v>49000</v>
      </c>
      <c r="D65" s="7">
        <f t="shared" si="1"/>
        <v>34300</v>
      </c>
      <c r="E65" s="6">
        <f t="shared" si="2"/>
        <v>68600</v>
      </c>
      <c r="F65" s="9">
        <v>2</v>
      </c>
      <c r="G65" s="10" t="s">
        <v>7</v>
      </c>
      <c r="H65" s="5" t="s">
        <v>9</v>
      </c>
      <c r="I65">
        <v>21473.4</v>
      </c>
      <c r="J65">
        <f t="shared" si="3"/>
        <v>48315.15</v>
      </c>
    </row>
    <row r="66" spans="1:10" ht="20.25" customHeight="1" x14ac:dyDescent="0.25">
      <c r="A66" s="17"/>
      <c r="B66" s="5" t="s">
        <v>101</v>
      </c>
      <c r="C66" s="7">
        <f t="shared" si="0"/>
        <v>48000</v>
      </c>
      <c r="D66" s="7">
        <f t="shared" si="1"/>
        <v>33600</v>
      </c>
      <c r="E66" s="6">
        <f t="shared" si="2"/>
        <v>33600</v>
      </c>
      <c r="F66" s="9">
        <v>1</v>
      </c>
      <c r="G66" s="10" t="s">
        <v>7</v>
      </c>
      <c r="H66" s="5" t="s">
        <v>9</v>
      </c>
      <c r="I66">
        <v>21000</v>
      </c>
      <c r="J66">
        <f t="shared" si="3"/>
        <v>47250</v>
      </c>
    </row>
    <row r="67" spans="1:10" ht="20.25" customHeight="1" x14ac:dyDescent="0.25">
      <c r="A67" s="17"/>
      <c r="B67" s="5" t="s">
        <v>100</v>
      </c>
      <c r="C67" s="7">
        <f t="shared" ref="C67:C101" si="4">ROUNDUP(J67,-3)</f>
        <v>98000</v>
      </c>
      <c r="D67" s="7">
        <f t="shared" ref="D67:D101" si="5">0.7*C67</f>
        <v>68600</v>
      </c>
      <c r="E67" s="6">
        <f t="shared" ref="E67:E101" si="6">D67*F67</f>
        <v>68600</v>
      </c>
      <c r="F67" s="9">
        <v>1</v>
      </c>
      <c r="G67" s="10" t="s">
        <v>7</v>
      </c>
      <c r="H67" s="5" t="s">
        <v>9</v>
      </c>
      <c r="I67">
        <v>43508.6</v>
      </c>
      <c r="J67">
        <f t="shared" ref="J67:J101" si="7">2.25*I67</f>
        <v>97894.349999999991</v>
      </c>
    </row>
    <row r="68" spans="1:10" ht="20.25" customHeight="1" x14ac:dyDescent="0.25">
      <c r="A68" s="17"/>
      <c r="B68" s="5" t="s">
        <v>186</v>
      </c>
      <c r="C68" s="7">
        <f t="shared" si="4"/>
        <v>191000</v>
      </c>
      <c r="D68" s="7">
        <f t="shared" si="5"/>
        <v>133700</v>
      </c>
      <c r="E68" s="6">
        <f t="shared" si="6"/>
        <v>133700</v>
      </c>
      <c r="F68" s="9">
        <v>1</v>
      </c>
      <c r="G68" s="10" t="s">
        <v>7</v>
      </c>
      <c r="H68" s="5" t="s">
        <v>9</v>
      </c>
      <c r="I68">
        <v>84636</v>
      </c>
      <c r="J68">
        <f t="shared" si="7"/>
        <v>190431</v>
      </c>
    </row>
    <row r="69" spans="1:10" ht="20.25" customHeight="1" x14ac:dyDescent="0.25">
      <c r="A69" s="17"/>
      <c r="B69" s="5" t="s">
        <v>102</v>
      </c>
      <c r="C69" s="7">
        <f t="shared" si="4"/>
        <v>196000</v>
      </c>
      <c r="D69" s="7">
        <f t="shared" si="5"/>
        <v>137200</v>
      </c>
      <c r="E69" s="6">
        <f t="shared" si="6"/>
        <v>1097600</v>
      </c>
      <c r="F69" s="9">
        <v>8</v>
      </c>
      <c r="G69" s="10" t="s">
        <v>7</v>
      </c>
      <c r="H69" s="5" t="s">
        <v>9</v>
      </c>
      <c r="I69">
        <v>86745</v>
      </c>
      <c r="J69">
        <f t="shared" si="7"/>
        <v>195176.25</v>
      </c>
    </row>
    <row r="70" spans="1:10" ht="20.25" customHeight="1" x14ac:dyDescent="0.25">
      <c r="A70" s="17"/>
      <c r="B70" s="5" t="s">
        <v>103</v>
      </c>
      <c r="C70" s="7">
        <f t="shared" si="4"/>
        <v>67000</v>
      </c>
      <c r="D70" s="7">
        <f t="shared" si="5"/>
        <v>46900</v>
      </c>
      <c r="E70" s="6">
        <f t="shared" si="6"/>
        <v>2063600</v>
      </c>
      <c r="F70" s="9">
        <v>44</v>
      </c>
      <c r="G70" s="10" t="s">
        <v>7</v>
      </c>
      <c r="H70" s="5" t="s">
        <v>9</v>
      </c>
      <c r="I70">
        <v>29560.799999999999</v>
      </c>
      <c r="J70">
        <f t="shared" si="7"/>
        <v>66511.8</v>
      </c>
    </row>
    <row r="71" spans="1:10" ht="20.25" customHeight="1" x14ac:dyDescent="0.25">
      <c r="A71" s="17"/>
      <c r="B71" s="5" t="s">
        <v>218</v>
      </c>
      <c r="C71" s="7">
        <f t="shared" si="4"/>
        <v>51000</v>
      </c>
      <c r="D71" s="7">
        <f t="shared" si="5"/>
        <v>35700</v>
      </c>
      <c r="E71" s="6">
        <f t="shared" si="6"/>
        <v>35700</v>
      </c>
      <c r="F71" s="9">
        <v>1</v>
      </c>
      <c r="G71" s="10" t="s">
        <v>7</v>
      </c>
      <c r="H71" s="5" t="s">
        <v>9</v>
      </c>
      <c r="I71">
        <v>22312.2</v>
      </c>
      <c r="J71">
        <f t="shared" si="7"/>
        <v>50202.450000000004</v>
      </c>
    </row>
    <row r="72" spans="1:10" ht="20.25" customHeight="1" x14ac:dyDescent="0.25">
      <c r="A72" s="17"/>
      <c r="B72" s="5" t="s">
        <v>104</v>
      </c>
      <c r="C72" s="7">
        <f t="shared" si="4"/>
        <v>48000</v>
      </c>
      <c r="D72" s="7">
        <f t="shared" si="5"/>
        <v>33600</v>
      </c>
      <c r="E72" s="6">
        <f t="shared" si="6"/>
        <v>33600</v>
      </c>
      <c r="F72" s="9">
        <v>1</v>
      </c>
      <c r="G72" s="10" t="s">
        <v>7</v>
      </c>
      <c r="H72" s="5" t="s">
        <v>9</v>
      </c>
      <c r="I72">
        <v>21054</v>
      </c>
      <c r="J72">
        <f t="shared" si="7"/>
        <v>47371.5</v>
      </c>
    </row>
    <row r="73" spans="1:10" ht="20.25" customHeight="1" x14ac:dyDescent="0.25">
      <c r="A73" s="17"/>
      <c r="B73" s="5" t="s">
        <v>105</v>
      </c>
      <c r="C73" s="7">
        <f t="shared" si="4"/>
        <v>48000</v>
      </c>
      <c r="D73" s="7">
        <f t="shared" si="5"/>
        <v>33600</v>
      </c>
      <c r="E73" s="6">
        <f t="shared" si="6"/>
        <v>33600</v>
      </c>
      <c r="F73" s="9">
        <v>1</v>
      </c>
      <c r="G73" s="10" t="s">
        <v>7</v>
      </c>
      <c r="H73" s="5" t="s">
        <v>9</v>
      </c>
      <c r="I73">
        <v>21000</v>
      </c>
      <c r="J73">
        <f t="shared" si="7"/>
        <v>47250</v>
      </c>
    </row>
    <row r="74" spans="1:10" ht="20.25" customHeight="1" x14ac:dyDescent="0.25">
      <c r="A74" s="17"/>
      <c r="B74" s="5" t="s">
        <v>106</v>
      </c>
      <c r="C74" s="7">
        <f t="shared" si="4"/>
        <v>98000</v>
      </c>
      <c r="D74" s="7">
        <f t="shared" si="5"/>
        <v>68600</v>
      </c>
      <c r="E74" s="6">
        <f t="shared" si="6"/>
        <v>68600</v>
      </c>
      <c r="F74" s="9">
        <v>1</v>
      </c>
      <c r="G74" s="10" t="s">
        <v>7</v>
      </c>
      <c r="H74" s="5" t="s">
        <v>9</v>
      </c>
      <c r="I74">
        <v>43508.6</v>
      </c>
      <c r="J74">
        <f t="shared" si="7"/>
        <v>97894.349999999991</v>
      </c>
    </row>
    <row r="75" spans="1:10" ht="20.25" customHeight="1" x14ac:dyDescent="0.25">
      <c r="A75" s="17"/>
      <c r="B75" s="5" t="s">
        <v>187</v>
      </c>
      <c r="C75" s="7">
        <f t="shared" si="4"/>
        <v>644000</v>
      </c>
      <c r="D75" s="7">
        <f t="shared" si="5"/>
        <v>450800</v>
      </c>
      <c r="E75" s="6">
        <f t="shared" si="6"/>
        <v>450800</v>
      </c>
      <c r="F75" s="9">
        <v>1</v>
      </c>
      <c r="G75" s="10" t="s">
        <v>7</v>
      </c>
      <c r="H75" s="5" t="s">
        <v>9</v>
      </c>
      <c r="I75">
        <v>286078.59999999998</v>
      </c>
      <c r="J75">
        <f t="shared" si="7"/>
        <v>643676.85</v>
      </c>
    </row>
    <row r="76" spans="1:10" ht="20.25" customHeight="1" x14ac:dyDescent="0.25">
      <c r="A76" s="17"/>
      <c r="B76" s="5" t="s">
        <v>188</v>
      </c>
      <c r="C76" s="7">
        <f t="shared" si="4"/>
        <v>537000</v>
      </c>
      <c r="D76" s="7">
        <f t="shared" si="5"/>
        <v>375900</v>
      </c>
      <c r="E76" s="6">
        <f t="shared" si="6"/>
        <v>375900</v>
      </c>
      <c r="F76" s="9">
        <v>1</v>
      </c>
      <c r="G76" s="10" t="s">
        <v>7</v>
      </c>
      <c r="H76" s="5" t="s">
        <v>9</v>
      </c>
      <c r="I76">
        <v>238462.2</v>
      </c>
      <c r="J76">
        <f t="shared" si="7"/>
        <v>536539.95000000007</v>
      </c>
    </row>
    <row r="77" spans="1:10" ht="20.25" customHeight="1" x14ac:dyDescent="0.25">
      <c r="A77" s="17"/>
      <c r="B77" s="5" t="s">
        <v>107</v>
      </c>
      <c r="C77" s="7">
        <f t="shared" si="4"/>
        <v>1000000</v>
      </c>
      <c r="D77" s="7">
        <f t="shared" si="5"/>
        <v>700000</v>
      </c>
      <c r="E77" s="6">
        <f t="shared" si="6"/>
        <v>700000</v>
      </c>
      <c r="F77" s="9">
        <v>1</v>
      </c>
      <c r="G77" s="10" t="s">
        <v>7</v>
      </c>
      <c r="H77" s="5" t="s">
        <v>9</v>
      </c>
      <c r="I77">
        <v>444076.80000000005</v>
      </c>
      <c r="J77">
        <f t="shared" si="7"/>
        <v>999172.8</v>
      </c>
    </row>
    <row r="78" spans="1:10" ht="20.25" customHeight="1" x14ac:dyDescent="0.25">
      <c r="A78" s="17"/>
      <c r="B78" s="5" t="s">
        <v>108</v>
      </c>
      <c r="C78" s="7">
        <f t="shared" si="4"/>
        <v>422000</v>
      </c>
      <c r="D78" s="7">
        <f t="shared" si="5"/>
        <v>295400</v>
      </c>
      <c r="E78" s="6">
        <f t="shared" si="6"/>
        <v>295400</v>
      </c>
      <c r="F78" s="9">
        <v>1</v>
      </c>
      <c r="G78" s="10" t="s">
        <v>7</v>
      </c>
      <c r="H78" s="5" t="s">
        <v>9</v>
      </c>
      <c r="I78">
        <v>187246.8</v>
      </c>
      <c r="J78">
        <f t="shared" si="7"/>
        <v>421305.3</v>
      </c>
    </row>
    <row r="79" spans="1:10" ht="20.25" customHeight="1" x14ac:dyDescent="0.25">
      <c r="A79" s="17"/>
      <c r="B79" s="5" t="s">
        <v>109</v>
      </c>
      <c r="C79" s="7">
        <f t="shared" si="4"/>
        <v>419000</v>
      </c>
      <c r="D79" s="7">
        <f t="shared" si="5"/>
        <v>293300</v>
      </c>
      <c r="E79" s="6">
        <f t="shared" si="6"/>
        <v>293300</v>
      </c>
      <c r="F79" s="9">
        <v>1</v>
      </c>
      <c r="G79" s="10" t="s">
        <v>7</v>
      </c>
      <c r="H79" s="5" t="s">
        <v>9</v>
      </c>
      <c r="I79">
        <v>186000</v>
      </c>
      <c r="J79">
        <f t="shared" si="7"/>
        <v>418500</v>
      </c>
    </row>
    <row r="80" spans="1:10" ht="20.25" customHeight="1" x14ac:dyDescent="0.25">
      <c r="A80" s="17"/>
      <c r="B80" s="5" t="s">
        <v>219</v>
      </c>
      <c r="C80" s="7">
        <f t="shared" si="4"/>
        <v>108000</v>
      </c>
      <c r="D80" s="7">
        <f t="shared" si="5"/>
        <v>75600</v>
      </c>
      <c r="E80" s="6">
        <f t="shared" si="6"/>
        <v>75600</v>
      </c>
      <c r="F80" s="9">
        <v>1</v>
      </c>
      <c r="G80" s="10" t="s">
        <v>7</v>
      </c>
      <c r="H80" s="5" t="s">
        <v>9</v>
      </c>
      <c r="I80">
        <v>47596.800000000003</v>
      </c>
      <c r="J80">
        <f t="shared" si="7"/>
        <v>107092.8</v>
      </c>
    </row>
    <row r="81" spans="1:10" ht="20.25" customHeight="1" x14ac:dyDescent="0.25">
      <c r="A81" s="17"/>
      <c r="B81" s="5" t="s">
        <v>110</v>
      </c>
      <c r="C81" s="7">
        <f t="shared" si="4"/>
        <v>191000</v>
      </c>
      <c r="D81" s="7">
        <f t="shared" si="5"/>
        <v>133700</v>
      </c>
      <c r="E81" s="6">
        <f t="shared" si="6"/>
        <v>2139200</v>
      </c>
      <c r="F81" s="9">
        <v>16</v>
      </c>
      <c r="G81" s="10" t="s">
        <v>7</v>
      </c>
      <c r="H81" s="5" t="s">
        <v>9</v>
      </c>
      <c r="I81">
        <v>84636</v>
      </c>
      <c r="J81">
        <f t="shared" si="7"/>
        <v>190431</v>
      </c>
    </row>
    <row r="82" spans="1:10" ht="20.25" customHeight="1" x14ac:dyDescent="0.25">
      <c r="A82" s="17"/>
      <c r="B82" s="5" t="s">
        <v>111</v>
      </c>
      <c r="C82" s="7">
        <f t="shared" si="4"/>
        <v>67000</v>
      </c>
      <c r="D82" s="7">
        <f t="shared" si="5"/>
        <v>46900</v>
      </c>
      <c r="E82" s="6">
        <f t="shared" si="6"/>
        <v>3001600</v>
      </c>
      <c r="F82" s="9">
        <v>64</v>
      </c>
      <c r="G82" s="10" t="s">
        <v>7</v>
      </c>
      <c r="H82" s="5" t="s">
        <v>9</v>
      </c>
      <c r="I82">
        <v>29560.799999999999</v>
      </c>
      <c r="J82">
        <f t="shared" si="7"/>
        <v>66511.8</v>
      </c>
    </row>
    <row r="83" spans="1:10" ht="20.25" customHeight="1" x14ac:dyDescent="0.25">
      <c r="A83" s="17"/>
      <c r="B83" s="5" t="s">
        <v>112</v>
      </c>
      <c r="C83" s="7">
        <f t="shared" si="4"/>
        <v>55000</v>
      </c>
      <c r="D83" s="7">
        <f t="shared" si="5"/>
        <v>38500</v>
      </c>
      <c r="E83" s="6">
        <f t="shared" si="6"/>
        <v>38500</v>
      </c>
      <c r="F83" s="9">
        <v>1</v>
      </c>
      <c r="G83" s="10" t="s">
        <v>7</v>
      </c>
      <c r="H83" s="5" t="s">
        <v>9</v>
      </c>
      <c r="I83">
        <v>24420</v>
      </c>
      <c r="J83">
        <f t="shared" si="7"/>
        <v>54945</v>
      </c>
    </row>
    <row r="84" spans="1:10" ht="20.25" customHeight="1" x14ac:dyDescent="0.25">
      <c r="A84" s="17"/>
      <c r="B84" s="5" t="s">
        <v>113</v>
      </c>
      <c r="C84" s="7">
        <f t="shared" si="4"/>
        <v>50000</v>
      </c>
      <c r="D84" s="7">
        <f t="shared" si="5"/>
        <v>35000</v>
      </c>
      <c r="E84" s="6">
        <f t="shared" si="6"/>
        <v>70000</v>
      </c>
      <c r="F84" s="9">
        <v>2</v>
      </c>
      <c r="G84" s="10" t="s">
        <v>7</v>
      </c>
      <c r="H84" s="5" t="s">
        <v>9</v>
      </c>
      <c r="I84">
        <v>21892.799999999999</v>
      </c>
      <c r="J84">
        <f t="shared" si="7"/>
        <v>49258.799999999996</v>
      </c>
    </row>
    <row r="85" spans="1:10" ht="20.25" customHeight="1" x14ac:dyDescent="0.25">
      <c r="A85" s="17"/>
      <c r="B85" s="5" t="s">
        <v>114</v>
      </c>
      <c r="C85" s="7">
        <f t="shared" si="4"/>
        <v>48000</v>
      </c>
      <c r="D85" s="7">
        <f t="shared" si="5"/>
        <v>33600</v>
      </c>
      <c r="E85" s="6">
        <f t="shared" si="6"/>
        <v>67200</v>
      </c>
      <c r="F85" s="9">
        <v>2</v>
      </c>
      <c r="G85" s="10" t="s">
        <v>7</v>
      </c>
      <c r="H85" s="5" t="s">
        <v>9</v>
      </c>
      <c r="I85">
        <v>21054</v>
      </c>
      <c r="J85">
        <f t="shared" si="7"/>
        <v>47371.5</v>
      </c>
    </row>
    <row r="86" spans="1:10" ht="20.25" customHeight="1" x14ac:dyDescent="0.25">
      <c r="A86" s="17"/>
      <c r="B86" s="5" t="s">
        <v>115</v>
      </c>
      <c r="C86" s="7">
        <f t="shared" si="4"/>
        <v>48000</v>
      </c>
      <c r="D86" s="7">
        <f t="shared" si="5"/>
        <v>33600</v>
      </c>
      <c r="E86" s="6">
        <f t="shared" si="6"/>
        <v>33600</v>
      </c>
      <c r="F86" s="9">
        <v>1</v>
      </c>
      <c r="G86" s="10" t="s">
        <v>7</v>
      </c>
      <c r="H86" s="5" t="s">
        <v>9</v>
      </c>
      <c r="I86">
        <v>21000</v>
      </c>
      <c r="J86">
        <f t="shared" si="7"/>
        <v>47250</v>
      </c>
    </row>
    <row r="87" spans="1:10" ht="20.25" customHeight="1" x14ac:dyDescent="0.25">
      <c r="A87" s="17"/>
      <c r="B87" s="5" t="s">
        <v>116</v>
      </c>
      <c r="C87" s="7">
        <f t="shared" si="4"/>
        <v>98000</v>
      </c>
      <c r="D87" s="7">
        <f t="shared" si="5"/>
        <v>68600</v>
      </c>
      <c r="E87" s="6">
        <f t="shared" si="6"/>
        <v>68600</v>
      </c>
      <c r="F87" s="9">
        <v>1</v>
      </c>
      <c r="G87" s="10" t="s">
        <v>7</v>
      </c>
      <c r="H87" s="5" t="s">
        <v>9</v>
      </c>
      <c r="I87">
        <v>43508.6</v>
      </c>
      <c r="J87">
        <f t="shared" si="7"/>
        <v>97894.349999999991</v>
      </c>
    </row>
    <row r="88" spans="1:10" ht="20.25" customHeight="1" x14ac:dyDescent="0.25">
      <c r="A88" s="17"/>
      <c r="B88" s="5" t="s">
        <v>117</v>
      </c>
      <c r="C88" s="7">
        <f t="shared" si="4"/>
        <v>90000</v>
      </c>
      <c r="D88" s="7">
        <f t="shared" si="5"/>
        <v>62999.999999999993</v>
      </c>
      <c r="E88" s="6">
        <f t="shared" si="6"/>
        <v>62999.999999999993</v>
      </c>
      <c r="F88" s="9">
        <v>1</v>
      </c>
      <c r="G88" s="10" t="s">
        <v>7</v>
      </c>
      <c r="H88" s="5" t="s">
        <v>9</v>
      </c>
      <c r="I88">
        <v>39675</v>
      </c>
      <c r="J88">
        <f t="shared" si="7"/>
        <v>89268.75</v>
      </c>
    </row>
    <row r="89" spans="1:10" ht="20.25" customHeight="1" x14ac:dyDescent="0.25">
      <c r="A89" s="17"/>
      <c r="B89" s="5" t="s">
        <v>191</v>
      </c>
      <c r="C89" s="7">
        <f t="shared" si="4"/>
        <v>467000</v>
      </c>
      <c r="D89" s="7">
        <f t="shared" si="5"/>
        <v>326900</v>
      </c>
      <c r="E89" s="6">
        <f t="shared" si="6"/>
        <v>326900</v>
      </c>
      <c r="F89" s="9">
        <v>1</v>
      </c>
      <c r="G89" s="10" t="s">
        <v>7</v>
      </c>
      <c r="H89" s="5" t="s">
        <v>9</v>
      </c>
      <c r="I89">
        <v>207490.99999999997</v>
      </c>
      <c r="J89">
        <f t="shared" si="7"/>
        <v>466854.74999999994</v>
      </c>
    </row>
    <row r="90" spans="1:10" ht="20.25" customHeight="1" x14ac:dyDescent="0.25">
      <c r="A90" s="17"/>
      <c r="B90" s="5" t="s">
        <v>192</v>
      </c>
      <c r="C90" s="7">
        <f t="shared" si="4"/>
        <v>471000</v>
      </c>
      <c r="D90" s="7">
        <f t="shared" si="5"/>
        <v>329700</v>
      </c>
      <c r="E90" s="6">
        <f t="shared" si="6"/>
        <v>329700</v>
      </c>
      <c r="F90" s="9">
        <v>1</v>
      </c>
      <c r="G90" s="10" t="s">
        <v>7</v>
      </c>
      <c r="H90" s="5" t="s">
        <v>9</v>
      </c>
      <c r="I90">
        <v>209262.4</v>
      </c>
      <c r="J90">
        <f t="shared" si="7"/>
        <v>470840.39999999997</v>
      </c>
    </row>
    <row r="91" spans="1:10" ht="20.25" customHeight="1" x14ac:dyDescent="0.25">
      <c r="A91" s="17"/>
      <c r="B91" s="5" t="s">
        <v>118</v>
      </c>
      <c r="C91" s="7">
        <f t="shared" si="4"/>
        <v>126000</v>
      </c>
      <c r="D91" s="7">
        <f t="shared" si="5"/>
        <v>88200</v>
      </c>
      <c r="E91" s="6">
        <f t="shared" si="6"/>
        <v>88200</v>
      </c>
      <c r="F91" s="9">
        <v>1</v>
      </c>
      <c r="G91" s="10" t="s">
        <v>7</v>
      </c>
      <c r="H91" s="5" t="s">
        <v>9</v>
      </c>
      <c r="I91">
        <v>55795.8</v>
      </c>
      <c r="J91">
        <f t="shared" si="7"/>
        <v>125540.55</v>
      </c>
    </row>
    <row r="92" spans="1:10" ht="20.25" customHeight="1" x14ac:dyDescent="0.25">
      <c r="A92" s="17"/>
      <c r="B92" s="5" t="s">
        <v>119</v>
      </c>
      <c r="C92" s="7">
        <f t="shared" si="4"/>
        <v>59000</v>
      </c>
      <c r="D92" s="7">
        <f t="shared" si="5"/>
        <v>41300</v>
      </c>
      <c r="E92" s="6">
        <f t="shared" si="6"/>
        <v>165200</v>
      </c>
      <c r="F92" s="9">
        <v>4</v>
      </c>
      <c r="G92" s="10" t="s">
        <v>7</v>
      </c>
      <c r="H92" s="5" t="s">
        <v>9</v>
      </c>
      <c r="I92">
        <v>25795.8</v>
      </c>
      <c r="J92">
        <f t="shared" si="7"/>
        <v>58040.549999999996</v>
      </c>
    </row>
    <row r="93" spans="1:10" ht="20.25" customHeight="1" x14ac:dyDescent="0.25">
      <c r="A93" s="17"/>
      <c r="B93" s="5" t="s">
        <v>120</v>
      </c>
      <c r="C93" s="7">
        <f t="shared" si="4"/>
        <v>174000</v>
      </c>
      <c r="D93" s="7">
        <f t="shared" si="5"/>
        <v>121799.99999999999</v>
      </c>
      <c r="E93" s="6">
        <f t="shared" si="6"/>
        <v>121799.99999999999</v>
      </c>
      <c r="F93" s="9">
        <v>1</v>
      </c>
      <c r="G93" s="10" t="s">
        <v>7</v>
      </c>
      <c r="H93" s="5" t="s">
        <v>9</v>
      </c>
      <c r="I93">
        <v>76903</v>
      </c>
      <c r="J93">
        <f t="shared" si="7"/>
        <v>173031.75</v>
      </c>
    </row>
    <row r="94" spans="1:10" ht="20.25" customHeight="1" x14ac:dyDescent="0.25">
      <c r="A94" s="17"/>
      <c r="B94" s="5" t="s">
        <v>121</v>
      </c>
      <c r="C94" s="7">
        <f t="shared" si="4"/>
        <v>134000</v>
      </c>
      <c r="D94" s="7">
        <f t="shared" si="5"/>
        <v>93800</v>
      </c>
      <c r="E94" s="6">
        <f t="shared" si="6"/>
        <v>93800</v>
      </c>
      <c r="F94" s="9">
        <v>1</v>
      </c>
      <c r="G94" s="10" t="s">
        <v>7</v>
      </c>
      <c r="H94" s="5" t="s">
        <v>9</v>
      </c>
      <c r="I94">
        <v>59246.399999999994</v>
      </c>
      <c r="J94">
        <f t="shared" si="7"/>
        <v>133304.4</v>
      </c>
    </row>
    <row r="95" spans="1:10" ht="20.25" customHeight="1" x14ac:dyDescent="0.25">
      <c r="A95" s="17"/>
      <c r="B95" s="5" t="s">
        <v>122</v>
      </c>
      <c r="C95" s="7">
        <f t="shared" si="4"/>
        <v>191000</v>
      </c>
      <c r="D95" s="7">
        <f t="shared" si="5"/>
        <v>133700</v>
      </c>
      <c r="E95" s="6">
        <f t="shared" si="6"/>
        <v>133700</v>
      </c>
      <c r="F95" s="9">
        <v>1</v>
      </c>
      <c r="G95" s="10" t="s">
        <v>7</v>
      </c>
      <c r="H95" s="5" t="s">
        <v>9</v>
      </c>
      <c r="I95">
        <v>84636</v>
      </c>
      <c r="J95">
        <f t="shared" si="7"/>
        <v>190431</v>
      </c>
    </row>
    <row r="96" spans="1:10" ht="20.25" customHeight="1" x14ac:dyDescent="0.25">
      <c r="A96" s="17"/>
      <c r="B96" s="5" t="s">
        <v>123</v>
      </c>
      <c r="C96" s="7">
        <f t="shared" si="4"/>
        <v>196000</v>
      </c>
      <c r="D96" s="7">
        <f t="shared" si="5"/>
        <v>137200</v>
      </c>
      <c r="E96" s="6">
        <f t="shared" si="6"/>
        <v>1097600</v>
      </c>
      <c r="F96" s="9">
        <v>8</v>
      </c>
      <c r="G96" s="10" t="s">
        <v>7</v>
      </c>
      <c r="H96" s="5" t="s">
        <v>9</v>
      </c>
      <c r="I96">
        <v>86745</v>
      </c>
      <c r="J96">
        <f t="shared" si="7"/>
        <v>195176.25</v>
      </c>
    </row>
    <row r="97" spans="1:10" ht="20.25" customHeight="1" x14ac:dyDescent="0.25">
      <c r="A97" s="17"/>
      <c r="B97" s="5" t="s">
        <v>124</v>
      </c>
      <c r="C97" s="7">
        <f t="shared" si="4"/>
        <v>67000</v>
      </c>
      <c r="D97" s="7">
        <f t="shared" si="5"/>
        <v>46900</v>
      </c>
      <c r="E97" s="6">
        <f t="shared" si="6"/>
        <v>2063600</v>
      </c>
      <c r="F97" s="9">
        <v>44</v>
      </c>
      <c r="G97" s="10" t="s">
        <v>7</v>
      </c>
      <c r="H97" s="5" t="s">
        <v>9</v>
      </c>
      <c r="I97">
        <v>29560.799999999999</v>
      </c>
      <c r="J97">
        <f t="shared" si="7"/>
        <v>66511.8</v>
      </c>
    </row>
    <row r="98" spans="1:10" ht="20.25" customHeight="1" x14ac:dyDescent="0.25">
      <c r="A98" s="17"/>
      <c r="B98" s="5" t="s">
        <v>220</v>
      </c>
      <c r="C98" s="7">
        <f t="shared" si="4"/>
        <v>51000</v>
      </c>
      <c r="D98" s="7">
        <f t="shared" si="5"/>
        <v>35700</v>
      </c>
      <c r="E98" s="6">
        <f t="shared" si="6"/>
        <v>35700</v>
      </c>
      <c r="F98" s="9">
        <v>1</v>
      </c>
      <c r="G98" s="10" t="s">
        <v>7</v>
      </c>
      <c r="H98" s="5" t="s">
        <v>9</v>
      </c>
      <c r="I98">
        <v>22312.2</v>
      </c>
      <c r="J98">
        <f t="shared" si="7"/>
        <v>50202.450000000004</v>
      </c>
    </row>
    <row r="99" spans="1:10" ht="20.25" customHeight="1" x14ac:dyDescent="0.25">
      <c r="A99" s="17"/>
      <c r="B99" s="5" t="s">
        <v>207</v>
      </c>
      <c r="C99" s="7">
        <f t="shared" si="4"/>
        <v>48000</v>
      </c>
      <c r="D99" s="7">
        <f t="shared" si="5"/>
        <v>33600</v>
      </c>
      <c r="E99" s="6">
        <f t="shared" si="6"/>
        <v>33600</v>
      </c>
      <c r="F99" s="9">
        <v>1</v>
      </c>
      <c r="G99" s="10" t="s">
        <v>7</v>
      </c>
      <c r="H99" s="5" t="s">
        <v>9</v>
      </c>
      <c r="I99">
        <v>21054</v>
      </c>
      <c r="J99">
        <f t="shared" si="7"/>
        <v>47371.5</v>
      </c>
    </row>
    <row r="100" spans="1:10" ht="20.25" customHeight="1" x14ac:dyDescent="0.25">
      <c r="A100" s="17"/>
      <c r="B100" s="5" t="s">
        <v>125</v>
      </c>
      <c r="C100" s="7">
        <f t="shared" si="4"/>
        <v>48000</v>
      </c>
      <c r="D100" s="7">
        <f t="shared" si="5"/>
        <v>33600</v>
      </c>
      <c r="E100" s="6">
        <f t="shared" si="6"/>
        <v>33600</v>
      </c>
      <c r="F100" s="9">
        <v>1</v>
      </c>
      <c r="G100" s="10" t="s">
        <v>7</v>
      </c>
      <c r="H100" s="5" t="s">
        <v>9</v>
      </c>
      <c r="I100">
        <v>21000</v>
      </c>
      <c r="J100">
        <f t="shared" si="7"/>
        <v>47250</v>
      </c>
    </row>
    <row r="101" spans="1:10" ht="20.25" customHeight="1" x14ac:dyDescent="0.25">
      <c r="A101" s="17"/>
      <c r="B101" s="5" t="s">
        <v>126</v>
      </c>
      <c r="C101" s="7">
        <f t="shared" si="4"/>
        <v>98000</v>
      </c>
      <c r="D101" s="7">
        <f t="shared" si="5"/>
        <v>68600</v>
      </c>
      <c r="E101" s="6">
        <f t="shared" si="6"/>
        <v>68600</v>
      </c>
      <c r="F101" s="9">
        <v>1</v>
      </c>
      <c r="G101" s="10" t="s">
        <v>7</v>
      </c>
      <c r="H101" s="5" t="s">
        <v>9</v>
      </c>
      <c r="I101">
        <v>43508.6</v>
      </c>
      <c r="J101">
        <f t="shared" si="7"/>
        <v>97894.349999999991</v>
      </c>
    </row>
  </sheetData>
  <autoFilter ref="A1:I101" xr:uid="{79D4C316-B605-4117-A256-9C1AFE898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2026-06-24T13:35:34Z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