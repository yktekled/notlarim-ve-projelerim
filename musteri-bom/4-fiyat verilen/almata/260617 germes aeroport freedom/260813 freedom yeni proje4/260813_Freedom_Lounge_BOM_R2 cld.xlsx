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7 germes aeroport freedom\260813 freedom yeni proje\"/>
    </mc:Choice>
  </mc:AlternateContent>
  <xr:revisionPtr revIDLastSave="0" documentId="13_ncr:1_{AF2FC060-74D1-45E8-B468-0961B4F03BA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KURALLAR" sheetId="1" r:id="rId1"/>
    <sheet name="BOM" sheetId="2" r:id="rId2"/>
    <sheet name="СВОД" sheetId="3" r:id="rId3"/>
  </sheets>
  <definedNames>
    <definedName name="_xlnm._FilterDatabase" localSheetId="1" hidden="1">BOM!$A$1:$O$82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0" i="2" l="1"/>
  <c r="B80" i="2"/>
  <c r="B79" i="2"/>
  <c r="G78" i="2"/>
  <c r="H78" i="2" s="1"/>
  <c r="B78" i="2"/>
  <c r="G77" i="2"/>
  <c r="H77" i="2" s="1"/>
  <c r="B77" i="2"/>
  <c r="G76" i="2"/>
  <c r="H76" i="2" s="1"/>
  <c r="B76" i="2"/>
  <c r="G75" i="2"/>
  <c r="H75" i="2" s="1"/>
  <c r="B75" i="2"/>
  <c r="G74" i="2"/>
  <c r="H74" i="2" s="1"/>
  <c r="B74" i="2"/>
  <c r="G73" i="2"/>
  <c r="H73" i="2" s="1"/>
  <c r="B73" i="2"/>
  <c r="G72" i="2"/>
  <c r="H72" i="2" s="1"/>
  <c r="B72" i="2"/>
  <c r="G71" i="2"/>
  <c r="H71" i="2" s="1"/>
  <c r="B71" i="2"/>
  <c r="G70" i="2"/>
  <c r="H70" i="2" s="1"/>
  <c r="B70" i="2"/>
  <c r="G69" i="2"/>
  <c r="H69" i="2" s="1"/>
  <c r="B69" i="2"/>
  <c r="G68" i="2"/>
  <c r="H68" i="2" s="1"/>
  <c r="B68" i="2"/>
  <c r="G67" i="2"/>
  <c r="H67" i="2" s="1"/>
  <c r="B67" i="2"/>
  <c r="G66" i="2"/>
  <c r="H66" i="2" s="1"/>
  <c r="B66" i="2"/>
  <c r="G65" i="2"/>
  <c r="H65" i="2" s="1"/>
  <c r="B65" i="2"/>
  <c r="G64" i="2"/>
  <c r="H64" i="2" s="1"/>
  <c r="B64" i="2"/>
  <c r="G63" i="2"/>
  <c r="H63" i="2" s="1"/>
  <c r="B63" i="2"/>
  <c r="G60" i="2"/>
  <c r="B60" i="2"/>
  <c r="B59" i="2"/>
  <c r="G58" i="2"/>
  <c r="H58" i="2" s="1"/>
  <c r="B58" i="2"/>
  <c r="G57" i="2"/>
  <c r="H57" i="2" s="1"/>
  <c r="B57" i="2"/>
  <c r="G56" i="2"/>
  <c r="H56" i="2" s="1"/>
  <c r="B56" i="2"/>
  <c r="G55" i="2"/>
  <c r="H55" i="2" s="1"/>
  <c r="B55" i="2"/>
  <c r="G54" i="2"/>
  <c r="H54" i="2" s="1"/>
  <c r="B54" i="2"/>
  <c r="G53" i="2"/>
  <c r="H53" i="2" s="1"/>
  <c r="B53" i="2"/>
  <c r="G52" i="2"/>
  <c r="H52" i="2" s="1"/>
  <c r="B52" i="2"/>
  <c r="G51" i="2"/>
  <c r="H51" i="2" s="1"/>
  <c r="B51" i="2"/>
  <c r="G50" i="2"/>
  <c r="H50" i="2" s="1"/>
  <c r="B50" i="2"/>
  <c r="G49" i="2"/>
  <c r="H49" i="2" s="1"/>
  <c r="B49" i="2"/>
  <c r="G48" i="2"/>
  <c r="H48" i="2" s="1"/>
  <c r="B48" i="2"/>
  <c r="G47" i="2"/>
  <c r="H47" i="2" s="1"/>
  <c r="B47" i="2"/>
  <c r="G46" i="2"/>
  <c r="H46" i="2" s="1"/>
  <c r="B46" i="2"/>
  <c r="G45" i="2"/>
  <c r="H45" i="2" s="1"/>
  <c r="B45" i="2"/>
  <c r="G44" i="2"/>
  <c r="H44" i="2" s="1"/>
  <c r="B44" i="2"/>
  <c r="G43" i="2"/>
  <c r="H43" i="2" s="1"/>
  <c r="B43" i="2"/>
  <c r="G42" i="2"/>
  <c r="H42" i="2" s="1"/>
  <c r="B42" i="2"/>
  <c r="G41" i="2"/>
  <c r="H41" i="2" s="1"/>
  <c r="B41" i="2"/>
  <c r="G40" i="2"/>
  <c r="H40" i="2" s="1"/>
  <c r="B40" i="2"/>
  <c r="G39" i="2"/>
  <c r="H39" i="2" s="1"/>
  <c r="B39" i="2"/>
  <c r="G38" i="2"/>
  <c r="H38" i="2" s="1"/>
  <c r="B38" i="2"/>
  <c r="G37" i="2"/>
  <c r="H37" i="2" s="1"/>
  <c r="B37" i="2"/>
  <c r="G36" i="2"/>
  <c r="H36" i="2" s="1"/>
  <c r="B36" i="2"/>
  <c r="G35" i="2"/>
  <c r="H35" i="2" s="1"/>
  <c r="B35" i="2"/>
  <c r="G34" i="2"/>
  <c r="H34" i="2" s="1"/>
  <c r="B34" i="2"/>
  <c r="G33" i="2"/>
  <c r="H33" i="2" s="1"/>
  <c r="B33" i="2"/>
  <c r="G32" i="2"/>
  <c r="H32" i="2" s="1"/>
  <c r="B32" i="2"/>
  <c r="G31" i="2"/>
  <c r="H31" i="2" s="1"/>
  <c r="B31" i="2"/>
  <c r="G30" i="2"/>
  <c r="H30" i="2" s="1"/>
  <c r="B30" i="2"/>
  <c r="G29" i="2"/>
  <c r="H29" i="2" s="1"/>
  <c r="B29" i="2"/>
  <c r="G28" i="2"/>
  <c r="H28" i="2" s="1"/>
  <c r="B28" i="2"/>
  <c r="G27" i="2"/>
  <c r="H27" i="2" s="1"/>
  <c r="B27" i="2"/>
  <c r="G26" i="2"/>
  <c r="H26" i="2" s="1"/>
  <c r="B26" i="2"/>
  <c r="G25" i="2"/>
  <c r="H25" i="2" s="1"/>
  <c r="B25" i="2"/>
  <c r="G24" i="2"/>
  <c r="H24" i="2" s="1"/>
  <c r="B24" i="2"/>
  <c r="G23" i="2"/>
  <c r="H23" i="2" s="1"/>
  <c r="B23" i="2"/>
  <c r="G22" i="2"/>
  <c r="H22" i="2" s="1"/>
  <c r="B22" i="2"/>
  <c r="G21" i="2"/>
  <c r="H21" i="2" s="1"/>
  <c r="B21" i="2"/>
  <c r="G20" i="2"/>
  <c r="H20" i="2" s="1"/>
  <c r="B20" i="2"/>
  <c r="G19" i="2"/>
  <c r="H19" i="2" s="1"/>
  <c r="B19" i="2"/>
  <c r="G18" i="2"/>
  <c r="H18" i="2" s="1"/>
  <c r="B18" i="2"/>
  <c r="G17" i="2"/>
  <c r="H17" i="2" s="1"/>
  <c r="B17" i="2"/>
  <c r="G16" i="2"/>
  <c r="H16" i="2" s="1"/>
  <c r="B16" i="2"/>
  <c r="G15" i="2"/>
  <c r="H15" i="2" s="1"/>
  <c r="B15" i="2"/>
  <c r="G14" i="2"/>
  <c r="H14" i="2" s="1"/>
  <c r="B14" i="2"/>
  <c r="G13" i="2"/>
  <c r="H13" i="2" s="1"/>
  <c r="B13" i="2"/>
  <c r="G12" i="2"/>
  <c r="H12" i="2" s="1"/>
  <c r="B12" i="2"/>
  <c r="G11" i="2"/>
  <c r="H11" i="2" s="1"/>
  <c r="B11" i="2"/>
  <c r="G10" i="2"/>
  <c r="H10" i="2" s="1"/>
  <c r="B10" i="2"/>
  <c r="G9" i="2"/>
  <c r="H9" i="2" s="1"/>
  <c r="B9" i="2"/>
  <c r="G8" i="2"/>
  <c r="H8" i="2" s="1"/>
  <c r="B8" i="2"/>
  <c r="G7" i="2"/>
  <c r="H7" i="2" s="1"/>
  <c r="B7" i="2"/>
  <c r="G6" i="2"/>
  <c r="H6" i="2" s="1"/>
  <c r="B6" i="2"/>
  <c r="G5" i="2"/>
  <c r="H5" i="2" s="1"/>
  <c r="B5" i="2"/>
  <c r="G4" i="2"/>
  <c r="H4" i="2" s="1"/>
  <c r="B4" i="2"/>
  <c r="G3" i="2"/>
  <c r="H3" i="2" s="1"/>
  <c r="B3" i="2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F53" i="1" s="1"/>
  <c r="F54" i="1" s="1"/>
  <c r="I80" i="2" s="1"/>
  <c r="F80" i="2" s="1"/>
  <c r="E28" i="1"/>
  <c r="F27" i="1"/>
  <c r="E27" i="1"/>
  <c r="E53" i="1" s="1"/>
  <c r="E54" i="1" s="1"/>
  <c r="I60" i="2" s="1"/>
  <c r="G79" i="2" l="1"/>
  <c r="H79" i="2" s="1"/>
  <c r="H81" i="2"/>
  <c r="D6" i="3" s="1"/>
  <c r="E6" i="3" s="1"/>
  <c r="H60" i="2"/>
  <c r="F60" i="2"/>
  <c r="H61" i="2"/>
  <c r="G59" i="2"/>
  <c r="H59" i="2" s="1"/>
  <c r="H80" i="2"/>
  <c r="D5" i="3" l="1"/>
  <c r="E5" i="3" s="1"/>
  <c r="E7" i="3" s="1"/>
  <c r="H82" i="2"/>
</calcChain>
</file>

<file path=xl/sharedStrings.xml><?xml version="1.0" encoding="utf-8"?>
<sst xmlns="http://schemas.openxmlformats.org/spreadsheetml/2006/main" count="981" uniqueCount="508">
  <si>
    <t>YSF HICH — FREEDOM LOUNGE (TAV-FR-E-EAP-009-R000) BOM KURAL TABLOSU</t>
  </si>
  <si>
    <t>SARI hücreler düzenlenebilir. Değiştirince tüm BOM yeniden hesaplanır. Diğer her şey formüldür.</t>
  </si>
  <si>
    <t>1. DÖVİZ KURLARI</t>
  </si>
  <si>
    <t>ПАРА</t>
  </si>
  <si>
    <t>KZT KURU</t>
  </si>
  <si>
    <t>KAYNAK / TARİH</t>
  </si>
  <si>
    <t>KZT</t>
  </si>
  <si>
    <t>Baz para birimi — değiştirmeyin</t>
  </si>
  <si>
    <t>EUR</t>
  </si>
  <si>
    <t>Ağustos 2026 KZT/EUR bandı 537-543 (Investing.com / moneypanda.kz). BOM günü kuruyla güncelleyin.</t>
  </si>
  <si>
    <t>TL</t>
  </si>
  <si>
    <t>Bu BOM da Schneider/Legrand kalemi yok — kullanılmıyor.</t>
  </si>
  <si>
    <t>USD</t>
  </si>
  <si>
    <t>Kullanılmıyor.</t>
  </si>
  <si>
    <t>2. MARKA KATSAYILARI  (нетто = лист × katsayı × kur)</t>
  </si>
  <si>
    <t>ЗАВОД</t>
  </si>
  <si>
    <t>KATSAYI</t>
  </si>
  <si>
    <t>PARA</t>
  </si>
  <si>
    <t>NOT</t>
  </si>
  <si>
    <t>ABB</t>
  </si>
  <si>
    <t>liste × 1,35 × 0,30 = 0,405 (standart gruplar %70 iskonto)</t>
  </si>
  <si>
    <t>ABB_ACB</t>
  </si>
  <si>
    <t>liste × 1,35 × 0,23 (ayar sahalı / açık tip şalterler %77). ⚠ XT3N TMD tipleri "ayar sahalı" sayılıyorsa MCCB satırlarında M sütunu ABB_ACB yapılmalı.</t>
  </si>
  <si>
    <t>CHINT</t>
  </si>
  <si>
    <t>%40 iskonto</t>
  </si>
  <si>
    <t>EKT</t>
  </si>
  <si>
    <t>Net fiyat</t>
  </si>
  <si>
    <t>KAZTEK</t>
  </si>
  <si>
    <t>Korpus — net fiyat</t>
  </si>
  <si>
    <t>SAYMAN</t>
  </si>
  <si>
    <t>3. MONTAJ MALZEMESİ VE İŞÇİLİK ORANLARI</t>
  </si>
  <si>
    <t>Montaj malzemesi oranı (pano malzeme ara toplamı üzerinden)</t>
  </si>
  <si>
    <t>İşçilik birim fiyatı (KZT / dakika)</t>
  </si>
  <si>
    <t>Test / etiketleme / muayene çarpanı</t>
  </si>
  <si>
    <t>4. İŞÇİLİK ZAMAN NORMLARI  (Кол-во sütunu = DAKİKA)</t>
  </si>
  <si>
    <t>NORM</t>
  </si>
  <si>
    <t>DK/BİRİM</t>
  </si>
  <si>
    <t>ADET EMDP1</t>
  </si>
  <si>
    <t>ADET UMDP1</t>
  </si>
  <si>
    <t>DK EMDP1</t>
  </si>
  <si>
    <t>DK UMDP1</t>
  </si>
  <si>
    <t>Korpus hazırlığı — zemin tipi</t>
  </si>
  <si>
    <t>Korpus hazırlığı — orta boy / duvar tipi</t>
  </si>
  <si>
    <t>Otomat 1P (MCB)</t>
  </si>
  <si>
    <t>Otomat 2P (MCB)</t>
  </si>
  <si>
    <t>Otomat 3P (MCB)</t>
  </si>
  <si>
    <t>Difavtomat 1P+N (RCBO)</t>
  </si>
  <si>
    <t>УЗО 2P (RCCB)</t>
  </si>
  <si>
    <t>УЗО 4P (RCCB)</t>
  </si>
  <si>
    <t>TMŞ (MCCB) ≤250A</t>
  </si>
  <si>
    <t>TMŞ aksesuarı (motor / bobin / RC modül)</t>
  </si>
  <si>
    <t>Motor koruma şalteri (MPCB)</t>
  </si>
  <si>
    <t>Yardımcı kontak bloğu</t>
  </si>
  <si>
    <t>Kontaktör ≤26A</t>
  </si>
  <si>
    <t>Kontaktör ≥200A</t>
  </si>
  <si>
    <t>Değiştirme / ayırma şalteri (1-0-2)</t>
  </si>
  <si>
    <t>Sigortalı ayırıcı NH + sigorta</t>
  </si>
  <si>
    <t>ОПН (parafudr)</t>
  </si>
  <si>
    <t>Ölçüm seti (sayaç + akım trafoları)</t>
  </si>
  <si>
    <t>Analizör / kumanda cihazı</t>
  </si>
  <si>
    <t>Kapak elemanı (buton / sinyal lambası)</t>
  </si>
  <si>
    <t>KNX / modül cihaz montajı</t>
  </si>
  <si>
    <t>Klemens</t>
  </si>
  <si>
    <t>Tarak bara (LOOBAR)</t>
  </si>
  <si>
    <t>N / PE bara bloğu</t>
  </si>
  <si>
    <t>Bakır bara imalat + montaj (m)</t>
  </si>
  <si>
    <t>DIN ray / kablo kanalı (m)</t>
  </si>
  <si>
    <t>ARA TOPLAM (dk)</t>
  </si>
  <si>
    <t>TOPLAM İŞÇİLİK (dk) — çarpan dahil</t>
  </si>
  <si>
    <t>5. FİYAT LİSTESİ YAŞ DENETİMİ  (≤12 ay ✅ · 13-18 ay ⚠ · &gt;18 ay ⛔ teklifte kullanılamaz)</t>
  </si>
  <si>
    <t>KAYNAK</t>
  </si>
  <si>
    <t>LİSTE TARİHİ</t>
  </si>
  <si>
    <t>YAŞ (ay)</t>
  </si>
  <si>
    <t>DURUM</t>
  </si>
  <si>
    <t>KULLANIM</t>
  </si>
  <si>
    <t>ABB Elektrifikasyon Fiyat Listesi</t>
  </si>
  <si>
    <t>Bu BOM da ana marka</t>
  </si>
  <si>
    <t>CHINT fiyatlı stok listesi</t>
  </si>
  <si>
    <t>DIN ray</t>
  </si>
  <si>
    <t>Kaztek / TEKSAN pano fiyat listesi</t>
  </si>
  <si>
    <t>Korpus EMDP1</t>
  </si>
  <si>
    <t>EKT price</t>
  </si>
  <si>
    <t>Korpus UMDP1, klemens, kanal, bara</t>
  </si>
  <si>
    <t>Сайман 2026 прайс</t>
  </si>
  <si>
    <t>Sayaç, akım trafoları</t>
  </si>
  <si>
    <t>EKF прайслист</t>
  </si>
  <si>
    <t>⛔ Fiyatlandırmada kullanılmadı</t>
  </si>
  <si>
    <t>Klemsan</t>
  </si>
  <si>
    <t>ONKA katalog</t>
  </si>
  <si>
    <t>CNC тариф</t>
  </si>
  <si>
    <t>Bu BOM da kullanılmadı</t>
  </si>
  <si>
    <t>6. ŞEMA OKUMA — ARA SAYIM DOĞRULAMA (çift kaynak: görsel sembol sayımı + PDF metin katmanı koordinat eşlemesi)</t>
  </si>
  <si>
    <t>BÖLÜM</t>
  </si>
  <si>
    <t>DEVRE NO</t>
  </si>
  <si>
    <t>CİHAZ</t>
  </si>
  <si>
    <t>ADET</t>
  </si>
  <si>
    <t>DOĞRULAMA</t>
  </si>
  <si>
    <t>KNX besleme</t>
  </si>
  <si>
    <t>гр.01, 02 + 6 numarasız</t>
  </si>
  <si>
    <t>1x10A NB</t>
  </si>
  <si>
    <t>Kolon x=60…159 pt; 8 dikey hat, her birinde MCB sembolü. Şemada yalnız 01 ve 02 numaralı — numaralandırma eksik.</t>
  </si>
  <si>
    <t>—</t>
  </si>
  <si>
    <t>2xC16A 30mA УЗО типа А</t>
  </si>
  <si>
    <t>x≈80 pt</t>
  </si>
  <si>
    <t>2xC25A 30mA УЗО типа А</t>
  </si>
  <si>
    <t>x≈130 pt</t>
  </si>
  <si>
    <t>Aydınlatma</t>
  </si>
  <si>
    <t>гр.03-31</t>
  </si>
  <si>
    <t>Kolon x=185,4…613,2 pt (14,96 pt adım), 29 hat</t>
  </si>
  <si>
    <t>4xC25A 30mA УЗО типа А</t>
  </si>
  <si>
    <t>x≈258, 408, 566 pt</t>
  </si>
  <si>
    <t>3x25A NC (bölüm beslemesi)</t>
  </si>
  <si>
    <t>x≈348 pt</t>
  </si>
  <si>
    <t>Prizler</t>
  </si>
  <si>
    <t>гр.32</t>
  </si>
  <si>
    <t>3x16A NC + 4xC25A 30mA УЗО типа А</t>
  </si>
  <si>
    <t>⚠ Tek kolonda iki cihaz — diğer 47 devrede yok. Kopyala-yapıştır artığı olabilir.</t>
  </si>
  <si>
    <t>гр.33-47, 51, 52, 54-79</t>
  </si>
  <si>
    <t>C16A 30mA Дифавтомат</t>
  </si>
  <si>
    <t>Etiket ofseti −9 pt (RCD/RCBO), −5,4 pt (MCB) ile kolon eşlemesi yapıldı</t>
  </si>
  <si>
    <t>гр.48, 49, 50, 53</t>
  </si>
  <si>
    <t>C25A 30mA Дифавтомат</t>
  </si>
  <si>
    <t>индукц. плита / микровол. печь / холодильный шкаф / сервисные розетки</t>
  </si>
  <si>
    <t>Mekanik</t>
  </si>
  <si>
    <t>гр.80 (Оборудование ПВУ)</t>
  </si>
  <si>
    <t>MPCB 6-10A + AF26 3x25A + 4xC25A 30mA SI RCD</t>
  </si>
  <si>
    <t>Kendi beslemesi var</t>
  </si>
  <si>
    <t>гр.80 (ПВУ отопление)</t>
  </si>
  <si>
    <t>MPCB 140-200A + контактор 3x200A + XT3N 200 TMD 200 + SI RCD</t>
  </si>
  <si>
    <t>⚠ Devre no 80 iki kez kullanılmış; selektör etiketi -PC01 iki kez; klemens -X04/-X05/-X06 iki kez</t>
  </si>
  <si>
    <t>гр.81</t>
  </si>
  <si>
    <t>Эл. водонагреватель: MPCB 9-13A + 3x16A</t>
  </si>
  <si>
    <t>-PC02, -X04…-X06</t>
  </si>
  <si>
    <t>гр.82</t>
  </si>
  <si>
    <t>Выт. вент. с/у: MPCB 0,40-0,63A + 3x16A</t>
  </si>
  <si>
    <t>-PC03, -X07…-X09</t>
  </si>
  <si>
    <t>гр.83</t>
  </si>
  <si>
    <t>Резерв механики-1: MPCB 10-16A + 3x16A</t>
  </si>
  <si>
    <t>-PC04, -X10…-X12</t>
  </si>
  <si>
    <t>гр.84</t>
  </si>
  <si>
    <t>Резерв механики-2: MPCB 9-13A + 3x16A</t>
  </si>
  <si>
    <t>-PC05, -X13…-X15</t>
  </si>
  <si>
    <t>гр.85</t>
  </si>
  <si>
    <t>Резерв механики-3: MPCB 0,40-0,63A + 3x9A</t>
  </si>
  <si>
    <t>-PC06, -X16…-X18</t>
  </si>
  <si>
    <t>гр.81-85 beslemesi</t>
  </si>
  <si>
    <t>3x25A NC + 4xC25A 30mA УЗО типа А</t>
  </si>
  <si>
    <t>Ortak bara</t>
  </si>
  <si>
    <t>UMDP1</t>
  </si>
  <si>
    <t>гр.01-11</t>
  </si>
  <si>
    <t>1x16A NC + 2x16A 30mA УЗО типа А</t>
  </si>
  <si>
    <t>x=1994,9…2144,5 pt</t>
  </si>
  <si>
    <t>EMDP1 ana</t>
  </si>
  <si>
    <t>XT4N/XT3N 250 TMD 250 + motor + trip coil + toroid + RCD rölesi</t>
  </si>
  <si>
    <t>Ir=1, 175-250A</t>
  </si>
  <si>
    <t>ОПН B+C 3F+N+PE + 3 шт (1x250) A NH</t>
  </si>
  <si>
    <t>Önceki revizyonda 125A NH idi</t>
  </si>
  <si>
    <t>EMDP1 ölçüm</t>
  </si>
  <si>
    <t>Сайач x/5A + 250/5A CL0,5 5VA (2 set = 6 ad.) + CVM-C10</t>
  </si>
  <si>
    <t>Mühürlü bölme + analizör ayrı CT seti</t>
  </si>
  <si>
    <t>UPS</t>
  </si>
  <si>
    <t>K01, K02</t>
  </si>
  <si>
    <t>2x40A NC</t>
  </si>
  <si>
    <t>EMDP1 barasından</t>
  </si>
  <si>
    <t>2x40A/10kA otomatik baypas + 2x40A 1-0-2 manuel baypas + LV SPD + 2x1x2A NB + 40/5A TT</t>
  </si>
  <si>
    <t>7. KONTROL EDİLECEK / RİSK LİSTESİ</t>
  </si>
  <si>
    <t>NO</t>
  </si>
  <si>
    <t>KONU</t>
  </si>
  <si>
    <t>ŞEMA DURUMU</t>
  </si>
  <si>
    <t>YAPILAN / GEREKLİ İŞLEM</t>
  </si>
  <si>
    <t>ÖNCELİK</t>
  </si>
  <si>
    <t>Ana giriş şalteri</t>
  </si>
  <si>
    <t>"ABB XT4N 250 TMD 250, 175-250A, Ir=1"</t>
  </si>
  <si>
    <t>ABB XT4 gövdesinde TMD açma ünitesi yok; 175-250A TMD tam olarak XT3N 250 TMD 250. BOM da XT3N 250 TMD 250 4p alındı. Proje ile teyit edilmeli.</t>
  </si>
  <si>
    <t>KRİTİK</t>
  </si>
  <si>
    <t>Ana giriş kaçak akım</t>
  </si>
  <si>
    <t>"0,03-30A, 0-5s, F TYPE RCD" + toroidal trafo</t>
  </si>
  <si>
    <t>ABB XT3 için RC Sel tip A 0,03-10A / 0,1-3s alındı. F tipi ve 30A/5s aralığı ABB XT3 gamında yok — ürün veya şema düzeltilmeli.</t>
  </si>
  <si>
    <t>ПВУ отопление dalı</t>
  </si>
  <si>
    <t>"(MPCB) 140-200A 100kA" + "ABB XT3N 200 TMD 200 SI TYPE RCD" aynı kolonda</t>
  </si>
  <si>
    <t>Aynı fonksiyon kabul edilip TEK cihaz (XT3N 250 TMD In=200A 4p + RC Sel) alındı. XT3N Icu=36kA — 100kA sağlanmıyor. Kesme kapasitesi kısa devre hesabıyla teyit edilmeli.</t>
  </si>
  <si>
    <t>ПВУ отопление kontaktörü</t>
  </si>
  <si>
    <t>-C2 3x200A</t>
  </si>
  <si>
    <t>AF205-30-11 (205A AC-3) alındı. Yük ısıtıcı ise AC-1 kategorisi geçerli olup daha küçük gövde yeterli olabilir — yük tipi teyit edilmeli.</t>
  </si>
  <si>
    <t>YÜKSEK</t>
  </si>
  <si>
    <t>Devre 32</t>
  </si>
  <si>
    <t>Tek kolonda hem 3x16A NC hem 4xC25A 30mA УЗО типа А; diğer 47 priz devresinde yok</t>
  </si>
  <si>
    <t>Her ikisi de BOM a alındı. 3 fazlı vitrin beslemesi mi, çizim artığı mı — teyit edilmeli. Artık ise 1 ad. S203-C16 + 1 ad. F204 AP-R düşülecek.</t>
  </si>
  <si>
    <t>Mekanik devre numaraları</t>
  </si>
  <si>
    <t>"80" iki kez; -PC01 iki kez; -X04/-X05/-X06 iki kez</t>
  </si>
  <si>
    <t>Cihaz sayımı 7 çıkış olarak nettir; yalnız numaralandırma hatalı. Şema revizyonu istenmeli.</t>
  </si>
  <si>
    <t>ORTA</t>
  </si>
  <si>
    <t>KNX besleme otomatları</t>
  </si>
  <si>
    <t>6 adet 1x10A NB numarasız</t>
  </si>
  <si>
    <t>Sayım 8 adet olarak alındı (gr.01, 02 + 6 numarasız). Devre numarası verilmeli.</t>
  </si>
  <si>
    <t>Дифавтомат tipi</t>
  </si>
  <si>
    <t>Şemada yalnız "C16A/C25A 30mA Дифавтомат"; УЗО lar açıkça "типа А"</t>
  </si>
  <si>
    <t>ABB TR listesinde DS201 sadece AC tipi. Priz devrelerinde RK uygulaması tip A gerektirir — tip A DS201 kodu ve fiyatı ayrıca alınmalı.</t>
  </si>
  <si>
    <t>2P УЗО anma akımı</t>
  </si>
  <si>
    <t>2xC16A ve 2x16A 30mA</t>
  </si>
  <si>
    <t>ABB tip A F202 minimum In=25A. 25A alındı; koruma otomatı 16A olduğu için elektriksel olarak uygun.</t>
  </si>
  <si>
    <t>DÜŞÜK</t>
  </si>
  <si>
    <t>ОПН</t>
  </si>
  <si>
    <t>"B+C CLASS, 3F+N+Pe, 4x50 kA 4x100 kA"</t>
  </si>
  <si>
    <t>OVR T1-T2 3N 100-255 P TS alındı (Iimp 25kA/kutup, Itotal 100kA). Kutup başına 50kA isteniyorsa ürün değişmeli.</t>
  </si>
  <si>
    <t>CVM-C10 analizör</t>
  </si>
  <si>
    <t>"x/5A-400/231V, CVM-C10 CIRCUTOR"</t>
  </si>
  <si>
    <t>CIRCUTOR fiyat listemizde yok. Fiyat BOŞ bırakıldı, toplama dahil DEĞİL. Tedarikçi teklifi alınmalı.</t>
  </si>
  <si>
    <t>UMDP1 analizör</t>
  </si>
  <si>
    <t>"x/5A-400/231V" fakat UMDP1 tek fazlı (1Ф+N+PE)</t>
  </si>
  <si>
    <t>Model belirtilmemiş, fiyat boş. Ayrıca 40/5A trafo Saiman gamında yok — 50/5A alındı. Ölçüm oranı teyit edilmeli.</t>
  </si>
  <si>
    <t>Sayaç modeli</t>
  </si>
  <si>
    <t>"Трехфазный счетчик X/5A, нормам РК"</t>
  </si>
  <si>
    <t>Дала СА4У-Э720 (5-7,5A) alındı. АСКУЭ / uzaktan okuma modülü talebi dağıtım şirketiyle teyit edilmeli.</t>
  </si>
  <si>
    <t>MEAN WELL MDR-60-12</t>
  </si>
  <si>
    <t>PS1</t>
  </si>
  <si>
    <t>KNX değildir, TEKLED kapsamında. Fiyat listemizde yok — tedarikçi fiyatı girilmeli. Fiyat boş.</t>
  </si>
  <si>
    <t>Bakır ana bara</t>
  </si>
  <si>
    <t>Şemada metraj yok</t>
  </si>
  <si>
    <t>30x5 mm Cu, 6 m tahmin edildi. Bakır fiyatı listemizde yok — günlük fiyatla girilmeli. Fiyat boş, toplama dahil DEĞİL.</t>
  </si>
  <si>
    <t>ИБП 6 kVA</t>
  </si>
  <si>
    <t>Şemada gösterilmiş</t>
  </si>
  <si>
    <t>Pano kapsamında mı, ayrı tedarik mi belirsiz. Fiyat boş, toplama dahil DEĞİL.</t>
  </si>
  <si>
    <t>E.B. acil kesme butonu</t>
  </si>
  <si>
    <t>Pano dışında, 4mm² 2 damar ile TRIP COIL a bağlı</t>
  </si>
  <si>
    <t>Buton BOM a alındı. Kutu, etiket ve kablo kapsamı teyit edilmeli.</t>
  </si>
  <si>
    <t>Şebeke tarafı XT3N 3x250A</t>
  </si>
  <si>
    <t>"Линия шинопровода" kutusu içinde, "От существующей сети" altında</t>
  </si>
  <si>
    <t>Bu şalter busbar/mevcut altyapı tarafındadır — pano kapsamına ALINMADI. Kapsam teyit edilmeli.</t>
  </si>
  <si>
    <t>KNX malzemeleri</t>
  </si>
  <si>
    <t>20 kanallı modül, 3 ad. DALI şlüz, 16 kan. perde aktüatörü, 12 kan. su kesme aktüatörü, TXA112, TYFS130, TYFS121</t>
  </si>
  <si>
    <t>Tamamı MÜŞTERİ TEMİNİ — malzeme bedeli teklif dışı, fiyat boş. DALI şlüzleri, perde ve su aktüatörleri önceki revizyonda YOKTU. Pano içi yer + montaj bize ait, işçiliğe dahil edildi.</t>
  </si>
  <si>
    <t>EMDP1 korpus</t>
  </si>
  <si>
    <t>Şemada ölçü yok</t>
  </si>
  <si>
    <t>Modül ihtiyacı ~285. Kaztek 1900x1200x500 (TEKSAN) seçildi. Cihaz yerleşimi (AF205 kontaktör + 2 ad. MCCB) ile mekanik teyit yapılmalı; cokel/baza ayrı kalem olabilir.</t>
  </si>
  <si>
    <t>ABB katsayısı</t>
  </si>
  <si>
    <t>ABB listesi: ayar sahalı ve açık tip şalterler %77, diğer tüm gruplar %70</t>
  </si>
  <si>
    <t>Tüm ABB satırlarında 0,405 (%70) kullanıldı. XT3N TMD tipleri "ayar sahalı" kapsamına giriyorsa ilgili satırların M sütunu ABB_ACB yapılmalıdır (KURALLAR bölüm 2).</t>
  </si>
  <si>
    <t>EKT fiyat listesi yaşı</t>
  </si>
  <si>
    <t>19.06.2025</t>
  </si>
  <si>
    <t>13-18 ay bandında — ⚠ UYARILI. Korpus UMDP1, klemens, kanal ve bara fiyatları bu listeden; teklif öncesi güncel liste istenmeli.</t>
  </si>
  <si>
    <t>Kablo metrajı</t>
  </si>
  <si>
    <t>Şemada 95mm² 4 damar + 50mm² 1 damar, ~90 m; 3x6 mm² PVC Cu</t>
  </si>
  <si>
    <t>Bina altyapısı / saha kablosu — pano BOM una DAHİL DEĞİL. Ayrı metraj çıkarılmalı.</t>
  </si>
  <si>
    <t>№</t>
  </si>
  <si>
    <t>Наименование1</t>
  </si>
  <si>
    <t>Тип материала</t>
  </si>
  <si>
    <t>Артикул</t>
  </si>
  <si>
    <t>Номенклатура</t>
  </si>
  <si>
    <t>Цена (лист)</t>
  </si>
  <si>
    <t>Цена нетто, тг</t>
  </si>
  <si>
    <t>Сумма, тг</t>
  </si>
  <si>
    <t>Кол-во</t>
  </si>
  <si>
    <t>Ед.изм.</t>
  </si>
  <si>
    <t>Завод</t>
  </si>
  <si>
    <t>Валюта</t>
  </si>
  <si>
    <t>Коэф.</t>
  </si>
  <si>
    <t>Статус</t>
  </si>
  <si>
    <t>Примечание / KONTROL</t>
  </si>
  <si>
    <t>ЩИТ EMDP1 — Freedom Lounge (TAV-FR-E-EAP-009-R000, схема 05.08.2026)</t>
  </si>
  <si>
    <t>комплект</t>
  </si>
  <si>
    <t>TEKLED</t>
  </si>
  <si>
    <t>Şema: Freedom_однолинейная_схема.pdf (05.08.2026), 1 s. — план однолинейной схемы низкого напряжения</t>
  </si>
  <si>
    <t>корпус</t>
  </si>
  <si>
    <t>710-15926</t>
  </si>
  <si>
    <t>Металлический корпус напольный 1900x1200x500 (TEKSAN)</t>
  </si>
  <si>
    <t>шт</t>
  </si>
  <si>
    <t>UYGUN</t>
  </si>
  <si>
    <t>Kaztek/TEKSAN onceligi. Modul ihtiyaci ~285 mod; 1900x1200 govde yeterli. Cokel/baza ayrica teyit edilmeli.</t>
  </si>
  <si>
    <t>TMŞ</t>
  </si>
  <si>
    <t>1SDA068070R1</t>
  </si>
  <si>
    <t>XT3N 250, TMD, In=250A, InN=100%, 4p (175-250A, Ir=1) — ввод EMDP1</t>
  </si>
  <si>
    <t>KONTROL</t>
  </si>
  <si>
    <t>Semada "ABB XT4N 250 TMD 250" yaziyor. ABB XT4 govdesinde TMD acma unitesi YOK; 175-250A TMD tam olarak XT3N 250 TMD 250 karsiligidir. 4 kutup secildi (ana kacak akim rolesi + TN-S). Teyit gerekli.</t>
  </si>
  <si>
    <t>TMŞ aks.</t>
  </si>
  <si>
    <t>1SDA067130R1</t>
  </si>
  <si>
    <t>XT3, 4 полюса, RC Sel. тип A, 0,03…10A, 0,1…3с — реле дифф. защиты</t>
  </si>
  <si>
    <t>1 ad. ana giris (semada "0,03-30A 0-5s F TYPE RCD" + toroidal trafo), 1 ad. ПВУ отопление ("SI TYPE RCD"). ABB RC Sel XT3 = tip A, 0,03-10A / 0,1-3s. Semadaki 0,03-30A / 0-5s ve F tipi ABB XT3 gaminda yok — teyit edilmeli.</t>
  </si>
  <si>
    <t>1SDA066460R1</t>
  </si>
  <si>
    <t>XT1, XT3 MOD моторный привод 220…250 V AC/DC</t>
  </si>
  <si>
    <t>Semada ana salter uzerinde motor sembolu (M).</t>
  </si>
  <si>
    <t>1SDA066325R1</t>
  </si>
  <si>
    <t>XT1…XT4 SOR-C 220-240V AC/220-250V DC — независимый расцепитель (TRIP COIL)</t>
  </si>
  <si>
    <t>Semada TRIP COIL; E.B. acil kesme butonu ile tetiklenir.</t>
  </si>
  <si>
    <t>1SDA068069R1</t>
  </si>
  <si>
    <t>XT3N 250, TMD, In=200A, InN=100%, 4p (140-200A) — ПВУ отопление</t>
  </si>
  <si>
    <t>Semada ayni kolonda hem "(MPCB) 140-200A 100kA" hem "ABB XT3N 200 TMD 200" var; ayni fonksiyon kabul edilip TEK cihaz alindi. XT3N Icu=36kA — semada istenen 100kA saglanmiyor, teyit gerekli.</t>
  </si>
  <si>
    <t>ОТО</t>
  </si>
  <si>
    <t>2CDS251001R0105</t>
  </si>
  <si>
    <t>S201-B10, 1P, 10A, кривая B, 6kA — 1x10A NB</t>
  </si>
  <si>
    <t>DÜZELTİLDİ</t>
  </si>
  <si>
    <t>Sema sayimi: KNX bolumu 8 ad. (gr.01, 02 + 6 numarasiz) + aydinlatma 29 ad. (gr.03-31) = 37. Onceki BOM 31 idi.</t>
  </si>
  <si>
    <t>2CDS253001R0254</t>
  </si>
  <si>
    <t>S203-C25, 3P, 25A, кривая C, 6kA — 3x25A NC</t>
  </si>
  <si>
    <t>1 ad. aydinlatma sekmesi beslemesi, 1 ad. mekanik bara (gr.81-85) beslemesi.</t>
  </si>
  <si>
    <t>2CDS253001R0164</t>
  </si>
  <si>
    <t>S203-C16, 3P, 16A, кривая C, 6kA — 3x16A NC (гр.32)</t>
  </si>
  <si>
    <t>Gr.32 (Розетка для витрины) kolonunda hem 3x16A NC hem 4xC25A 30mA УЗО типа А etiketi var; diger 47 priz devresi tekil difavtomat. Uc fazli ozel vitrin beslemesi mi, kopyala-yapistir artigi mi — teyit edilmeli.</t>
  </si>
  <si>
    <t>2CDS251001R0065</t>
  </si>
  <si>
    <t>S201-B6, 1P, 6A, кривая B, 6kA — 3(1x6A) B TYPE, цепь напряжения анализатора</t>
  </si>
  <si>
    <t>Semada CVM-C10 gerilim devresi korumasi: 3(1x6A) (B TYPE).</t>
  </si>
  <si>
    <t>ДИФ</t>
  </si>
  <si>
    <t>2CSR255080R1164</t>
  </si>
  <si>
    <t>DS201 C16 AC30, 1P+N, 16A, 30mA — C16A 30mA дифавтомат</t>
  </si>
  <si>
    <t>Gr.33-79 arasi C16 difavtomat sayimi = 43 (gr.48,49,50,53 C25; gr.32 ayri). Onceki BOM 44 idi. DIKKAT: ABB TR listesinde DS201 sadece AC tipi var; RK sartlari ve semanin УЗО типа А tercihi ile tip A DS201 teyit edilmeli.</t>
  </si>
  <si>
    <t>2CSR255080R1254</t>
  </si>
  <si>
    <t>DS201 C25 AC30, 1P+N, 25A, 30mA — C25A 30mA дифавтомат</t>
  </si>
  <si>
    <t>Gr.48 (индукционная плита), гр.49 (микроволновая печь), гр.50 (холодильный шкаф), гр.53 (сервисные розетки). Tip A teyidi gerekli.</t>
  </si>
  <si>
    <t>ККР</t>
  </si>
  <si>
    <t>2CSF204401R1250</t>
  </si>
  <si>
    <t>F204 A-25/0.03 AP-R, 4P, 25A, 30mA, тип A (супериммунный) — 4xC25A 30mA УЗО типа А</t>
  </si>
  <si>
    <t>3 ad. aydinlatma sekmeleri + 1 ad. gr.32 + 1 ad. mekanik bara (гр.81-85) + 1 ad. гр.80 Оборудование ПВУ ("SI TYPE RCD"). ABB TR listesinde 30mA tip A yalnizca AP-R serisinde var — bu ayni zamanda semanin SI TYPE talebini karsilar.</t>
  </si>
  <si>
    <t>2CSF202401R1250</t>
  </si>
  <si>
    <t>F202 A-25/0.03 AP-R, 2P, 25A, 30mA, тип A — 2xC25A / 2xC16A 30mA УЗО типа А</t>
  </si>
  <si>
    <t>KNX bolumu beslemesi: 1 ad. 2xC16A 30mA + 1 ad. 2xC25A 30mA. ABB F202 tip A minimum In=25A oldugu icin 16A devrede de 25A kullanildi.</t>
  </si>
  <si>
    <t>МКС</t>
  </si>
  <si>
    <t>1SAM350000R1010</t>
  </si>
  <si>
    <t>MS132-10 (6,3-10A), Icu 100kA — мотор-автомат</t>
  </si>
  <si>
    <t>Гр.80 Оборудование ПВУ (semada 6-10A 100kA). MS116 yerine MS132 secildi: 100kA sarti yalnizca MS132 ile saglanir.</t>
  </si>
  <si>
    <t>1SAM350000R1012</t>
  </si>
  <si>
    <t>MS132-12 (8-12A), Icu 100kA — мотор-автомат</t>
  </si>
  <si>
    <t>Гр.81 Эл. водонагреватель + гр.84 Резерв механики-2 (semada 9-13A). MS132 kademeleri 8-12A ve 10-16A; 9-13A tam karsiligi yok.</t>
  </si>
  <si>
    <t>1SAM350000R1011</t>
  </si>
  <si>
    <t>MS132-16 (10-16A), Icu 100kA — мотор-автомат</t>
  </si>
  <si>
    <t>Гр.83 Резерв механики-1 (semada 10-16A).</t>
  </si>
  <si>
    <t>1SAM350000R1004</t>
  </si>
  <si>
    <t>MS132-0.63 (0,4-0,63A), Icu 100kA — мотор-автомат</t>
  </si>
  <si>
    <t>Гр.82 Выт. вент. с/у + гр.85 Резерв механики-3.</t>
  </si>
  <si>
    <t>БЛОК</t>
  </si>
  <si>
    <t>1SAM201902R1001</t>
  </si>
  <si>
    <t>HK1-11 доп. контакт 1НО+1НЗ для MS132</t>
  </si>
  <si>
    <t>Her mekanik cikis icin 1 ad. (6 ad. MPCB).</t>
  </si>
  <si>
    <t>КОНТАКТОР</t>
  </si>
  <si>
    <t>1SFL527002R1311</t>
  </si>
  <si>
    <t>AF205-30-11, 205A AC-3, 3P, кат. 100-250V AC/DC — 3x200A ПВУ отопление</t>
  </si>
  <si>
    <t>Semada -C2 3x200A. AC-3/AC-1 kullanim kategorisi ve gercek yuk akimi (isitici = AC-1) teyit edilirse daha kucuk govde yeterli olabilir.</t>
  </si>
  <si>
    <t>1SBL237001R1300</t>
  </si>
  <si>
    <t>AF26-30-00, 26A AC-3, 3P — 3x25A Оборудование ПВУ</t>
  </si>
  <si>
    <t>Semada -C1 3x25A.</t>
  </si>
  <si>
    <t>1SBL177001R1310</t>
  </si>
  <si>
    <t>AF16-30-10, 18A AC-3, 3P — 3x16A</t>
  </si>
  <si>
    <t>Эл. водонагреватель, Выт. вент. с/у, Резерв механики-1, Резерв механики-2.</t>
  </si>
  <si>
    <t>1SBL137001R1310</t>
  </si>
  <si>
    <t>AF09-30-10, 9A AC-3, 3P — 3x9A Резерв механики-3</t>
  </si>
  <si>
    <t>Semada -C6 3x9A.</t>
  </si>
  <si>
    <t>1SBN010140R1122</t>
  </si>
  <si>
    <t>CA4-22M доп. контактный блок 2НО+2НЗ (AF09…AF16)</t>
  </si>
  <si>
    <t>1-0-2 secici + sinyal lambasi kumanda devresi icin.</t>
  </si>
  <si>
    <t>2CDS252001R0404</t>
  </si>
  <si>
    <t>S202-C40, 2P, 40A, кривая C, 6kA — 2x40A NC (K01, K02)</t>
  </si>
  <si>
    <t>EMDP1 barasindan ИБП beslemesi (EMDP1-K01/UPS-1) ve K02.</t>
  </si>
  <si>
    <t>МАНДАЛ БУТОН</t>
  </si>
  <si>
    <t>1SFA619210R1026</t>
  </si>
  <si>
    <t>C3SS1-10B-20 переключатель 1-0-2, 2НО, чёрный</t>
  </si>
  <si>
    <t>Semada 7 ad. 1-0-2 secici (-PC01 iki kez etiketlenmis, -PC02…-PC06). Onceki BOM 6 idi.</t>
  </si>
  <si>
    <t>СИГН. ЛАМПА</t>
  </si>
  <si>
    <t>1SFA619403R5232</t>
  </si>
  <si>
    <t>CL2-523G сигнальная лампа с LED, 230V AC, зелёная — "Автоматика"</t>
  </si>
  <si>
    <t>Her mekanik cikista 3 lamba (Выкл/Автоматика/Ручной режим) x 7 cikis.</t>
  </si>
  <si>
    <t>1SFA619403R5233</t>
  </si>
  <si>
    <t>CL2-523Y сигнальная лампа с LED, 230V AC, жёлтая — "Ручной режим"</t>
  </si>
  <si>
    <t>1SFA619403R5231</t>
  </si>
  <si>
    <t>CL2-523R сигнальная лампа с LED, 230V AC, красная — "Выкл"</t>
  </si>
  <si>
    <t>2CTB812111R2300</t>
  </si>
  <si>
    <t>OVR T1-T2 3N 100-255 P TS — ОПН B+C класс, 3F+N+PE</t>
  </si>
  <si>
    <t>Semada 4x50 kA / 4x100 kA. OVR T1-T2 3N 100-255: Iimp 25kA/kutup, Itotal 100kA. Iimp 50kA/kutup isteniyorsa urun degismelidir.</t>
  </si>
  <si>
    <t>РУБИЛЬНИК</t>
  </si>
  <si>
    <t>1SEP600116R0002</t>
  </si>
  <si>
    <t>XLP1-1P-2BC разъединитель-предохранитель 1P, NH1, 250A</t>
  </si>
  <si>
    <t>Semada "3 шт (1x250) A NH" — ОПН on koruma. Onceki BOM XLP00 + 125A idi.</t>
  </si>
  <si>
    <t>ФУ</t>
  </si>
  <si>
    <t>1SCA022627R4650</t>
  </si>
  <si>
    <t>OFAF1H250 предохранитель NH1 250A gG</t>
  </si>
  <si>
    <t>Onceki BOM 125A idi; semada 250A.</t>
  </si>
  <si>
    <t>САЯЧ</t>
  </si>
  <si>
    <t>ND</t>
  </si>
  <si>
    <t>Дала СА4У-Э720 (3x220/380V, 5-7,5A) — трёхфазный счётчик трансформаторного включения x/5A</t>
  </si>
  <si>
    <t>Sema: "Трехфазный счетчик электроэнергии X/5A", muhurlu bolmede, RK normlarina uygun olmali. Kesin model ve АСКУЭ (RS/GPRS) modul talebi elektrik dagitim sirketiyle teyit edilmeli.</t>
  </si>
  <si>
    <t>ТТ</t>
  </si>
  <si>
    <t>VJ</t>
  </si>
  <si>
    <t>Трансформатор тока ТШП-0,66 У3, кл. точн. 0,5, 250/5A</t>
  </si>
  <si>
    <t>Semada iki ayri 3 faz olcum seti: sayac (muhurlu bolme) + CVM-C10 analizoru; her biri 250/5A CLASS-0,5 5VA. Onceki BOM 75/5A idi.</t>
  </si>
  <si>
    <t>АНАЛИЗАТОР</t>
  </si>
  <si>
    <t>CVM-C10 CIRCUTOR — анализатор качества эл. энергии, x/5A-400/231V</t>
  </si>
  <si>
    <t>CIRCUTOR</t>
  </si>
  <si>
    <t>Semada acikca CVM-C10 CIRCUTOR yaziyor. Bu marka fiyat listelerimizde yok — tedarikci teklifi alinmali. Fiyat bos birakildi, toplama dahil DEGIL.</t>
  </si>
  <si>
    <t>БУТОН</t>
  </si>
  <si>
    <t>1SFA184071R9001</t>
  </si>
  <si>
    <t>P9MER4RN грибовидная кнопка ∅40 мм, красная, фиксируемая (E.B. — EMERGENCY POWER CUT-OFF)</t>
  </si>
  <si>
    <t>Semada pano DISINDA, 4mm² 2 damarli kablo ile TRIP COIL devresine bagli. Kapsam (pano ustu mu, saha montaji mi) ve kutu/etiket ihtiyaci teyit edilmeli.</t>
  </si>
  <si>
    <t>ГУЧ КАЙНАГЫ</t>
  </si>
  <si>
    <t>MDR-60-12</t>
  </si>
  <si>
    <t>MEAN WELL MDR-60-12, источник питания 12VDC / 5A (PS1)</t>
  </si>
  <si>
    <t>MEAN WELL</t>
  </si>
  <si>
    <t>Semada PS1. KNX degildir — TEKLED kapsamindadir. Fiyat listelerimizde yok, tedarikci fiyati girilmeli.</t>
  </si>
  <si>
    <t>KNX</t>
  </si>
  <si>
    <t>20-канальный модуль включения/отключения (KNX)</t>
  </si>
  <si>
    <t>MÜŞTERİ ТЕМИНИ</t>
  </si>
  <si>
    <t>MÜŞTERİ TEMİNİ</t>
  </si>
  <si>
    <t>Semada aydinlatma bolumu ustunde "20-канальный модуль включения/отключения". Malzeme bedeli teklif disi; pano ici yer + montaj bize ait.</t>
  </si>
  <si>
    <t>Шлюз DALI — KNX</t>
  </si>
  <si>
    <t>Semada 3 ad. "1шт. шлюз Дали". YENI — onceki revizyonda yoktu.</t>
  </si>
  <si>
    <t>Актуатор для штор, 16-канальный (KNX)</t>
  </si>
  <si>
    <t>YENI — onceki revizyonda yoktu.</t>
  </si>
  <si>
    <t>Актуатор для перекрытия воды, 12-канальный (KNX)</t>
  </si>
  <si>
    <t>TXA112</t>
  </si>
  <si>
    <t>KNX источник питания шины 30VDC, 640mA</t>
  </si>
  <si>
    <t>TYFS130</t>
  </si>
  <si>
    <t>KNX линейный соединитель (Line Coupler Secure)</t>
  </si>
  <si>
    <t>TYFS121</t>
  </si>
  <si>
    <t>KNX/IP маршрутизатор (Secure Router)</t>
  </si>
  <si>
    <t>DIN РЕЙКА</t>
  </si>
  <si>
    <t>570002</t>
  </si>
  <si>
    <t>DIN-рейка оцинкованная TH35-7.5, L=2000 мм</t>
  </si>
  <si>
    <t>~10 sira x 1,05 m ray ihtiyaci.</t>
  </si>
  <si>
    <t>КАБ. КАНАЛ</t>
  </si>
  <si>
    <t>270300150_</t>
  </si>
  <si>
    <t>Кабель-канал перфорированный 60х60, ИМПАКТ (2 м)</t>
  </si>
  <si>
    <t>Dusey ana kanallar + yatay dagitim.</t>
  </si>
  <si>
    <t>270300105_</t>
  </si>
  <si>
    <t>Кабель-канал перфорированный 40х60, ИМПАКТ (2 м)</t>
  </si>
  <si>
    <t>КЛЕМЕНС</t>
  </si>
  <si>
    <t>130200135_</t>
  </si>
  <si>
    <t>Шина "N" нулевая 4х11 групп на DIN-рейку в корпусе</t>
  </si>
  <si>
    <t>N ve PE dagitimi (85 tek fazli cikis + mekanik).</t>
  </si>
  <si>
    <t>LOOBAR</t>
  </si>
  <si>
    <t>130200012_</t>
  </si>
  <si>
    <t>Шина соединительная PIN (штырь) 1ф 63А, L=1 м</t>
  </si>
  <si>
    <t>1x10A NB gruplari icin tarak bara.</t>
  </si>
  <si>
    <t>130200015_</t>
  </si>
  <si>
    <t>Шина соединительная PIN (штырь) 3ф 63А, L=1 м</t>
  </si>
  <si>
    <t>Difavtomat gruplari icin 3 faz tarak bara.</t>
  </si>
  <si>
    <t>130300223_</t>
  </si>
  <si>
    <t>ЗНИ 2,5 мм² (24А), серый</t>
  </si>
  <si>
    <t>Aydinlatma + KNX cikislari (37 devre x L/N/PE).</t>
  </si>
  <si>
    <t>130300041_</t>
  </si>
  <si>
    <t>ЗНИ 4 мм² (35А), серый</t>
  </si>
  <si>
    <t>Priz cikislari (48 devre x L/N/PE).</t>
  </si>
  <si>
    <t>130300042_</t>
  </si>
  <si>
    <t>ЗНИ 6 мм², серый</t>
  </si>
  <si>
    <t>Mekanik cikislar -X01…-X18.</t>
  </si>
  <si>
    <t>130300039_</t>
  </si>
  <si>
    <t>ЗНИ 10 мм² (70А), серый</t>
  </si>
  <si>
    <t>ПВУ отопление ve buyuk cikislar.</t>
  </si>
  <si>
    <t>030300499_</t>
  </si>
  <si>
    <t>Клемма вводная силовая КВС 6-50 мм²</t>
  </si>
  <si>
    <t>Ana giris / bara baglanti klemensleri.</t>
  </si>
  <si>
    <t>БАРА</t>
  </si>
  <si>
    <t>Медная шина 30x5 мм — главная сборная шина L1/L2/L3/N/PE</t>
  </si>
  <si>
    <t>м</t>
  </si>
  <si>
    <t>188A nominal akim icin 30x5 Cu (≈300A). Bakir bara fiyat listelerimizde yok — gunluk bakir fiyatiyla girilmeli. Toplama dahil DEGIL.</t>
  </si>
  <si>
    <t>монтажный материал</t>
  </si>
  <si>
    <t>Монтажный материал (метизы, наконечники, маркировка, провод внутреннего монтажа)</t>
  </si>
  <si>
    <t>компл.</t>
  </si>
  <si>
    <t>Pano malzeme ara toplamının %3 ü (oran KURALLAR sayfasında sarı hücrede).</t>
  </si>
  <si>
    <t>монтажная работа</t>
  </si>
  <si>
    <t>Монтажная работа (сборка, монтаж, маркировка, испытания)</t>
  </si>
  <si>
    <t>мин</t>
  </si>
  <si>
    <t>Кол-во = DAKİKA (KURALLAR bölüm 4 zaman normlarından hesaplanır). Цена (лист) sütunu = saat karşılığı. Цена нетто = KZT/dakika.</t>
  </si>
  <si>
    <t>Итого — ЩИТ EMDP1 — Freedom Lounge (TAV-FR-E-EAP-009-R000, схема 05.08.2026)</t>
  </si>
  <si>
    <t>ЩИТ UMDP1 — Freedom Lounge (ИБП 6 kVA)</t>
  </si>
  <si>
    <t>250200069_</t>
  </si>
  <si>
    <t>ЩМП-5 IP31 (1000х650х300) EKT</t>
  </si>
  <si>
    <t>Kaztek/TEKSAN listesinde bu olcude uygun govde yok — kural geregi EKT fallback. ~50 modul + baypas salteri sigiyor; nihai yerlesim ile teyit.</t>
  </si>
  <si>
    <t>S202-C40, 2P, 40A, кривая C, 6kA — 2x40A NC (ввод UMDP1)</t>
  </si>
  <si>
    <t>2CDS272001R0404</t>
  </si>
  <si>
    <t>S202 M-C40, 2P, 40A, кривая C, 10kA — автоматический байпас</t>
  </si>
  <si>
    <t>Semada 2x40A/10 kA.</t>
  </si>
  <si>
    <t>1SCA104934R1001</t>
  </si>
  <si>
    <t>OT40F4C переключатель 1-0-2, 40A, 4 полюса — ручной байпас / переключатель режимов</t>
  </si>
  <si>
    <t>Semada 2 kutuplu 1-0-2 isteniyor; ABB OT gaminda 1-0-2 degistirme salteri en az 3 kutup. 4 kutuplu secildi (N kesme avantajli). 2 kutuplu alternatif isteniyorsa marka degisir.</t>
  </si>
  <si>
    <t>2CDS251001R0164</t>
  </si>
  <si>
    <t>S201-C16, 1P, 16A, кривая C, 6kA — 1x16A NC</t>
  </si>
  <si>
    <t>Гр.01-11.</t>
  </si>
  <si>
    <t>F202 A-25/0.03 AP-R, 2P, 25A, 30mA, тип A — 2x16A 30mA УЗО типа А</t>
  </si>
  <si>
    <t>ABB tip A F202 min In=25A; semada 16A. Gr.01-11.</t>
  </si>
  <si>
    <t>2CDS251001R0024</t>
  </si>
  <si>
    <t>S201-C2, 1P, 2A, 6kA — 1x2A NB 6 kA</t>
  </si>
  <si>
    <t>Semada B egrisi 2A isteniyor; ABB TR listesinde S201-B serisi 6A den basliyor. C egrisi 2A alindi.</t>
  </si>
  <si>
    <t>2CTB803972R1100</t>
  </si>
  <si>
    <t>OVR T2 1N 40-275 P QS — LV SPD (1P+N)</t>
  </si>
  <si>
    <t>Semada LV SPD + ayirici.</t>
  </si>
  <si>
    <t>TG</t>
  </si>
  <si>
    <t>Трансформатор тока ТОП-0,66 У3, кл. точн. 0,5, 50/5A</t>
  </si>
  <si>
    <t>Semada 40/5A. Saiman gaminda 40/5A yok, en yakin 50/5A. Analizor olcum orani buna gore ayarlanmali.</t>
  </si>
  <si>
    <t>Анализатор качества эл. энергии, x/5A-400/231V</t>
  </si>
  <si>
    <t>Model semada belirtilmemis. UMDP1 tek fazli (1Ф+N+PE) ama analizor 400/231V (3 faz) etiketli — celiski, teyit edilmeli. Fiyat bos.</t>
  </si>
  <si>
    <t>ИБП</t>
  </si>
  <si>
    <t>ИБП 6 kVA, 1~/1~, 220В AC 50Гц, 1Ф+N+PE</t>
  </si>
  <si>
    <t>Semada gosterilmis. Pano kapsaminda mi, ayri tedarik mi — teyit edilmeli. Fiyat bos, toplama dahil DEGIL.</t>
  </si>
  <si>
    <t>570003</t>
  </si>
  <si>
    <t>DIN-рейка оцинкованная TH35-7.5, L=1000 мм</t>
  </si>
  <si>
    <t>130200134_</t>
  </si>
  <si>
    <t>Шина "N" нулевая 2х7 групп на DIN-рейку в корпусе</t>
  </si>
  <si>
    <t>N ve PE dagitimi (11 cikis).</t>
  </si>
  <si>
    <t>11 cikis x L/N/PE + yedek.</t>
  </si>
  <si>
    <t>Giris / baypas / ИБП baglantilari.</t>
  </si>
  <si>
    <t>Итого — ЩИТ UMDP1 — Freedom Lounge (ИБП 6 kVA)</t>
  </si>
  <si>
    <t>ОБЩИЙ ИТОГ (KONTROL satırları hariç — fiyatı boş kalemler toplama dahil değildir)</t>
  </si>
  <si>
    <t>СВОД — Freedom Lounge, Международный аэропорт г. Алматы, Терминал Т2</t>
  </si>
  <si>
    <t>ТОО "Germes Limited Company" · TAV-FR-E-EAP-009-R000 · схема 05.08.2026</t>
  </si>
  <si>
    <t>Наименование щита</t>
  </si>
  <si>
    <t>Кол-во компл.</t>
  </si>
  <si>
    <t>Цена за компл., тг</t>
  </si>
  <si>
    <t>ОБЩИЙ ИТОГ</t>
  </si>
  <si>
    <t>⚠ Fiyatı boş bırakılan kalemler (CVM-C10 analizör, UMDP1 analizörü, ИБП 6 kVA, MEAN WELL MDR-60-12, bakır ana bara) toplama DAHİL DEĞİLDİR.</t>
  </si>
  <si>
    <t>⚠ KNX malzemeleri müşteri teminidir — malzeme bedeli teklif dışıdır, montaj işçiliği dahildir.</t>
  </si>
  <si>
    <t>⚠ Tüm KONTROL maddeleri KURALLAR sayfası bölüm 7 dedir. Teklif öncesi bu liste kapatılmalıdır.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</si>
</sst>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\.mm\.yyyy"/>
    <numFmt numFmtId="166" formatCode="#,##0.0"/>
  </numFmts>
  <fonts count="9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204"/>
    </font>
    <font>
      <i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sz val="9"/>
      <name val="Arial"/>
      <family val="2"/>
      <charset val="204"/>
    </font>
    <font>
      <b/>
      <sz val="11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DEBF7"/>
      </patternFill>
    </fill>
    <fill>
      <patternFill patternType="solid">
        <fgColor rgb="FFFFCC66"/>
        <bgColor indexed="64"/>
      </patternFill>
    </fill>
    <fill>
      <patternFill patternType="solid">
        <fgColor rgb="FFFFCC66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4" fontId="6" fillId="3" borderId="0" xfId="0" applyNumberFormat="1" applyFont="1" applyFill="1"/>
    <xf numFmtId="0" fontId="7" fillId="0" borderId="0" xfId="0" applyFont="1"/>
    <xf numFmtId="164" fontId="6" fillId="3" borderId="0" xfId="0" applyNumberFormat="1" applyFont="1" applyFill="1"/>
    <xf numFmtId="0" fontId="7" fillId="0" borderId="0" xfId="0" applyFont="1" applyAlignment="1">
      <alignment vertical="top" wrapText="1"/>
    </xf>
    <xf numFmtId="10" fontId="6" fillId="3" borderId="0" xfId="0" applyNumberFormat="1" applyFont="1" applyFill="1"/>
    <xf numFmtId="3" fontId="6" fillId="3" borderId="0" xfId="0" applyNumberFormat="1" applyFont="1" applyFill="1"/>
    <xf numFmtId="2" fontId="6" fillId="3" borderId="0" xfId="0" applyNumberFormat="1" applyFont="1" applyFill="1"/>
    <xf numFmtId="0" fontId="6" fillId="3" borderId="0" xfId="0" applyFont="1" applyFill="1"/>
    <xf numFmtId="0" fontId="3" fillId="4" borderId="0" xfId="0" applyFont="1" applyFill="1"/>
    <xf numFmtId="165" fontId="6" fillId="3" borderId="0" xfId="0" applyNumberFormat="1" applyFont="1" applyFill="1"/>
    <xf numFmtId="0" fontId="7" fillId="5" borderId="0" xfId="0" applyFont="1" applyFill="1" applyAlignment="1">
      <alignment vertical="top" wrapText="1"/>
    </xf>
    <xf numFmtId="0" fontId="7" fillId="6" borderId="0" xfId="0" applyFont="1" applyFill="1" applyAlignment="1">
      <alignment vertical="top" wrapText="1"/>
    </xf>
    <xf numFmtId="3" fontId="0" fillId="0" borderId="0" xfId="0" applyNumberFormat="1"/>
    <xf numFmtId="3" fontId="3" fillId="6" borderId="0" xfId="0" applyNumberFormat="1" applyFont="1" applyFill="1"/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3" fillId="10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7" fillId="9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4" fontId="5" fillId="0" borderId="1" xfId="0" applyNumberFormat="1" applyFont="1" applyBorder="1"/>
    <xf numFmtId="4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7" fillId="6" borderId="1" xfId="0" applyFont="1" applyFill="1" applyBorder="1"/>
    <xf numFmtId="0" fontId="7" fillId="4" borderId="1" xfId="0" applyFont="1" applyFill="1" applyBorder="1"/>
    <xf numFmtId="0" fontId="0" fillId="0" borderId="1" xfId="0" applyBorder="1"/>
    <xf numFmtId="0" fontId="7" fillId="7" borderId="1" xfId="0" applyFont="1" applyFill="1" applyBorder="1"/>
    <xf numFmtId="166" fontId="0" fillId="0" borderId="1" xfId="0" applyNumberFormat="1" applyBorder="1"/>
    <xf numFmtId="0" fontId="5" fillId="8" borderId="1" xfId="0" applyFont="1" applyFill="1" applyBorder="1"/>
    <xf numFmtId="0" fontId="3" fillId="8" borderId="1" xfId="0" applyFont="1" applyFill="1" applyBorder="1"/>
    <xf numFmtId="0" fontId="0" fillId="8" borderId="1" xfId="0" applyFill="1" applyBorder="1"/>
    <xf numFmtId="3" fontId="3" fillId="8" borderId="1" xfId="0" applyNumberFormat="1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0" fillId="6" borderId="1" xfId="0" applyFill="1" applyBorder="1"/>
    <xf numFmtId="0" fontId="8" fillId="6" borderId="1" xfId="0" applyFont="1" applyFill="1" applyBorder="1"/>
    <xf numFmtId="3" fontId="8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26" customWidth="1"/>
    <col min="3" max="3" width="46" customWidth="1"/>
    <col min="4" max="4" width="64" customWidth="1"/>
    <col min="5" max="5" width="16" customWidth="1"/>
    <col min="6" max="6" width="14" customWidth="1"/>
  </cols>
  <sheetData>
    <row r="1" spans="1:4" ht="15.75" customHeight="1" x14ac:dyDescent="0.25">
      <c r="A1" s="1" t="s">
        <v>0</v>
      </c>
    </row>
    <row r="2" spans="1:4" ht="15" customHeight="1" x14ac:dyDescent="0.25">
      <c r="A2" s="2" t="s">
        <v>1</v>
      </c>
    </row>
    <row r="4" spans="1:4" ht="15" customHeight="1" x14ac:dyDescent="0.25">
      <c r="A4" s="3" t="s">
        <v>2</v>
      </c>
    </row>
    <row r="5" spans="1:4" ht="15" customHeight="1" x14ac:dyDescent="0.25">
      <c r="A5" s="4" t="s">
        <v>3</v>
      </c>
      <c r="B5" s="4" t="s">
        <v>4</v>
      </c>
      <c r="C5" s="4" t="s">
        <v>5</v>
      </c>
    </row>
    <row r="6" spans="1:4" ht="15" customHeight="1" x14ac:dyDescent="0.25">
      <c r="A6" s="5" t="s">
        <v>6</v>
      </c>
      <c r="B6" s="6">
        <v>1</v>
      </c>
      <c r="C6" s="7" t="s">
        <v>7</v>
      </c>
    </row>
    <row r="7" spans="1:4" ht="15" customHeight="1" x14ac:dyDescent="0.25">
      <c r="A7" s="5" t="s">
        <v>8</v>
      </c>
      <c r="B7" s="6">
        <v>540</v>
      </c>
      <c r="C7" s="7" t="s">
        <v>9</v>
      </c>
    </row>
    <row r="8" spans="1:4" ht="15" customHeight="1" x14ac:dyDescent="0.25">
      <c r="A8" s="5" t="s">
        <v>10</v>
      </c>
      <c r="B8" s="6">
        <v>13.5</v>
      </c>
      <c r="C8" s="7" t="s">
        <v>11</v>
      </c>
    </row>
    <row r="9" spans="1:4" ht="15" customHeight="1" x14ac:dyDescent="0.25">
      <c r="A9" s="5" t="s">
        <v>12</v>
      </c>
      <c r="B9" s="6">
        <v>505</v>
      </c>
      <c r="C9" s="7" t="s">
        <v>13</v>
      </c>
    </row>
    <row r="11" spans="1:4" ht="15" customHeight="1" x14ac:dyDescent="0.25">
      <c r="A11" s="3" t="s">
        <v>14</v>
      </c>
    </row>
    <row r="12" spans="1:4" ht="15" customHeight="1" x14ac:dyDescent="0.25">
      <c r="A12" s="4" t="s">
        <v>15</v>
      </c>
      <c r="B12" s="4" t="s">
        <v>16</v>
      </c>
      <c r="C12" s="4" t="s">
        <v>17</v>
      </c>
      <c r="D12" s="4" t="s">
        <v>18</v>
      </c>
    </row>
    <row r="13" spans="1:4" ht="15" customHeight="1" x14ac:dyDescent="0.25">
      <c r="A13" s="5" t="s">
        <v>19</v>
      </c>
      <c r="B13" s="8">
        <v>0.40500000000000003</v>
      </c>
      <c r="C13" s="5" t="s">
        <v>8</v>
      </c>
      <c r="D13" s="9" t="s">
        <v>20</v>
      </c>
    </row>
    <row r="14" spans="1:4" ht="21.75" customHeight="1" x14ac:dyDescent="0.25">
      <c r="A14" s="5" t="s">
        <v>21</v>
      </c>
      <c r="B14" s="8">
        <v>0.3105</v>
      </c>
      <c r="C14" s="5" t="s">
        <v>8</v>
      </c>
      <c r="D14" s="9" t="s">
        <v>22</v>
      </c>
    </row>
    <row r="15" spans="1:4" ht="15" customHeight="1" x14ac:dyDescent="0.25">
      <c r="A15" s="5" t="s">
        <v>23</v>
      </c>
      <c r="B15" s="8">
        <v>0.6</v>
      </c>
      <c r="C15" s="5" t="s">
        <v>6</v>
      </c>
      <c r="D15" s="9" t="s">
        <v>24</v>
      </c>
    </row>
    <row r="16" spans="1:4" ht="15" customHeight="1" x14ac:dyDescent="0.25">
      <c r="A16" s="5" t="s">
        <v>25</v>
      </c>
      <c r="B16" s="8">
        <v>1</v>
      </c>
      <c r="C16" s="5" t="s">
        <v>6</v>
      </c>
      <c r="D16" s="9" t="s">
        <v>26</v>
      </c>
    </row>
    <row r="17" spans="1:6" ht="15" customHeight="1" x14ac:dyDescent="0.25">
      <c r="A17" s="5" t="s">
        <v>27</v>
      </c>
      <c r="B17" s="8">
        <v>1</v>
      </c>
      <c r="C17" s="5" t="s">
        <v>6</v>
      </c>
      <c r="D17" s="9" t="s">
        <v>28</v>
      </c>
    </row>
    <row r="18" spans="1:6" ht="15" customHeight="1" x14ac:dyDescent="0.25">
      <c r="A18" s="5" t="s">
        <v>29</v>
      </c>
      <c r="B18" s="8">
        <v>1</v>
      </c>
      <c r="C18" s="5" t="s">
        <v>6</v>
      </c>
      <c r="D18" s="9" t="s">
        <v>26</v>
      </c>
    </row>
    <row r="20" spans="1:6" ht="15" customHeight="1" x14ac:dyDescent="0.25">
      <c r="A20" s="3" t="s">
        <v>30</v>
      </c>
    </row>
    <row r="21" spans="1:6" ht="15" customHeight="1" x14ac:dyDescent="0.25">
      <c r="A21" s="5" t="s">
        <v>31</v>
      </c>
      <c r="B21" s="10">
        <v>0.03</v>
      </c>
    </row>
    <row r="22" spans="1:6" ht="15" customHeight="1" x14ac:dyDescent="0.25">
      <c r="A22" s="5" t="s">
        <v>32</v>
      </c>
      <c r="B22" s="11">
        <v>100</v>
      </c>
    </row>
    <row r="23" spans="1:6" ht="15" customHeight="1" x14ac:dyDescent="0.25">
      <c r="A23" s="5" t="s">
        <v>33</v>
      </c>
      <c r="B23" s="12">
        <v>1.1499999999999999</v>
      </c>
    </row>
    <row r="25" spans="1:6" ht="15" customHeight="1" x14ac:dyDescent="0.25">
      <c r="A25" s="3" t="s">
        <v>34</v>
      </c>
    </row>
    <row r="26" spans="1:6" ht="15" customHeight="1" x14ac:dyDescent="0.25">
      <c r="A26" s="4" t="s">
        <v>35</v>
      </c>
      <c r="B26" s="4" t="s">
        <v>36</v>
      </c>
      <c r="C26" s="4" t="s">
        <v>37</v>
      </c>
      <c r="D26" s="4" t="s">
        <v>38</v>
      </c>
      <c r="E26" s="4" t="s">
        <v>39</v>
      </c>
      <c r="F26" s="4" t="s">
        <v>40</v>
      </c>
    </row>
    <row r="27" spans="1:6" ht="15" customHeight="1" x14ac:dyDescent="0.25">
      <c r="A27" s="5" t="s">
        <v>41</v>
      </c>
      <c r="B27" s="13">
        <v>90</v>
      </c>
      <c r="C27" s="13">
        <v>1</v>
      </c>
      <c r="D27" s="13">
        <v>0</v>
      </c>
      <c r="E27" s="5">
        <f t="shared" ref="E27:E52" si="0">B27*C27</f>
        <v>90</v>
      </c>
      <c r="F27" s="5">
        <f t="shared" ref="F27:F52" si="1">B27*D27</f>
        <v>0</v>
      </c>
    </row>
    <row r="28" spans="1:6" ht="15" customHeight="1" x14ac:dyDescent="0.25">
      <c r="A28" s="5" t="s">
        <v>42</v>
      </c>
      <c r="B28" s="13">
        <v>45</v>
      </c>
      <c r="C28" s="13">
        <v>0</v>
      </c>
      <c r="D28" s="13">
        <v>1</v>
      </c>
      <c r="E28" s="5">
        <f t="shared" si="0"/>
        <v>0</v>
      </c>
      <c r="F28" s="5">
        <f t="shared" si="1"/>
        <v>45</v>
      </c>
    </row>
    <row r="29" spans="1:6" ht="15" customHeight="1" x14ac:dyDescent="0.25">
      <c r="A29" s="5" t="s">
        <v>43</v>
      </c>
      <c r="B29" s="13">
        <v>10</v>
      </c>
      <c r="C29" s="13">
        <v>40</v>
      </c>
      <c r="D29" s="13">
        <v>13</v>
      </c>
      <c r="E29" s="5">
        <f t="shared" si="0"/>
        <v>400</v>
      </c>
      <c r="F29" s="5">
        <f t="shared" si="1"/>
        <v>130</v>
      </c>
    </row>
    <row r="30" spans="1:6" ht="15" customHeight="1" x14ac:dyDescent="0.25">
      <c r="A30" s="5" t="s">
        <v>44</v>
      </c>
      <c r="B30" s="13">
        <v>14</v>
      </c>
      <c r="C30" s="13">
        <v>2</v>
      </c>
      <c r="D30" s="13">
        <v>2</v>
      </c>
      <c r="E30" s="5">
        <f t="shared" si="0"/>
        <v>28</v>
      </c>
      <c r="F30" s="5">
        <f t="shared" si="1"/>
        <v>28</v>
      </c>
    </row>
    <row r="31" spans="1:6" ht="15" customHeight="1" x14ac:dyDescent="0.25">
      <c r="A31" s="5" t="s">
        <v>45</v>
      </c>
      <c r="B31" s="13">
        <v>18</v>
      </c>
      <c r="C31" s="13">
        <v>3</v>
      </c>
      <c r="D31" s="13">
        <v>0</v>
      </c>
      <c r="E31" s="5">
        <f t="shared" si="0"/>
        <v>54</v>
      </c>
      <c r="F31" s="5">
        <f t="shared" si="1"/>
        <v>0</v>
      </c>
    </row>
    <row r="32" spans="1:6" ht="15" customHeight="1" x14ac:dyDescent="0.25">
      <c r="A32" s="5" t="s">
        <v>46</v>
      </c>
      <c r="B32" s="13">
        <v>12</v>
      </c>
      <c r="C32" s="13">
        <v>47</v>
      </c>
      <c r="D32" s="13">
        <v>0</v>
      </c>
      <c r="E32" s="5">
        <f t="shared" si="0"/>
        <v>564</v>
      </c>
      <c r="F32" s="5">
        <f t="shared" si="1"/>
        <v>0</v>
      </c>
    </row>
    <row r="33" spans="1:6" ht="15" customHeight="1" x14ac:dyDescent="0.25">
      <c r="A33" s="5" t="s">
        <v>47</v>
      </c>
      <c r="B33" s="13">
        <v>14</v>
      </c>
      <c r="C33" s="13">
        <v>2</v>
      </c>
      <c r="D33" s="13">
        <v>11</v>
      </c>
      <c r="E33" s="5">
        <f t="shared" si="0"/>
        <v>28</v>
      </c>
      <c r="F33" s="5">
        <f t="shared" si="1"/>
        <v>154</v>
      </c>
    </row>
    <row r="34" spans="1:6" ht="15" customHeight="1" x14ac:dyDescent="0.25">
      <c r="A34" s="5" t="s">
        <v>48</v>
      </c>
      <c r="B34" s="13">
        <v>20</v>
      </c>
      <c r="C34" s="13">
        <v>6</v>
      </c>
      <c r="D34" s="13">
        <v>0</v>
      </c>
      <c r="E34" s="5">
        <f t="shared" si="0"/>
        <v>120</v>
      </c>
      <c r="F34" s="5">
        <f t="shared" si="1"/>
        <v>0</v>
      </c>
    </row>
    <row r="35" spans="1:6" ht="15" customHeight="1" x14ac:dyDescent="0.25">
      <c r="A35" s="5" t="s">
        <v>49</v>
      </c>
      <c r="B35" s="13">
        <v>60</v>
      </c>
      <c r="C35" s="13">
        <v>2</v>
      </c>
      <c r="D35" s="13">
        <v>0</v>
      </c>
      <c r="E35" s="5">
        <f t="shared" si="0"/>
        <v>120</v>
      </c>
      <c r="F35" s="5">
        <f t="shared" si="1"/>
        <v>0</v>
      </c>
    </row>
    <row r="36" spans="1:6" ht="15" customHeight="1" x14ac:dyDescent="0.25">
      <c r="A36" s="5" t="s">
        <v>50</v>
      </c>
      <c r="B36" s="13">
        <v>30</v>
      </c>
      <c r="C36" s="13">
        <v>4</v>
      </c>
      <c r="D36" s="13">
        <v>0</v>
      </c>
      <c r="E36" s="5">
        <f t="shared" si="0"/>
        <v>120</v>
      </c>
      <c r="F36" s="5">
        <f t="shared" si="1"/>
        <v>0</v>
      </c>
    </row>
    <row r="37" spans="1:6" ht="15" customHeight="1" x14ac:dyDescent="0.25">
      <c r="A37" s="5" t="s">
        <v>51</v>
      </c>
      <c r="B37" s="13">
        <v>25</v>
      </c>
      <c r="C37" s="13">
        <v>6</v>
      </c>
      <c r="D37" s="13">
        <v>0</v>
      </c>
      <c r="E37" s="5">
        <f t="shared" si="0"/>
        <v>150</v>
      </c>
      <c r="F37" s="5">
        <f t="shared" si="1"/>
        <v>0</v>
      </c>
    </row>
    <row r="38" spans="1:6" ht="15" customHeight="1" x14ac:dyDescent="0.25">
      <c r="A38" s="5" t="s">
        <v>52</v>
      </c>
      <c r="B38" s="13">
        <v>4</v>
      </c>
      <c r="C38" s="13">
        <v>12</v>
      </c>
      <c r="D38" s="13">
        <v>0</v>
      </c>
      <c r="E38" s="5">
        <f t="shared" si="0"/>
        <v>48</v>
      </c>
      <c r="F38" s="5">
        <f t="shared" si="1"/>
        <v>0</v>
      </c>
    </row>
    <row r="39" spans="1:6" ht="15" customHeight="1" x14ac:dyDescent="0.25">
      <c r="A39" s="5" t="s">
        <v>53</v>
      </c>
      <c r="B39" s="13">
        <v>20</v>
      </c>
      <c r="C39" s="13">
        <v>6</v>
      </c>
      <c r="D39" s="13">
        <v>0</v>
      </c>
      <c r="E39" s="5">
        <f t="shared" si="0"/>
        <v>120</v>
      </c>
      <c r="F39" s="5">
        <f t="shared" si="1"/>
        <v>0</v>
      </c>
    </row>
    <row r="40" spans="1:6" ht="15" customHeight="1" x14ac:dyDescent="0.25">
      <c r="A40" s="5" t="s">
        <v>54</v>
      </c>
      <c r="B40" s="13">
        <v>60</v>
      </c>
      <c r="C40" s="13">
        <v>1</v>
      </c>
      <c r="D40" s="13">
        <v>0</v>
      </c>
      <c r="E40" s="5">
        <f t="shared" si="0"/>
        <v>60</v>
      </c>
      <c r="F40" s="5">
        <f t="shared" si="1"/>
        <v>0</v>
      </c>
    </row>
    <row r="41" spans="1:6" ht="15" customHeight="1" x14ac:dyDescent="0.25">
      <c r="A41" s="5" t="s">
        <v>55</v>
      </c>
      <c r="B41" s="13">
        <v>45</v>
      </c>
      <c r="C41" s="13">
        <v>0</v>
      </c>
      <c r="D41" s="13">
        <v>1</v>
      </c>
      <c r="E41" s="5">
        <f t="shared" si="0"/>
        <v>0</v>
      </c>
      <c r="F41" s="5">
        <f t="shared" si="1"/>
        <v>45</v>
      </c>
    </row>
    <row r="42" spans="1:6" ht="15" customHeight="1" x14ac:dyDescent="0.25">
      <c r="A42" s="5" t="s">
        <v>56</v>
      </c>
      <c r="B42" s="13">
        <v>20</v>
      </c>
      <c r="C42" s="13">
        <v>3</v>
      </c>
      <c r="D42" s="13">
        <v>0</v>
      </c>
      <c r="E42" s="5">
        <f t="shared" si="0"/>
        <v>60</v>
      </c>
      <c r="F42" s="5">
        <f t="shared" si="1"/>
        <v>0</v>
      </c>
    </row>
    <row r="43" spans="1:6" ht="15" customHeight="1" x14ac:dyDescent="0.25">
      <c r="A43" s="5" t="s">
        <v>57</v>
      </c>
      <c r="B43" s="13">
        <v>15</v>
      </c>
      <c r="C43" s="13">
        <v>1</v>
      </c>
      <c r="D43" s="13">
        <v>1</v>
      </c>
      <c r="E43" s="5">
        <f t="shared" si="0"/>
        <v>15</v>
      </c>
      <c r="F43" s="5">
        <f t="shared" si="1"/>
        <v>15</v>
      </c>
    </row>
    <row r="44" spans="1:6" ht="15" customHeight="1" x14ac:dyDescent="0.25">
      <c r="A44" s="5" t="s">
        <v>58</v>
      </c>
      <c r="B44" s="13">
        <v>90</v>
      </c>
      <c r="C44" s="13">
        <v>1</v>
      </c>
      <c r="D44" s="13">
        <v>0</v>
      </c>
      <c r="E44" s="5">
        <f t="shared" si="0"/>
        <v>90</v>
      </c>
      <c r="F44" s="5">
        <f t="shared" si="1"/>
        <v>0</v>
      </c>
    </row>
    <row r="45" spans="1:6" ht="15" customHeight="1" x14ac:dyDescent="0.25">
      <c r="A45" s="5" t="s">
        <v>59</v>
      </c>
      <c r="B45" s="13">
        <v>30</v>
      </c>
      <c r="C45" s="13">
        <v>1</v>
      </c>
      <c r="D45" s="13">
        <v>2</v>
      </c>
      <c r="E45" s="5">
        <f t="shared" si="0"/>
        <v>30</v>
      </c>
      <c r="F45" s="5">
        <f t="shared" si="1"/>
        <v>60</v>
      </c>
    </row>
    <row r="46" spans="1:6" ht="15" customHeight="1" x14ac:dyDescent="0.25">
      <c r="A46" s="5" t="s">
        <v>60</v>
      </c>
      <c r="B46" s="13">
        <v>8</v>
      </c>
      <c r="C46" s="13">
        <v>29</v>
      </c>
      <c r="D46" s="13">
        <v>0</v>
      </c>
      <c r="E46" s="5">
        <f t="shared" si="0"/>
        <v>232</v>
      </c>
      <c r="F46" s="5">
        <f t="shared" si="1"/>
        <v>0</v>
      </c>
    </row>
    <row r="47" spans="1:6" ht="15" customHeight="1" x14ac:dyDescent="0.25">
      <c r="A47" s="5" t="s">
        <v>61</v>
      </c>
      <c r="B47" s="13">
        <v>15</v>
      </c>
      <c r="C47" s="13">
        <v>10</v>
      </c>
      <c r="D47" s="13">
        <v>0</v>
      </c>
      <c r="E47" s="5">
        <f t="shared" si="0"/>
        <v>150</v>
      </c>
      <c r="F47" s="5">
        <f t="shared" si="1"/>
        <v>0</v>
      </c>
    </row>
    <row r="48" spans="1:6" ht="15" customHeight="1" x14ac:dyDescent="0.25">
      <c r="A48" s="5" t="s">
        <v>62</v>
      </c>
      <c r="B48" s="13">
        <v>4</v>
      </c>
      <c r="C48" s="13">
        <v>316</v>
      </c>
      <c r="D48" s="13">
        <v>60</v>
      </c>
      <c r="E48" s="5">
        <f t="shared" si="0"/>
        <v>1264</v>
      </c>
      <c r="F48" s="5">
        <f t="shared" si="1"/>
        <v>240</v>
      </c>
    </row>
    <row r="49" spans="1:6" ht="15" customHeight="1" x14ac:dyDescent="0.25">
      <c r="A49" s="5" t="s">
        <v>63</v>
      </c>
      <c r="B49" s="13">
        <v>10</v>
      </c>
      <c r="C49" s="13">
        <v>8</v>
      </c>
      <c r="D49" s="13">
        <v>0</v>
      </c>
      <c r="E49" s="5">
        <f t="shared" si="0"/>
        <v>80</v>
      </c>
      <c r="F49" s="5">
        <f t="shared" si="1"/>
        <v>0</v>
      </c>
    </row>
    <row r="50" spans="1:6" ht="15" customHeight="1" x14ac:dyDescent="0.25">
      <c r="A50" s="5" t="s">
        <v>64</v>
      </c>
      <c r="B50" s="13">
        <v>10</v>
      </c>
      <c r="C50" s="13">
        <v>8</v>
      </c>
      <c r="D50" s="13">
        <v>3</v>
      </c>
      <c r="E50" s="5">
        <f t="shared" si="0"/>
        <v>80</v>
      </c>
      <c r="F50" s="5">
        <f t="shared" si="1"/>
        <v>30</v>
      </c>
    </row>
    <row r="51" spans="1:6" ht="15" customHeight="1" x14ac:dyDescent="0.25">
      <c r="A51" s="5" t="s">
        <v>65</v>
      </c>
      <c r="B51" s="13">
        <v>45</v>
      </c>
      <c r="C51" s="13">
        <v>6</v>
      </c>
      <c r="D51" s="13">
        <v>0</v>
      </c>
      <c r="E51" s="5">
        <f t="shared" si="0"/>
        <v>270</v>
      </c>
      <c r="F51" s="5">
        <f t="shared" si="1"/>
        <v>0</v>
      </c>
    </row>
    <row r="52" spans="1:6" ht="15" customHeight="1" x14ac:dyDescent="0.25">
      <c r="A52" s="5" t="s">
        <v>66</v>
      </c>
      <c r="B52" s="13">
        <v>5</v>
      </c>
      <c r="C52" s="13">
        <v>52</v>
      </c>
      <c r="D52" s="13">
        <v>12</v>
      </c>
      <c r="E52" s="5">
        <f t="shared" si="0"/>
        <v>260</v>
      </c>
      <c r="F52" s="5">
        <f t="shared" si="1"/>
        <v>60</v>
      </c>
    </row>
    <row r="53" spans="1:6" ht="15" customHeight="1" x14ac:dyDescent="0.25">
      <c r="A53" s="3" t="s">
        <v>67</v>
      </c>
      <c r="E53" s="3">
        <f>SUM(E27:E52)</f>
        <v>4433</v>
      </c>
      <c r="F53" s="3">
        <f>SUM(F27:F52)</f>
        <v>807</v>
      </c>
    </row>
    <row r="54" spans="1:6" ht="15" customHeight="1" x14ac:dyDescent="0.25">
      <c r="A54" s="3" t="s">
        <v>68</v>
      </c>
      <c r="E54" s="14">
        <f>ROUND(E53*KURALLAR!$B$23,0)</f>
        <v>5098</v>
      </c>
      <c r="F54" s="14">
        <f>ROUND(F53*KURALLAR!$B$23,0)</f>
        <v>928</v>
      </c>
    </row>
    <row r="56" spans="1:6" ht="15" customHeight="1" x14ac:dyDescent="0.25">
      <c r="A56" s="3" t="s">
        <v>69</v>
      </c>
    </row>
    <row r="57" spans="1:6" ht="15" customHeight="1" x14ac:dyDescent="0.25">
      <c r="A57" s="4" t="s">
        <v>70</v>
      </c>
      <c r="B57" s="4" t="s">
        <v>71</v>
      </c>
      <c r="C57" s="4" t="s">
        <v>72</v>
      </c>
      <c r="D57" s="4" t="s">
        <v>73</v>
      </c>
      <c r="E57" s="4" t="s">
        <v>74</v>
      </c>
    </row>
    <row r="58" spans="1:6" ht="15" customHeight="1" x14ac:dyDescent="0.25">
      <c r="A58" s="5" t="s">
        <v>75</v>
      </c>
      <c r="B58" s="15">
        <v>45962</v>
      </c>
      <c r="C58" s="5">
        <f t="shared" ref="C58:C66" ca="1" si="2">DATEDIF(B58,TODAY(),"m")</f>
        <v>9</v>
      </c>
      <c r="D58" s="5" t="str">
        <f t="shared" ref="D58:D66" ca="1" si="3">IF(C58&lt;=12,"✅ KULLAN",IF(C58&lt;=18,"⚠ UYARILI","⛔ YASAK"))</f>
        <v>✅ KULLAN</v>
      </c>
      <c r="E58" s="7" t="s">
        <v>76</v>
      </c>
    </row>
    <row r="59" spans="1:6" ht="15" customHeight="1" x14ac:dyDescent="0.25">
      <c r="A59" s="5" t="s">
        <v>77</v>
      </c>
      <c r="B59" s="15">
        <v>46231</v>
      </c>
      <c r="C59" s="5">
        <f t="shared" ca="1" si="2"/>
        <v>0</v>
      </c>
      <c r="D59" s="5" t="str">
        <f t="shared" ca="1" si="3"/>
        <v>✅ KULLAN</v>
      </c>
      <c r="E59" s="7" t="s">
        <v>78</v>
      </c>
    </row>
    <row r="60" spans="1:6" ht="15" customHeight="1" x14ac:dyDescent="0.25">
      <c r="A60" s="5" t="s">
        <v>79</v>
      </c>
      <c r="B60" s="15">
        <v>46218</v>
      </c>
      <c r="C60" s="5">
        <f t="shared" ca="1" si="2"/>
        <v>0</v>
      </c>
      <c r="D60" s="5" t="str">
        <f t="shared" ca="1" si="3"/>
        <v>✅ KULLAN</v>
      </c>
      <c r="E60" s="7" t="s">
        <v>80</v>
      </c>
    </row>
    <row r="61" spans="1:6" ht="15" customHeight="1" x14ac:dyDescent="0.25">
      <c r="A61" s="5" t="s">
        <v>81</v>
      </c>
      <c r="B61" s="15">
        <v>45827</v>
      </c>
      <c r="C61" s="5">
        <f t="shared" ca="1" si="2"/>
        <v>13</v>
      </c>
      <c r="D61" s="5" t="str">
        <f t="shared" ca="1" si="3"/>
        <v>⚠ UYARILI</v>
      </c>
      <c r="E61" s="7" t="s">
        <v>82</v>
      </c>
    </row>
    <row r="62" spans="1:6" ht="15" customHeight="1" x14ac:dyDescent="0.25">
      <c r="A62" s="5" t="s">
        <v>83</v>
      </c>
      <c r="B62" s="15">
        <v>46023</v>
      </c>
      <c r="C62" s="5">
        <f t="shared" ca="1" si="2"/>
        <v>7</v>
      </c>
      <c r="D62" s="5" t="str">
        <f t="shared" ca="1" si="3"/>
        <v>✅ KULLAN</v>
      </c>
      <c r="E62" s="7" t="s">
        <v>84</v>
      </c>
    </row>
    <row r="63" spans="1:6" ht="15" customHeight="1" x14ac:dyDescent="0.25">
      <c r="A63" s="5" t="s">
        <v>85</v>
      </c>
      <c r="B63" s="15">
        <v>44614</v>
      </c>
      <c r="C63" s="5">
        <f t="shared" ca="1" si="2"/>
        <v>53</v>
      </c>
      <c r="D63" s="5" t="str">
        <f t="shared" ca="1" si="3"/>
        <v>⛔ YASAK</v>
      </c>
      <c r="E63" s="7" t="s">
        <v>86</v>
      </c>
    </row>
    <row r="64" spans="1:6" ht="15" customHeight="1" x14ac:dyDescent="0.25">
      <c r="A64" s="5" t="s">
        <v>87</v>
      </c>
      <c r="B64" s="15">
        <v>44866</v>
      </c>
      <c r="C64" s="5">
        <f t="shared" ca="1" si="2"/>
        <v>45</v>
      </c>
      <c r="D64" s="5" t="str">
        <f t="shared" ca="1" si="3"/>
        <v>⛔ YASAK</v>
      </c>
      <c r="E64" s="7" t="s">
        <v>86</v>
      </c>
    </row>
    <row r="65" spans="1:5" ht="15" customHeight="1" x14ac:dyDescent="0.25">
      <c r="A65" s="5" t="s">
        <v>88</v>
      </c>
      <c r="B65" s="15">
        <v>44743</v>
      </c>
      <c r="C65" s="5">
        <f t="shared" ca="1" si="2"/>
        <v>49</v>
      </c>
      <c r="D65" s="5" t="str">
        <f t="shared" ca="1" si="3"/>
        <v>⛔ YASAK</v>
      </c>
      <c r="E65" s="7" t="s">
        <v>86</v>
      </c>
    </row>
    <row r="66" spans="1:5" ht="15" customHeight="1" x14ac:dyDescent="0.25">
      <c r="A66" s="5" t="s">
        <v>89</v>
      </c>
      <c r="B66" s="15">
        <v>45692</v>
      </c>
      <c r="C66" s="5">
        <f t="shared" ca="1" si="2"/>
        <v>18</v>
      </c>
      <c r="D66" s="5" t="str">
        <f t="shared" ca="1" si="3"/>
        <v>⚠ UYARILI</v>
      </c>
      <c r="E66" s="7" t="s">
        <v>90</v>
      </c>
    </row>
    <row r="68" spans="1:5" ht="15" customHeight="1" x14ac:dyDescent="0.25">
      <c r="A68" s="3" t="s">
        <v>91</v>
      </c>
    </row>
    <row r="69" spans="1:5" ht="15" customHeight="1" x14ac:dyDescent="0.25">
      <c r="A69" s="4" t="s">
        <v>92</v>
      </c>
      <c r="B69" s="4" t="s">
        <v>93</v>
      </c>
      <c r="C69" s="4" t="s">
        <v>94</v>
      </c>
      <c r="D69" s="4" t="s">
        <v>95</v>
      </c>
      <c r="E69" s="4" t="s">
        <v>96</v>
      </c>
    </row>
    <row r="70" spans="1:5" ht="84.75" customHeight="1" x14ac:dyDescent="0.25">
      <c r="A70" s="9" t="s">
        <v>97</v>
      </c>
      <c r="B70" s="9" t="s">
        <v>98</v>
      </c>
      <c r="C70" s="9" t="s">
        <v>99</v>
      </c>
      <c r="D70" s="9">
        <v>8</v>
      </c>
      <c r="E70" s="9" t="s">
        <v>100</v>
      </c>
    </row>
    <row r="71" spans="1:5" ht="15" customHeight="1" x14ac:dyDescent="0.25">
      <c r="A71" s="9" t="s">
        <v>97</v>
      </c>
      <c r="B71" s="9" t="s">
        <v>101</v>
      </c>
      <c r="C71" s="9" t="s">
        <v>102</v>
      </c>
      <c r="D71" s="9">
        <v>1</v>
      </c>
      <c r="E71" s="9" t="s">
        <v>103</v>
      </c>
    </row>
    <row r="72" spans="1:5" ht="15" customHeight="1" x14ac:dyDescent="0.25">
      <c r="A72" s="9" t="s">
        <v>97</v>
      </c>
      <c r="B72" s="9" t="s">
        <v>101</v>
      </c>
      <c r="C72" s="9" t="s">
        <v>104</v>
      </c>
      <c r="D72" s="9">
        <v>1</v>
      </c>
      <c r="E72" s="9" t="s">
        <v>105</v>
      </c>
    </row>
    <row r="73" spans="1:5" ht="32.25" customHeight="1" x14ac:dyDescent="0.25">
      <c r="A73" s="9" t="s">
        <v>106</v>
      </c>
      <c r="B73" s="9" t="s">
        <v>107</v>
      </c>
      <c r="C73" s="9" t="s">
        <v>99</v>
      </c>
      <c r="D73" s="9">
        <v>29</v>
      </c>
      <c r="E73" s="9" t="s">
        <v>108</v>
      </c>
    </row>
    <row r="74" spans="1:5" ht="15" customHeight="1" x14ac:dyDescent="0.25">
      <c r="A74" s="9" t="s">
        <v>106</v>
      </c>
      <c r="B74" s="9" t="s">
        <v>101</v>
      </c>
      <c r="C74" s="9" t="s">
        <v>109</v>
      </c>
      <c r="D74" s="9">
        <v>3</v>
      </c>
      <c r="E74" s="9" t="s">
        <v>110</v>
      </c>
    </row>
    <row r="75" spans="1:5" ht="15" customHeight="1" x14ac:dyDescent="0.25">
      <c r="A75" s="9" t="s">
        <v>106</v>
      </c>
      <c r="B75" s="9" t="s">
        <v>101</v>
      </c>
      <c r="C75" s="9" t="s">
        <v>111</v>
      </c>
      <c r="D75" s="9">
        <v>1</v>
      </c>
      <c r="E75" s="9" t="s">
        <v>112</v>
      </c>
    </row>
    <row r="76" spans="1:5" ht="53.25" customHeight="1" x14ac:dyDescent="0.25">
      <c r="A76" s="9" t="s">
        <v>113</v>
      </c>
      <c r="B76" s="9" t="s">
        <v>114</v>
      </c>
      <c r="C76" s="9" t="s">
        <v>115</v>
      </c>
      <c r="D76" s="9">
        <v>1</v>
      </c>
      <c r="E76" s="9" t="s">
        <v>116</v>
      </c>
    </row>
    <row r="77" spans="1:5" ht="42.75" customHeight="1" x14ac:dyDescent="0.25">
      <c r="A77" s="9" t="s">
        <v>113</v>
      </c>
      <c r="B77" s="9" t="s">
        <v>117</v>
      </c>
      <c r="C77" s="9" t="s">
        <v>118</v>
      </c>
      <c r="D77" s="9">
        <v>43</v>
      </c>
      <c r="E77" s="9" t="s">
        <v>119</v>
      </c>
    </row>
    <row r="78" spans="1:5" ht="53.25" customHeight="1" x14ac:dyDescent="0.25">
      <c r="A78" s="9" t="s">
        <v>113</v>
      </c>
      <c r="B78" s="9" t="s">
        <v>120</v>
      </c>
      <c r="C78" s="9" t="s">
        <v>121</v>
      </c>
      <c r="D78" s="9">
        <v>4</v>
      </c>
      <c r="E78" s="9" t="s">
        <v>122</v>
      </c>
    </row>
    <row r="79" spans="1:5" ht="15" customHeight="1" x14ac:dyDescent="0.25">
      <c r="A79" s="9" t="s">
        <v>123</v>
      </c>
      <c r="B79" s="9" t="s">
        <v>124</v>
      </c>
      <c r="C79" s="9" t="s">
        <v>125</v>
      </c>
      <c r="D79" s="9">
        <v>1</v>
      </c>
      <c r="E79" s="9" t="s">
        <v>126</v>
      </c>
    </row>
    <row r="80" spans="1:5" ht="63.75" customHeight="1" x14ac:dyDescent="0.25">
      <c r="A80" s="9" t="s">
        <v>123</v>
      </c>
      <c r="B80" s="9" t="s">
        <v>127</v>
      </c>
      <c r="C80" s="9" t="s">
        <v>128</v>
      </c>
      <c r="D80" s="9">
        <v>1</v>
      </c>
      <c r="E80" s="9" t="s">
        <v>129</v>
      </c>
    </row>
    <row r="81" spans="1:5" ht="15" customHeight="1" x14ac:dyDescent="0.25">
      <c r="A81" s="9" t="s">
        <v>123</v>
      </c>
      <c r="B81" s="9" t="s">
        <v>130</v>
      </c>
      <c r="C81" s="9" t="s">
        <v>131</v>
      </c>
      <c r="D81" s="9">
        <v>1</v>
      </c>
      <c r="E81" s="9" t="s">
        <v>132</v>
      </c>
    </row>
    <row r="82" spans="1:5" ht="15" customHeight="1" x14ac:dyDescent="0.25">
      <c r="A82" s="9" t="s">
        <v>123</v>
      </c>
      <c r="B82" s="9" t="s">
        <v>133</v>
      </c>
      <c r="C82" s="9" t="s">
        <v>134</v>
      </c>
      <c r="D82" s="9">
        <v>1</v>
      </c>
      <c r="E82" s="9" t="s">
        <v>135</v>
      </c>
    </row>
    <row r="83" spans="1:5" ht="15" customHeight="1" x14ac:dyDescent="0.25">
      <c r="A83" s="9" t="s">
        <v>123</v>
      </c>
      <c r="B83" s="9" t="s">
        <v>136</v>
      </c>
      <c r="C83" s="9" t="s">
        <v>137</v>
      </c>
      <c r="D83" s="9">
        <v>1</v>
      </c>
      <c r="E83" s="9" t="s">
        <v>138</v>
      </c>
    </row>
    <row r="84" spans="1:5" ht="15" customHeight="1" x14ac:dyDescent="0.25">
      <c r="A84" s="9" t="s">
        <v>123</v>
      </c>
      <c r="B84" s="9" t="s">
        <v>139</v>
      </c>
      <c r="C84" s="9" t="s">
        <v>140</v>
      </c>
      <c r="D84" s="9">
        <v>1</v>
      </c>
      <c r="E84" s="9" t="s">
        <v>141</v>
      </c>
    </row>
    <row r="85" spans="1:5" ht="15" customHeight="1" x14ac:dyDescent="0.25">
      <c r="A85" s="9" t="s">
        <v>123</v>
      </c>
      <c r="B85" s="9" t="s">
        <v>142</v>
      </c>
      <c r="C85" s="9" t="s">
        <v>143</v>
      </c>
      <c r="D85" s="9">
        <v>1</v>
      </c>
      <c r="E85" s="9" t="s">
        <v>144</v>
      </c>
    </row>
    <row r="86" spans="1:5" ht="15" customHeight="1" x14ac:dyDescent="0.25">
      <c r="A86" s="9" t="s">
        <v>123</v>
      </c>
      <c r="B86" s="9" t="s">
        <v>145</v>
      </c>
      <c r="C86" s="9" t="s">
        <v>146</v>
      </c>
      <c r="D86" s="9">
        <v>1</v>
      </c>
      <c r="E86" s="9" t="s">
        <v>147</v>
      </c>
    </row>
    <row r="87" spans="1:5" ht="15" customHeight="1" x14ac:dyDescent="0.25">
      <c r="A87" s="9" t="s">
        <v>148</v>
      </c>
      <c r="B87" s="9" t="s">
        <v>149</v>
      </c>
      <c r="C87" s="9" t="s">
        <v>150</v>
      </c>
      <c r="D87" s="9">
        <v>11</v>
      </c>
      <c r="E87" s="9" t="s">
        <v>151</v>
      </c>
    </row>
    <row r="88" spans="1:5" ht="21.75" customHeight="1" x14ac:dyDescent="0.25">
      <c r="A88" s="9" t="s">
        <v>152</v>
      </c>
      <c r="B88" s="9" t="s">
        <v>101</v>
      </c>
      <c r="C88" s="9" t="s">
        <v>153</v>
      </c>
      <c r="D88" s="9">
        <v>1</v>
      </c>
      <c r="E88" s="9" t="s">
        <v>154</v>
      </c>
    </row>
    <row r="89" spans="1:5" ht="21.75" customHeight="1" x14ac:dyDescent="0.25">
      <c r="A89" s="9" t="s">
        <v>152</v>
      </c>
      <c r="B89" s="9" t="s">
        <v>101</v>
      </c>
      <c r="C89" s="9" t="s">
        <v>155</v>
      </c>
      <c r="D89" s="9">
        <v>1</v>
      </c>
      <c r="E89" s="9" t="s">
        <v>156</v>
      </c>
    </row>
    <row r="90" spans="1:5" ht="21.75" customHeight="1" x14ac:dyDescent="0.25">
      <c r="A90" s="9" t="s">
        <v>157</v>
      </c>
      <c r="B90" s="9" t="s">
        <v>101</v>
      </c>
      <c r="C90" s="9" t="s">
        <v>158</v>
      </c>
      <c r="D90" s="9">
        <v>1</v>
      </c>
      <c r="E90" s="9" t="s">
        <v>159</v>
      </c>
    </row>
    <row r="91" spans="1:5" ht="15" customHeight="1" x14ac:dyDescent="0.25">
      <c r="A91" s="9" t="s">
        <v>160</v>
      </c>
      <c r="B91" s="9" t="s">
        <v>161</v>
      </c>
      <c r="C91" s="9" t="s">
        <v>162</v>
      </c>
      <c r="D91" s="9">
        <v>2</v>
      </c>
      <c r="E91" s="9" t="s">
        <v>163</v>
      </c>
    </row>
    <row r="92" spans="1:5" ht="21.75" customHeight="1" x14ac:dyDescent="0.25">
      <c r="A92" s="9" t="s">
        <v>160</v>
      </c>
      <c r="B92" s="9" t="s">
        <v>101</v>
      </c>
      <c r="C92" s="9" t="s">
        <v>164</v>
      </c>
      <c r="D92" s="9">
        <v>1</v>
      </c>
      <c r="E92" s="9" t="s">
        <v>148</v>
      </c>
    </row>
    <row r="94" spans="1:5" ht="15" customHeight="1" x14ac:dyDescent="0.25">
      <c r="A94" s="3" t="s">
        <v>165</v>
      </c>
    </row>
    <row r="95" spans="1:5" ht="15" customHeight="1" x14ac:dyDescent="0.25">
      <c r="A95" s="4" t="s">
        <v>166</v>
      </c>
      <c r="B95" s="4" t="s">
        <v>167</v>
      </c>
      <c r="C95" s="4" t="s">
        <v>168</v>
      </c>
      <c r="D95" s="4" t="s">
        <v>169</v>
      </c>
      <c r="E95" s="4" t="s">
        <v>170</v>
      </c>
    </row>
    <row r="96" spans="1:5" ht="21.75" customHeight="1" x14ac:dyDescent="0.25">
      <c r="A96" s="7">
        <v>1</v>
      </c>
      <c r="B96" s="9" t="s">
        <v>171</v>
      </c>
      <c r="C96" s="9" t="s">
        <v>172</v>
      </c>
      <c r="D96" s="9" t="s">
        <v>173</v>
      </c>
      <c r="E96" s="16" t="s">
        <v>174</v>
      </c>
    </row>
    <row r="97" spans="1:5" ht="21.75" customHeight="1" x14ac:dyDescent="0.25">
      <c r="A97" s="7">
        <v>2</v>
      </c>
      <c r="B97" s="9" t="s">
        <v>175</v>
      </c>
      <c r="C97" s="9" t="s">
        <v>176</v>
      </c>
      <c r="D97" s="9" t="s">
        <v>177</v>
      </c>
      <c r="E97" s="16" t="s">
        <v>174</v>
      </c>
    </row>
    <row r="98" spans="1:5" ht="32.25" customHeight="1" x14ac:dyDescent="0.25">
      <c r="A98" s="7">
        <v>3</v>
      </c>
      <c r="B98" s="9" t="s">
        <v>178</v>
      </c>
      <c r="C98" s="9" t="s">
        <v>179</v>
      </c>
      <c r="D98" s="9" t="s">
        <v>180</v>
      </c>
      <c r="E98" s="16" t="s">
        <v>174</v>
      </c>
    </row>
    <row r="99" spans="1:5" ht="21.75" customHeight="1" x14ac:dyDescent="0.25">
      <c r="A99" s="7">
        <v>4</v>
      </c>
      <c r="B99" s="9" t="s">
        <v>181</v>
      </c>
      <c r="C99" s="9" t="s">
        <v>182</v>
      </c>
      <c r="D99" s="9" t="s">
        <v>183</v>
      </c>
      <c r="E99" s="17" t="s">
        <v>184</v>
      </c>
    </row>
    <row r="100" spans="1:5" ht="21.75" customHeight="1" x14ac:dyDescent="0.25">
      <c r="A100" s="7">
        <v>5</v>
      </c>
      <c r="B100" s="9" t="s">
        <v>185</v>
      </c>
      <c r="C100" s="9" t="s">
        <v>186</v>
      </c>
      <c r="D100" s="9" t="s">
        <v>187</v>
      </c>
      <c r="E100" s="16" t="s">
        <v>174</v>
      </c>
    </row>
    <row r="101" spans="1:5" ht="21.75" customHeight="1" x14ac:dyDescent="0.25">
      <c r="A101" s="7">
        <v>6</v>
      </c>
      <c r="B101" s="9" t="s">
        <v>188</v>
      </c>
      <c r="C101" s="9" t="s">
        <v>189</v>
      </c>
      <c r="D101" s="9" t="s">
        <v>190</v>
      </c>
      <c r="E101" s="9" t="s">
        <v>191</v>
      </c>
    </row>
    <row r="102" spans="1:5" ht="15" customHeight="1" x14ac:dyDescent="0.25">
      <c r="A102" s="7">
        <v>7</v>
      </c>
      <c r="B102" s="9" t="s">
        <v>192</v>
      </c>
      <c r="C102" s="9" t="s">
        <v>193</v>
      </c>
      <c r="D102" s="9" t="s">
        <v>194</v>
      </c>
      <c r="E102" s="9" t="s">
        <v>191</v>
      </c>
    </row>
    <row r="103" spans="1:5" ht="21.75" customHeight="1" x14ac:dyDescent="0.25">
      <c r="A103" s="7">
        <v>8</v>
      </c>
      <c r="B103" s="9" t="s">
        <v>195</v>
      </c>
      <c r="C103" s="9" t="s">
        <v>196</v>
      </c>
      <c r="D103" s="9" t="s">
        <v>197</v>
      </c>
      <c r="E103" s="16" t="s">
        <v>174</v>
      </c>
    </row>
    <row r="104" spans="1:5" ht="21.75" customHeight="1" x14ac:dyDescent="0.25">
      <c r="A104" s="7">
        <v>9</v>
      </c>
      <c r="B104" s="9" t="s">
        <v>198</v>
      </c>
      <c r="C104" s="9" t="s">
        <v>199</v>
      </c>
      <c r="D104" s="9" t="s">
        <v>200</v>
      </c>
      <c r="E104" s="9" t="s">
        <v>201</v>
      </c>
    </row>
    <row r="105" spans="1:5" ht="21.75" customHeight="1" x14ac:dyDescent="0.25">
      <c r="A105" s="7">
        <v>10</v>
      </c>
      <c r="B105" s="9" t="s">
        <v>202</v>
      </c>
      <c r="C105" s="9" t="s">
        <v>203</v>
      </c>
      <c r="D105" s="9" t="s">
        <v>204</v>
      </c>
      <c r="E105" s="17" t="s">
        <v>184</v>
      </c>
    </row>
    <row r="106" spans="1:5" ht="21.75" customHeight="1" x14ac:dyDescent="0.25">
      <c r="A106" s="7">
        <v>11</v>
      </c>
      <c r="B106" s="9" t="s">
        <v>205</v>
      </c>
      <c r="C106" s="9" t="s">
        <v>206</v>
      </c>
      <c r="D106" s="9" t="s">
        <v>207</v>
      </c>
      <c r="E106" s="16" t="s">
        <v>174</v>
      </c>
    </row>
    <row r="107" spans="1:5" ht="21.75" customHeight="1" x14ac:dyDescent="0.25">
      <c r="A107" s="7">
        <v>12</v>
      </c>
      <c r="B107" s="9" t="s">
        <v>208</v>
      </c>
      <c r="C107" s="9" t="s">
        <v>209</v>
      </c>
      <c r="D107" s="9" t="s">
        <v>210</v>
      </c>
      <c r="E107" s="17" t="s">
        <v>184</v>
      </c>
    </row>
    <row r="108" spans="1:5" ht="21.75" customHeight="1" x14ac:dyDescent="0.25">
      <c r="A108" s="7">
        <v>13</v>
      </c>
      <c r="B108" s="9" t="s">
        <v>211</v>
      </c>
      <c r="C108" s="9" t="s">
        <v>212</v>
      </c>
      <c r="D108" s="9" t="s">
        <v>213</v>
      </c>
      <c r="E108" s="17" t="s">
        <v>184</v>
      </c>
    </row>
    <row r="109" spans="1:5" ht="21.75" customHeight="1" x14ac:dyDescent="0.25">
      <c r="A109" s="7">
        <v>14</v>
      </c>
      <c r="B109" s="9" t="s">
        <v>214</v>
      </c>
      <c r="C109" s="9" t="s">
        <v>215</v>
      </c>
      <c r="D109" s="9" t="s">
        <v>216</v>
      </c>
      <c r="E109" s="9" t="s">
        <v>191</v>
      </c>
    </row>
    <row r="110" spans="1:5" ht="21.75" customHeight="1" x14ac:dyDescent="0.25">
      <c r="A110" s="7">
        <v>15</v>
      </c>
      <c r="B110" s="9" t="s">
        <v>217</v>
      </c>
      <c r="C110" s="9" t="s">
        <v>218</v>
      </c>
      <c r="D110" s="9" t="s">
        <v>219</v>
      </c>
      <c r="E110" s="17" t="s">
        <v>184</v>
      </c>
    </row>
    <row r="111" spans="1:5" ht="15" customHeight="1" x14ac:dyDescent="0.25">
      <c r="A111" s="7">
        <v>16</v>
      </c>
      <c r="B111" s="9" t="s">
        <v>220</v>
      </c>
      <c r="C111" s="9" t="s">
        <v>221</v>
      </c>
      <c r="D111" s="9" t="s">
        <v>222</v>
      </c>
      <c r="E111" s="17" t="s">
        <v>184</v>
      </c>
    </row>
    <row r="112" spans="1:5" ht="15" customHeight="1" x14ac:dyDescent="0.25">
      <c r="A112" s="7">
        <v>17</v>
      </c>
      <c r="B112" s="9" t="s">
        <v>223</v>
      </c>
      <c r="C112" s="9" t="s">
        <v>224</v>
      </c>
      <c r="D112" s="9" t="s">
        <v>225</v>
      </c>
      <c r="E112" s="9" t="s">
        <v>191</v>
      </c>
    </row>
    <row r="113" spans="1:5" ht="21.75" customHeight="1" x14ac:dyDescent="0.25">
      <c r="A113" s="7">
        <v>18</v>
      </c>
      <c r="B113" s="9" t="s">
        <v>226</v>
      </c>
      <c r="C113" s="9" t="s">
        <v>227</v>
      </c>
      <c r="D113" s="9" t="s">
        <v>228</v>
      </c>
      <c r="E113" s="17" t="s">
        <v>184</v>
      </c>
    </row>
    <row r="114" spans="1:5" ht="32.25" customHeight="1" x14ac:dyDescent="0.25">
      <c r="A114" s="7">
        <v>19</v>
      </c>
      <c r="B114" s="9" t="s">
        <v>229</v>
      </c>
      <c r="C114" s="9" t="s">
        <v>230</v>
      </c>
      <c r="D114" s="9" t="s">
        <v>231</v>
      </c>
      <c r="E114" s="17" t="s">
        <v>184</v>
      </c>
    </row>
    <row r="115" spans="1:5" ht="32.25" customHeight="1" x14ac:dyDescent="0.25">
      <c r="A115" s="7">
        <v>20</v>
      </c>
      <c r="B115" s="9" t="s">
        <v>232</v>
      </c>
      <c r="C115" s="9" t="s">
        <v>233</v>
      </c>
      <c r="D115" s="9" t="s">
        <v>234</v>
      </c>
      <c r="E115" s="17" t="s">
        <v>184</v>
      </c>
    </row>
    <row r="116" spans="1:5" ht="32.25" customHeight="1" x14ac:dyDescent="0.25">
      <c r="A116" s="7">
        <v>21</v>
      </c>
      <c r="B116" s="9" t="s">
        <v>235</v>
      </c>
      <c r="C116" s="9" t="s">
        <v>236</v>
      </c>
      <c r="D116" s="9" t="s">
        <v>237</v>
      </c>
      <c r="E116" s="17" t="s">
        <v>184</v>
      </c>
    </row>
    <row r="117" spans="1:5" ht="21.75" customHeight="1" x14ac:dyDescent="0.25">
      <c r="A117" s="7">
        <v>22</v>
      </c>
      <c r="B117" s="9" t="s">
        <v>238</v>
      </c>
      <c r="C117" s="9" t="s">
        <v>239</v>
      </c>
      <c r="D117" s="9" t="s">
        <v>240</v>
      </c>
      <c r="E117" s="9" t="s">
        <v>191</v>
      </c>
    </row>
    <row r="118" spans="1:5" ht="21.75" customHeight="1" x14ac:dyDescent="0.25">
      <c r="A118" s="7">
        <v>23</v>
      </c>
      <c r="B118" s="9" t="s">
        <v>241</v>
      </c>
      <c r="C118" s="9" t="s">
        <v>242</v>
      </c>
      <c r="D118" s="9" t="s">
        <v>243</v>
      </c>
      <c r="E118" s="9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82"/>
  <sheetViews>
    <sheetView tabSelected="1" zoomScaleNormal="100" workbookViewId="0">
      <pane ySplit="1" topLeftCell="A4" activePane="bottomLeft" state="frozen"/>
      <selection pane="bottomLeft" activeCell="D4" sqref="D4"/>
    </sheetView>
  </sheetViews>
  <sheetFormatPr defaultColWidth="8.7109375" defaultRowHeight="15" x14ac:dyDescent="0.25"/>
  <cols>
    <col min="1" max="1" width="7" customWidth="1"/>
    <col min="2" max="2" width="39.28515625" customWidth="1"/>
    <col min="3" max="4" width="20" customWidth="1"/>
    <col min="5" max="5" width="62" customWidth="1"/>
    <col min="6" max="6" width="12" customWidth="1"/>
    <col min="7" max="8" width="14" customWidth="1"/>
    <col min="9" max="9" width="9" customWidth="1"/>
    <col min="10" max="10" width="10" customWidth="1"/>
    <col min="11" max="11" width="14" customWidth="1"/>
    <col min="12" max="12" width="9" customWidth="1"/>
    <col min="13" max="13" width="10" customWidth="1"/>
    <col min="14" max="14" width="16" customWidth="1"/>
    <col min="15" max="15" width="84" customWidth="1"/>
  </cols>
  <sheetData>
    <row r="1" spans="1:15" ht="47.25" customHeight="1" x14ac:dyDescent="0.25">
      <c r="A1" s="20" t="s">
        <v>244</v>
      </c>
      <c r="B1" s="20" t="s">
        <v>245</v>
      </c>
      <c r="C1" s="20" t="s">
        <v>246</v>
      </c>
      <c r="D1" s="20" t="s">
        <v>247</v>
      </c>
      <c r="E1" s="20" t="s">
        <v>248</v>
      </c>
      <c r="F1" s="20" t="s">
        <v>249</v>
      </c>
      <c r="G1" s="20" t="s">
        <v>250</v>
      </c>
      <c r="H1" s="20" t="s">
        <v>251</v>
      </c>
      <c r="I1" s="20" t="s">
        <v>252</v>
      </c>
      <c r="J1" s="20" t="s">
        <v>253</v>
      </c>
      <c r="K1" s="20" t="s">
        <v>254</v>
      </c>
      <c r="L1" s="20" t="s">
        <v>255</v>
      </c>
      <c r="M1" s="20" t="s">
        <v>256</v>
      </c>
      <c r="N1" s="20" t="s">
        <v>257</v>
      </c>
      <c r="O1" s="20" t="s">
        <v>258</v>
      </c>
    </row>
    <row r="2" spans="1:15" ht="40.5" hidden="1" customHeight="1" x14ac:dyDescent="0.25">
      <c r="A2" s="21">
        <v>1</v>
      </c>
      <c r="B2" s="22" t="s">
        <v>259</v>
      </c>
      <c r="C2" s="23"/>
      <c r="D2" s="23"/>
      <c r="E2" s="24" t="s">
        <v>259</v>
      </c>
      <c r="F2" s="23"/>
      <c r="G2" s="23"/>
      <c r="H2" s="23"/>
      <c r="I2" s="24">
        <v>1</v>
      </c>
      <c r="J2" s="21" t="s">
        <v>260</v>
      </c>
      <c r="K2" s="21" t="s">
        <v>261</v>
      </c>
      <c r="L2" s="23"/>
      <c r="M2" s="23"/>
      <c r="N2" s="21" t="s">
        <v>101</v>
      </c>
      <c r="O2" s="25" t="s">
        <v>262</v>
      </c>
    </row>
    <row r="3" spans="1:15" ht="21.75" hidden="1" customHeight="1" x14ac:dyDescent="0.25">
      <c r="A3" s="26">
        <v>101</v>
      </c>
      <c r="B3" s="27" t="str">
        <f>E2</f>
        <v>ЩИТ EMDP1 — Freedom Lounge (TAV-FR-E-EAP-009-R000, схема 05.08.2026)</v>
      </c>
      <c r="C3" s="26" t="s">
        <v>263</v>
      </c>
      <c r="D3" s="26" t="s">
        <v>264</v>
      </c>
      <c r="E3" s="26" t="s">
        <v>265</v>
      </c>
      <c r="F3" s="28">
        <v>199245</v>
      </c>
      <c r="G3" s="29">
        <f>IF(OR($F3="",$M3=""),"",ROUND($F3*INDEX(KURALLAR!$B$13:$B$18,MATCH($M3,KURALLAR!$A$13:$A$18,0))*INDEX(KURALLAR!$B$6:$B$9,MATCH($L3,KURALLAR!$A$6:$A$9,0)),2))</f>
        <v>199245</v>
      </c>
      <c r="H3" s="29">
        <f t="shared" ref="H3:H34" si="0">IF($G3="","",$G3*$I3)</f>
        <v>199245</v>
      </c>
      <c r="I3" s="26">
        <v>1</v>
      </c>
      <c r="J3" s="26" t="s">
        <v>266</v>
      </c>
      <c r="K3" s="26" t="s">
        <v>27</v>
      </c>
      <c r="L3" s="26" t="s">
        <v>6</v>
      </c>
      <c r="M3" s="26" t="s">
        <v>27</v>
      </c>
      <c r="N3" s="30" t="s">
        <v>267</v>
      </c>
      <c r="O3" s="31" t="s">
        <v>268</v>
      </c>
    </row>
    <row r="4" spans="1:15" ht="32.25" customHeight="1" x14ac:dyDescent="0.25">
      <c r="A4" s="26">
        <v>102</v>
      </c>
      <c r="B4" s="27" t="str">
        <f>E2</f>
        <v>ЩИТ EMDP1 — Freedom Lounge (TAV-FR-E-EAP-009-R000, схема 05.08.2026)</v>
      </c>
      <c r="C4" s="26" t="s">
        <v>269</v>
      </c>
      <c r="D4" s="26" t="s">
        <v>270</v>
      </c>
      <c r="E4" s="26" t="s">
        <v>271</v>
      </c>
      <c r="F4" s="28">
        <v>798</v>
      </c>
      <c r="G4" s="29">
        <f>IF(OR($F4="",$M4=""),"",ROUND($F4*INDEX(KURALLAR!$B$13:$B$18,MATCH($M4,KURALLAR!$A$13:$A$18,0))*INDEX(KURALLAR!$B$6:$B$9,MATCH($L4,KURALLAR!$A$6:$A$9,0)),2))</f>
        <v>174522.6</v>
      </c>
      <c r="H4" s="29">
        <f t="shared" si="0"/>
        <v>174522.6</v>
      </c>
      <c r="I4" s="26">
        <v>1</v>
      </c>
      <c r="J4" s="26" t="s">
        <v>266</v>
      </c>
      <c r="K4" s="26" t="s">
        <v>19</v>
      </c>
      <c r="L4" s="26" t="s">
        <v>8</v>
      </c>
      <c r="M4" s="26" t="s">
        <v>19</v>
      </c>
      <c r="N4" s="32" t="s">
        <v>272</v>
      </c>
      <c r="O4" s="31" t="s">
        <v>273</v>
      </c>
    </row>
    <row r="5" spans="1:15" ht="32.25" customHeight="1" x14ac:dyDescent="0.25">
      <c r="A5" s="26">
        <v>103</v>
      </c>
      <c r="B5" s="27" t="str">
        <f>E2</f>
        <v>ЩИТ EMDP1 — Freedom Lounge (TAV-FR-E-EAP-009-R000, схема 05.08.2026)</v>
      </c>
      <c r="C5" s="26" t="s">
        <v>274</v>
      </c>
      <c r="D5" s="26" t="s">
        <v>275</v>
      </c>
      <c r="E5" s="26" t="s">
        <v>276</v>
      </c>
      <c r="F5" s="28">
        <v>1370</v>
      </c>
      <c r="G5" s="29">
        <f>IF(OR($F5="",$M5=""),"",ROUND($F5*INDEX(KURALLAR!$B$13:$B$18,MATCH($M5,KURALLAR!$A$13:$A$18,0))*INDEX(KURALLAR!$B$6:$B$9,MATCH($L5,KURALLAR!$A$6:$A$9,0)),2))</f>
        <v>299619</v>
      </c>
      <c r="H5" s="29">
        <f t="shared" si="0"/>
        <v>599238</v>
      </c>
      <c r="I5" s="26">
        <v>2</v>
      </c>
      <c r="J5" s="26" t="s">
        <v>266</v>
      </c>
      <c r="K5" s="26" t="s">
        <v>19</v>
      </c>
      <c r="L5" s="26" t="s">
        <v>8</v>
      </c>
      <c r="M5" s="26" t="s">
        <v>19</v>
      </c>
      <c r="N5" s="32" t="s">
        <v>272</v>
      </c>
      <c r="O5" s="31" t="s">
        <v>277</v>
      </c>
    </row>
    <row r="6" spans="1:15" ht="15" hidden="1" customHeight="1" x14ac:dyDescent="0.25">
      <c r="A6" s="26">
        <v>104</v>
      </c>
      <c r="B6" s="27" t="str">
        <f>E2</f>
        <v>ЩИТ EMDP1 — Freedom Lounge (TAV-FR-E-EAP-009-R000, схема 05.08.2026)</v>
      </c>
      <c r="C6" s="26" t="s">
        <v>274</v>
      </c>
      <c r="D6" s="26" t="s">
        <v>278</v>
      </c>
      <c r="E6" s="26" t="s">
        <v>279</v>
      </c>
      <c r="F6" s="28">
        <v>675.1</v>
      </c>
      <c r="G6" s="29">
        <f>IF(OR($F6="",$M6=""),"",ROUND($F6*INDEX(KURALLAR!$B$13:$B$18,MATCH($M6,KURALLAR!$A$13:$A$18,0))*INDEX(KURALLAR!$B$6:$B$9,MATCH($L6,KURALLAR!$A$6:$A$9,0)),2))</f>
        <v>147644.37</v>
      </c>
      <c r="H6" s="29">
        <f t="shared" si="0"/>
        <v>147644.37</v>
      </c>
      <c r="I6" s="26">
        <v>1</v>
      </c>
      <c r="J6" s="26" t="s">
        <v>266</v>
      </c>
      <c r="K6" s="26" t="s">
        <v>19</v>
      </c>
      <c r="L6" s="26" t="s">
        <v>8</v>
      </c>
      <c r="M6" s="26" t="s">
        <v>19</v>
      </c>
      <c r="N6" s="30" t="s">
        <v>267</v>
      </c>
      <c r="O6" s="31" t="s">
        <v>280</v>
      </c>
    </row>
    <row r="7" spans="1:15" ht="15" hidden="1" customHeight="1" x14ac:dyDescent="0.25">
      <c r="A7" s="26">
        <v>105</v>
      </c>
      <c r="B7" s="27" t="str">
        <f>E2</f>
        <v>ЩИТ EMDP1 — Freedom Lounge (TAV-FR-E-EAP-009-R000, схема 05.08.2026)</v>
      </c>
      <c r="C7" s="26" t="s">
        <v>274</v>
      </c>
      <c r="D7" s="26" t="s">
        <v>281</v>
      </c>
      <c r="E7" s="26" t="s">
        <v>282</v>
      </c>
      <c r="F7" s="28">
        <v>115.1</v>
      </c>
      <c r="G7" s="29">
        <f>IF(OR($F7="",$M7=""),"",ROUND($F7*INDEX(KURALLAR!$B$13:$B$18,MATCH($M7,KURALLAR!$A$13:$A$18,0))*INDEX(KURALLAR!$B$6:$B$9,MATCH($L7,KURALLAR!$A$6:$A$9,0)),2))</f>
        <v>25172.37</v>
      </c>
      <c r="H7" s="29">
        <f t="shared" si="0"/>
        <v>25172.37</v>
      </c>
      <c r="I7" s="26">
        <v>1</v>
      </c>
      <c r="J7" s="26" t="s">
        <v>266</v>
      </c>
      <c r="K7" s="26" t="s">
        <v>19</v>
      </c>
      <c r="L7" s="26" t="s">
        <v>8</v>
      </c>
      <c r="M7" s="26" t="s">
        <v>19</v>
      </c>
      <c r="N7" s="30" t="s">
        <v>267</v>
      </c>
      <c r="O7" s="31" t="s">
        <v>283</v>
      </c>
    </row>
    <row r="8" spans="1:15" ht="32.25" customHeight="1" x14ac:dyDescent="0.25">
      <c r="A8" s="26">
        <v>106</v>
      </c>
      <c r="B8" s="27" t="str">
        <f>E2</f>
        <v>ЩИТ EMDP1 — Freedom Lounge (TAV-FR-E-EAP-009-R000, схема 05.08.2026)</v>
      </c>
      <c r="C8" s="26" t="s">
        <v>269</v>
      </c>
      <c r="D8" s="26" t="s">
        <v>284</v>
      </c>
      <c r="E8" s="26" t="s">
        <v>285</v>
      </c>
      <c r="F8" s="28">
        <v>798</v>
      </c>
      <c r="G8" s="29">
        <f>IF(OR($F8="",$M8=""),"",ROUND($F8*INDEX(KURALLAR!$B$13:$B$18,MATCH($M8,KURALLAR!$A$13:$A$18,0))*INDEX(KURALLAR!$B$6:$B$9,MATCH($L8,KURALLAR!$A$6:$A$9,0)),2))</f>
        <v>174522.6</v>
      </c>
      <c r="H8" s="29">
        <f t="shared" si="0"/>
        <v>174522.6</v>
      </c>
      <c r="I8" s="26">
        <v>1</v>
      </c>
      <c r="J8" s="26" t="s">
        <v>266</v>
      </c>
      <c r="K8" s="26" t="s">
        <v>19</v>
      </c>
      <c r="L8" s="26" t="s">
        <v>8</v>
      </c>
      <c r="M8" s="26" t="s">
        <v>19</v>
      </c>
      <c r="N8" s="32" t="s">
        <v>272</v>
      </c>
      <c r="O8" s="31" t="s">
        <v>286</v>
      </c>
    </row>
    <row r="9" spans="1:15" ht="21.75" hidden="1" customHeight="1" x14ac:dyDescent="0.25">
      <c r="A9" s="26">
        <v>107</v>
      </c>
      <c r="B9" s="27" t="str">
        <f>E2</f>
        <v>ЩИТ EMDP1 — Freedom Lounge (TAV-FR-E-EAP-009-R000, схема 05.08.2026)</v>
      </c>
      <c r="C9" s="26" t="s">
        <v>287</v>
      </c>
      <c r="D9" s="26" t="s">
        <v>288</v>
      </c>
      <c r="E9" s="26" t="s">
        <v>289</v>
      </c>
      <c r="F9" s="28">
        <v>9.7799999999999994</v>
      </c>
      <c r="G9" s="29">
        <f>IF(OR($F9="",$M9=""),"",ROUND($F9*INDEX(KURALLAR!$B$13:$B$18,MATCH($M9,KURALLAR!$A$13:$A$18,0))*INDEX(KURALLAR!$B$6:$B$9,MATCH($L9,KURALLAR!$A$6:$A$9,0)),2))</f>
        <v>2138.89</v>
      </c>
      <c r="H9" s="29">
        <f t="shared" si="0"/>
        <v>79138.929999999993</v>
      </c>
      <c r="I9" s="26">
        <v>37</v>
      </c>
      <c r="J9" s="26" t="s">
        <v>266</v>
      </c>
      <c r="K9" s="26" t="s">
        <v>19</v>
      </c>
      <c r="L9" s="26" t="s">
        <v>8</v>
      </c>
      <c r="M9" s="26" t="s">
        <v>19</v>
      </c>
      <c r="N9" s="33" t="s">
        <v>290</v>
      </c>
      <c r="O9" s="31" t="s">
        <v>291</v>
      </c>
    </row>
    <row r="10" spans="1:15" ht="15" hidden="1" customHeight="1" x14ac:dyDescent="0.25">
      <c r="A10" s="26">
        <v>108</v>
      </c>
      <c r="B10" s="27" t="str">
        <f>E2</f>
        <v>ЩИТ EMDP1 — Freedom Lounge (TAV-FR-E-EAP-009-R000, схема 05.08.2026)</v>
      </c>
      <c r="C10" s="26" t="s">
        <v>287</v>
      </c>
      <c r="D10" s="26" t="s">
        <v>292</v>
      </c>
      <c r="E10" s="26" t="s">
        <v>293</v>
      </c>
      <c r="F10" s="28">
        <v>48.51</v>
      </c>
      <c r="G10" s="29">
        <f>IF(OR($F10="",$M10=""),"",ROUND($F10*INDEX(KURALLAR!$B$13:$B$18,MATCH($M10,KURALLAR!$A$13:$A$18,0))*INDEX(KURALLAR!$B$6:$B$9,MATCH($L10,KURALLAR!$A$6:$A$9,0)),2))</f>
        <v>10609.14</v>
      </c>
      <c r="H10" s="29">
        <f t="shared" si="0"/>
        <v>21218.28</v>
      </c>
      <c r="I10" s="26">
        <v>2</v>
      </c>
      <c r="J10" s="26" t="s">
        <v>266</v>
      </c>
      <c r="K10" s="26" t="s">
        <v>19</v>
      </c>
      <c r="L10" s="26" t="s">
        <v>8</v>
      </c>
      <c r="M10" s="26" t="s">
        <v>19</v>
      </c>
      <c r="N10" s="30" t="s">
        <v>267</v>
      </c>
      <c r="O10" s="31" t="s">
        <v>294</v>
      </c>
    </row>
    <row r="11" spans="1:15" ht="32.25" customHeight="1" x14ac:dyDescent="0.25">
      <c r="A11" s="26">
        <v>109</v>
      </c>
      <c r="B11" s="27" t="str">
        <f>E2</f>
        <v>ЩИТ EMDP1 — Freedom Lounge (TAV-FR-E-EAP-009-R000, схема 05.08.2026)</v>
      </c>
      <c r="C11" s="26" t="s">
        <v>287</v>
      </c>
      <c r="D11" s="26" t="s">
        <v>295</v>
      </c>
      <c r="E11" s="26" t="s">
        <v>296</v>
      </c>
      <c r="F11" s="28">
        <v>48.51</v>
      </c>
      <c r="G11" s="29">
        <f>IF(OR($F11="",$M11=""),"",ROUND($F11*INDEX(KURALLAR!$B$13:$B$18,MATCH($M11,KURALLAR!$A$13:$A$18,0))*INDEX(KURALLAR!$B$6:$B$9,MATCH($L11,KURALLAR!$A$6:$A$9,0)),2))</f>
        <v>10609.14</v>
      </c>
      <c r="H11" s="29">
        <f t="shared" si="0"/>
        <v>10609.14</v>
      </c>
      <c r="I11" s="26">
        <v>1</v>
      </c>
      <c r="J11" s="26" t="s">
        <v>266</v>
      </c>
      <c r="K11" s="26" t="s">
        <v>19</v>
      </c>
      <c r="L11" s="26" t="s">
        <v>8</v>
      </c>
      <c r="M11" s="26" t="s">
        <v>19</v>
      </c>
      <c r="N11" s="32" t="s">
        <v>272</v>
      </c>
      <c r="O11" s="31" t="s">
        <v>297</v>
      </c>
    </row>
    <row r="12" spans="1:15" ht="15" hidden="1" customHeight="1" x14ac:dyDescent="0.25">
      <c r="A12" s="26">
        <v>110</v>
      </c>
      <c r="B12" s="27" t="str">
        <f>E2</f>
        <v>ЩИТ EMDP1 — Freedom Lounge (TAV-FR-E-EAP-009-R000, схема 05.08.2026)</v>
      </c>
      <c r="C12" s="26" t="s">
        <v>287</v>
      </c>
      <c r="D12" s="26" t="s">
        <v>298</v>
      </c>
      <c r="E12" s="26" t="s">
        <v>299</v>
      </c>
      <c r="F12" s="28">
        <v>11.74</v>
      </c>
      <c r="G12" s="29">
        <f>IF(OR($F12="",$M12=""),"",ROUND($F12*INDEX(KURALLAR!$B$13:$B$18,MATCH($M12,KURALLAR!$A$13:$A$18,0))*INDEX(KURALLAR!$B$6:$B$9,MATCH($L12,KURALLAR!$A$6:$A$9,0)),2))</f>
        <v>2567.54</v>
      </c>
      <c r="H12" s="29">
        <f t="shared" si="0"/>
        <v>7702.62</v>
      </c>
      <c r="I12" s="26">
        <v>3</v>
      </c>
      <c r="J12" s="26" t="s">
        <v>266</v>
      </c>
      <c r="K12" s="26" t="s">
        <v>19</v>
      </c>
      <c r="L12" s="26" t="s">
        <v>8</v>
      </c>
      <c r="M12" s="26" t="s">
        <v>19</v>
      </c>
      <c r="N12" s="30" t="s">
        <v>267</v>
      </c>
      <c r="O12" s="31" t="s">
        <v>300</v>
      </c>
    </row>
    <row r="13" spans="1:15" ht="32.25" hidden="1" customHeight="1" x14ac:dyDescent="0.25">
      <c r="A13" s="26">
        <v>111</v>
      </c>
      <c r="B13" s="27" t="str">
        <f>E2</f>
        <v>ЩИТ EMDP1 — Freedom Lounge (TAV-FR-E-EAP-009-R000, схема 05.08.2026)</v>
      </c>
      <c r="C13" s="26" t="s">
        <v>301</v>
      </c>
      <c r="D13" s="26" t="s">
        <v>302</v>
      </c>
      <c r="E13" s="26" t="s">
        <v>303</v>
      </c>
      <c r="F13" s="28">
        <v>87.63</v>
      </c>
      <c r="G13" s="29">
        <f>IF(OR($F13="",$M13=""),"",ROUND($F13*INDEX(KURALLAR!$B$13:$B$18,MATCH($M13,KURALLAR!$A$13:$A$18,0))*INDEX(KURALLAR!$B$6:$B$9,MATCH($L13,KURALLAR!$A$6:$A$9,0)),2))</f>
        <v>19164.68</v>
      </c>
      <c r="H13" s="29">
        <f t="shared" si="0"/>
        <v>824081.24</v>
      </c>
      <c r="I13" s="26">
        <v>43</v>
      </c>
      <c r="J13" s="26" t="s">
        <v>266</v>
      </c>
      <c r="K13" s="26" t="s">
        <v>19</v>
      </c>
      <c r="L13" s="26" t="s">
        <v>8</v>
      </c>
      <c r="M13" s="26" t="s">
        <v>19</v>
      </c>
      <c r="N13" s="33" t="s">
        <v>290</v>
      </c>
      <c r="O13" s="31" t="s">
        <v>304</v>
      </c>
    </row>
    <row r="14" spans="1:15" ht="21.75" hidden="1" customHeight="1" x14ac:dyDescent="0.25">
      <c r="A14" s="26">
        <v>112</v>
      </c>
      <c r="B14" s="27" t="str">
        <f>E2</f>
        <v>ЩИТ EMDP1 — Freedom Lounge (TAV-FR-E-EAP-009-R000, схема 05.08.2026)</v>
      </c>
      <c r="C14" s="26" t="s">
        <v>301</v>
      </c>
      <c r="D14" s="26" t="s">
        <v>305</v>
      </c>
      <c r="E14" s="26" t="s">
        <v>306</v>
      </c>
      <c r="F14" s="28">
        <v>87.63</v>
      </c>
      <c r="G14" s="29">
        <f>IF(OR($F14="",$M14=""),"",ROUND($F14*INDEX(KURALLAR!$B$13:$B$18,MATCH($M14,KURALLAR!$A$13:$A$18,0))*INDEX(KURALLAR!$B$6:$B$9,MATCH($L14,KURALLAR!$A$6:$A$9,0)),2))</f>
        <v>19164.68</v>
      </c>
      <c r="H14" s="29">
        <f t="shared" si="0"/>
        <v>76658.720000000001</v>
      </c>
      <c r="I14" s="26">
        <v>4</v>
      </c>
      <c r="J14" s="26" t="s">
        <v>266</v>
      </c>
      <c r="K14" s="26" t="s">
        <v>19</v>
      </c>
      <c r="L14" s="26" t="s">
        <v>8</v>
      </c>
      <c r="M14" s="26" t="s">
        <v>19</v>
      </c>
      <c r="N14" s="30" t="s">
        <v>267</v>
      </c>
      <c r="O14" s="31" t="s">
        <v>307</v>
      </c>
    </row>
    <row r="15" spans="1:15" ht="32.25" hidden="1" customHeight="1" x14ac:dyDescent="0.25">
      <c r="A15" s="26">
        <v>113</v>
      </c>
      <c r="B15" s="27" t="str">
        <f>E2</f>
        <v>ЩИТ EMDP1 — Freedom Lounge (TAV-FR-E-EAP-009-R000, схема 05.08.2026)</v>
      </c>
      <c r="C15" s="26" t="s">
        <v>308</v>
      </c>
      <c r="D15" s="26" t="s">
        <v>309</v>
      </c>
      <c r="E15" s="26" t="s">
        <v>310</v>
      </c>
      <c r="F15" s="28">
        <v>168</v>
      </c>
      <c r="G15" s="29">
        <f>IF(OR($F15="",$M15=""),"",ROUND($F15*INDEX(KURALLAR!$B$13:$B$18,MATCH($M15,KURALLAR!$A$13:$A$18,0))*INDEX(KURALLAR!$B$6:$B$9,MATCH($L15,KURALLAR!$A$6:$A$9,0)),2))</f>
        <v>36741.599999999999</v>
      </c>
      <c r="H15" s="29">
        <f t="shared" si="0"/>
        <v>220449.59999999998</v>
      </c>
      <c r="I15" s="26">
        <v>6</v>
      </c>
      <c r="J15" s="26" t="s">
        <v>266</v>
      </c>
      <c r="K15" s="26" t="s">
        <v>19</v>
      </c>
      <c r="L15" s="26" t="s">
        <v>8</v>
      </c>
      <c r="M15" s="26" t="s">
        <v>19</v>
      </c>
      <c r="N15" s="33" t="s">
        <v>290</v>
      </c>
      <c r="O15" s="31" t="s">
        <v>311</v>
      </c>
    </row>
    <row r="16" spans="1:15" ht="21.75" customHeight="1" x14ac:dyDescent="0.25">
      <c r="A16" s="26">
        <v>114</v>
      </c>
      <c r="B16" s="27" t="str">
        <f>E2</f>
        <v>ЩИТ EMDP1 — Freedom Lounge (TAV-FR-E-EAP-009-R000, схема 05.08.2026)</v>
      </c>
      <c r="C16" s="26" t="s">
        <v>308</v>
      </c>
      <c r="D16" s="26" t="s">
        <v>312</v>
      </c>
      <c r="E16" s="26" t="s">
        <v>313</v>
      </c>
      <c r="F16" s="28">
        <v>129.19999999999999</v>
      </c>
      <c r="G16" s="29">
        <f>IF(OR($F16="",$M16=""),"",ROUND($F16*INDEX(KURALLAR!$B$13:$B$18,MATCH($M16,KURALLAR!$A$13:$A$18,0))*INDEX(KURALLAR!$B$6:$B$9,MATCH($L16,KURALLAR!$A$6:$A$9,0)),2))</f>
        <v>28256.04</v>
      </c>
      <c r="H16" s="29">
        <f t="shared" si="0"/>
        <v>56512.08</v>
      </c>
      <c r="I16" s="26">
        <v>2</v>
      </c>
      <c r="J16" s="26" t="s">
        <v>266</v>
      </c>
      <c r="K16" s="26" t="s">
        <v>19</v>
      </c>
      <c r="L16" s="26" t="s">
        <v>8</v>
      </c>
      <c r="M16" s="26" t="s">
        <v>19</v>
      </c>
      <c r="N16" s="32" t="s">
        <v>272</v>
      </c>
      <c r="O16" s="31" t="s">
        <v>314</v>
      </c>
    </row>
    <row r="17" spans="1:15" ht="21.75" hidden="1" customHeight="1" x14ac:dyDescent="0.25">
      <c r="A17" s="26">
        <v>115</v>
      </c>
      <c r="B17" s="27" t="str">
        <f>E2</f>
        <v>ЩИТ EMDP1 — Freedom Lounge (TAV-FR-E-EAP-009-R000, схема 05.08.2026)</v>
      </c>
      <c r="C17" s="26" t="s">
        <v>315</v>
      </c>
      <c r="D17" s="26" t="s">
        <v>316</v>
      </c>
      <c r="E17" s="26" t="s">
        <v>317</v>
      </c>
      <c r="F17" s="28">
        <v>78.510000000000005</v>
      </c>
      <c r="G17" s="29">
        <f>IF(OR($F17="",$M17=""),"",ROUND($F17*INDEX(KURALLAR!$B$13:$B$18,MATCH($M17,KURALLAR!$A$13:$A$18,0))*INDEX(KURALLAR!$B$6:$B$9,MATCH($L17,KURALLAR!$A$6:$A$9,0)),2))</f>
        <v>17170.14</v>
      </c>
      <c r="H17" s="29">
        <f t="shared" si="0"/>
        <v>17170.14</v>
      </c>
      <c r="I17" s="26">
        <v>1</v>
      </c>
      <c r="J17" s="26" t="s">
        <v>266</v>
      </c>
      <c r="K17" s="26" t="s">
        <v>19</v>
      </c>
      <c r="L17" s="26" t="s">
        <v>8</v>
      </c>
      <c r="M17" s="26" t="s">
        <v>19</v>
      </c>
      <c r="N17" s="33" t="s">
        <v>290</v>
      </c>
      <c r="O17" s="31" t="s">
        <v>318</v>
      </c>
    </row>
    <row r="18" spans="1:15" ht="21.75" customHeight="1" x14ac:dyDescent="0.25">
      <c r="A18" s="26">
        <v>116</v>
      </c>
      <c r="B18" s="27" t="str">
        <f>E2</f>
        <v>ЩИТ EMDP1 — Freedom Lounge (TAV-FR-E-EAP-009-R000, схема 05.08.2026)</v>
      </c>
      <c r="C18" s="26" t="s">
        <v>315</v>
      </c>
      <c r="D18" s="26" t="s">
        <v>319</v>
      </c>
      <c r="E18" s="26" t="s">
        <v>320</v>
      </c>
      <c r="F18" s="28">
        <v>86.99</v>
      </c>
      <c r="G18" s="29">
        <f>IF(OR($F18="",$M18=""),"",ROUND($F18*INDEX(KURALLAR!$B$13:$B$18,MATCH($M18,KURALLAR!$A$13:$A$18,0))*INDEX(KURALLAR!$B$6:$B$9,MATCH($L18,KURALLAR!$A$6:$A$9,0)),2))</f>
        <v>19024.71</v>
      </c>
      <c r="H18" s="29">
        <f t="shared" si="0"/>
        <v>38049.42</v>
      </c>
      <c r="I18" s="26">
        <v>2</v>
      </c>
      <c r="J18" s="26" t="s">
        <v>266</v>
      </c>
      <c r="K18" s="26" t="s">
        <v>19</v>
      </c>
      <c r="L18" s="26" t="s">
        <v>8</v>
      </c>
      <c r="M18" s="26" t="s">
        <v>19</v>
      </c>
      <c r="N18" s="32" t="s">
        <v>272</v>
      </c>
      <c r="O18" s="31" t="s">
        <v>321</v>
      </c>
    </row>
    <row r="19" spans="1:15" ht="15" hidden="1" customHeight="1" x14ac:dyDescent="0.25">
      <c r="A19" s="26">
        <v>117</v>
      </c>
      <c r="B19" s="27" t="str">
        <f>E2</f>
        <v>ЩИТ EMDP1 — Freedom Lounge (TAV-FR-E-EAP-009-R000, схема 05.08.2026)</v>
      </c>
      <c r="C19" s="26" t="s">
        <v>315</v>
      </c>
      <c r="D19" s="26" t="s">
        <v>322</v>
      </c>
      <c r="E19" s="26" t="s">
        <v>323</v>
      </c>
      <c r="F19" s="28">
        <v>86.99</v>
      </c>
      <c r="G19" s="29">
        <f>IF(OR($F19="",$M19=""),"",ROUND($F19*INDEX(KURALLAR!$B$13:$B$18,MATCH($M19,KURALLAR!$A$13:$A$18,0))*INDEX(KURALLAR!$B$6:$B$9,MATCH($L19,KURALLAR!$A$6:$A$9,0)),2))</f>
        <v>19024.71</v>
      </c>
      <c r="H19" s="29">
        <f t="shared" si="0"/>
        <v>19024.71</v>
      </c>
      <c r="I19" s="26">
        <v>1</v>
      </c>
      <c r="J19" s="26" t="s">
        <v>266</v>
      </c>
      <c r="K19" s="26" t="s">
        <v>19</v>
      </c>
      <c r="L19" s="26" t="s">
        <v>8</v>
      </c>
      <c r="M19" s="26" t="s">
        <v>19</v>
      </c>
      <c r="N19" s="30" t="s">
        <v>267</v>
      </c>
      <c r="O19" s="31" t="s">
        <v>324</v>
      </c>
    </row>
    <row r="20" spans="1:15" ht="15" hidden="1" customHeight="1" x14ac:dyDescent="0.25">
      <c r="A20" s="26">
        <v>118</v>
      </c>
      <c r="B20" s="27" t="str">
        <f>E2</f>
        <v>ЩИТ EMDP1 — Freedom Lounge (TAV-FR-E-EAP-009-R000, схема 05.08.2026)</v>
      </c>
      <c r="C20" s="26" t="s">
        <v>315</v>
      </c>
      <c r="D20" s="26" t="s">
        <v>325</v>
      </c>
      <c r="E20" s="26" t="s">
        <v>326</v>
      </c>
      <c r="F20" s="28">
        <v>71.650000000000006</v>
      </c>
      <c r="G20" s="29">
        <f>IF(OR($F20="",$M20=""),"",ROUND($F20*INDEX(KURALLAR!$B$13:$B$18,MATCH($M20,KURALLAR!$A$13:$A$18,0))*INDEX(KURALLAR!$B$6:$B$9,MATCH($L20,KURALLAR!$A$6:$A$9,0)),2))</f>
        <v>15669.86</v>
      </c>
      <c r="H20" s="29">
        <f t="shared" si="0"/>
        <v>31339.72</v>
      </c>
      <c r="I20" s="26">
        <v>2</v>
      </c>
      <c r="J20" s="26" t="s">
        <v>266</v>
      </c>
      <c r="K20" s="26" t="s">
        <v>19</v>
      </c>
      <c r="L20" s="26" t="s">
        <v>8</v>
      </c>
      <c r="M20" s="26" t="s">
        <v>19</v>
      </c>
      <c r="N20" s="30" t="s">
        <v>267</v>
      </c>
      <c r="O20" s="31" t="s">
        <v>327</v>
      </c>
    </row>
    <row r="21" spans="1:15" ht="15" hidden="1" customHeight="1" x14ac:dyDescent="0.25">
      <c r="A21" s="26">
        <v>119</v>
      </c>
      <c r="B21" s="27" t="str">
        <f>E2</f>
        <v>ЩИТ EMDP1 — Freedom Lounge (TAV-FR-E-EAP-009-R000, схема 05.08.2026)</v>
      </c>
      <c r="C21" s="26" t="s">
        <v>328</v>
      </c>
      <c r="D21" s="26" t="s">
        <v>329</v>
      </c>
      <c r="E21" s="26" t="s">
        <v>330</v>
      </c>
      <c r="F21" s="28">
        <v>10.89</v>
      </c>
      <c r="G21" s="29">
        <f>IF(OR($F21="",$M21=""),"",ROUND($F21*INDEX(KURALLAR!$B$13:$B$18,MATCH($M21,KURALLAR!$A$13:$A$18,0))*INDEX(KURALLAR!$B$6:$B$9,MATCH($L21,KURALLAR!$A$6:$A$9,0)),2))</f>
        <v>2381.64</v>
      </c>
      <c r="H21" s="29">
        <f t="shared" si="0"/>
        <v>14289.84</v>
      </c>
      <c r="I21" s="26">
        <v>6</v>
      </c>
      <c r="J21" s="26" t="s">
        <v>266</v>
      </c>
      <c r="K21" s="26" t="s">
        <v>19</v>
      </c>
      <c r="L21" s="26" t="s">
        <v>8</v>
      </c>
      <c r="M21" s="26" t="s">
        <v>19</v>
      </c>
      <c r="N21" s="30" t="s">
        <v>267</v>
      </c>
      <c r="O21" s="31" t="s">
        <v>331</v>
      </c>
    </row>
    <row r="22" spans="1:15" ht="21.75" customHeight="1" x14ac:dyDescent="0.25">
      <c r="A22" s="26">
        <v>120</v>
      </c>
      <c r="B22" s="27" t="str">
        <f>E2</f>
        <v>ЩИТ EMDP1 — Freedom Lounge (TAV-FR-E-EAP-009-R000, схема 05.08.2026)</v>
      </c>
      <c r="C22" s="26" t="s">
        <v>332</v>
      </c>
      <c r="D22" s="26" t="s">
        <v>333</v>
      </c>
      <c r="E22" s="26" t="s">
        <v>334</v>
      </c>
      <c r="F22" s="28">
        <v>906.6</v>
      </c>
      <c r="G22" s="29">
        <f>IF(OR($F22="",$M22=""),"",ROUND($F22*INDEX(KURALLAR!$B$13:$B$18,MATCH($M22,KURALLAR!$A$13:$A$18,0))*INDEX(KURALLAR!$B$6:$B$9,MATCH($L22,KURALLAR!$A$6:$A$9,0)),2))</f>
        <v>198273.42</v>
      </c>
      <c r="H22" s="29">
        <f t="shared" si="0"/>
        <v>198273.42</v>
      </c>
      <c r="I22" s="26">
        <v>1</v>
      </c>
      <c r="J22" s="26" t="s">
        <v>266</v>
      </c>
      <c r="K22" s="26" t="s">
        <v>19</v>
      </c>
      <c r="L22" s="26" t="s">
        <v>8</v>
      </c>
      <c r="M22" s="26" t="s">
        <v>19</v>
      </c>
      <c r="N22" s="32" t="s">
        <v>272</v>
      </c>
      <c r="O22" s="31" t="s">
        <v>335</v>
      </c>
    </row>
    <row r="23" spans="1:15" ht="15" hidden="1" customHeight="1" x14ac:dyDescent="0.25">
      <c r="A23" s="26">
        <v>121</v>
      </c>
      <c r="B23" s="27" t="str">
        <f>E2</f>
        <v>ЩИТ EMDP1 — Freedom Lounge (TAV-FR-E-EAP-009-R000, схема 05.08.2026)</v>
      </c>
      <c r="C23" s="26" t="s">
        <v>332</v>
      </c>
      <c r="D23" s="26" t="s">
        <v>336</v>
      </c>
      <c r="E23" s="26" t="s">
        <v>337</v>
      </c>
      <c r="F23" s="28">
        <v>59.16</v>
      </c>
      <c r="G23" s="29">
        <f>IF(OR($F23="",$M23=""),"",ROUND($F23*INDEX(KURALLAR!$B$13:$B$18,MATCH($M23,KURALLAR!$A$13:$A$18,0))*INDEX(KURALLAR!$B$6:$B$9,MATCH($L23,KURALLAR!$A$6:$A$9,0)),2))</f>
        <v>12938.29</v>
      </c>
      <c r="H23" s="29">
        <f t="shared" si="0"/>
        <v>12938.29</v>
      </c>
      <c r="I23" s="26">
        <v>1</v>
      </c>
      <c r="J23" s="26" t="s">
        <v>266</v>
      </c>
      <c r="K23" s="26" t="s">
        <v>19</v>
      </c>
      <c r="L23" s="26" t="s">
        <v>8</v>
      </c>
      <c r="M23" s="26" t="s">
        <v>19</v>
      </c>
      <c r="N23" s="30" t="s">
        <v>267</v>
      </c>
      <c r="O23" s="31" t="s">
        <v>338</v>
      </c>
    </row>
    <row r="24" spans="1:15" ht="15" hidden="1" customHeight="1" x14ac:dyDescent="0.25">
      <c r="A24" s="26">
        <v>122</v>
      </c>
      <c r="B24" s="27" t="str">
        <f>E2</f>
        <v>ЩИТ EMDP1 — Freedom Lounge (TAV-FR-E-EAP-009-R000, схема 05.08.2026)</v>
      </c>
      <c r="C24" s="26" t="s">
        <v>332</v>
      </c>
      <c r="D24" s="26" t="s">
        <v>339</v>
      </c>
      <c r="E24" s="26" t="s">
        <v>340</v>
      </c>
      <c r="F24" s="28">
        <v>46.39</v>
      </c>
      <c r="G24" s="29">
        <f>IF(OR($F24="",$M24=""),"",ROUND($F24*INDEX(KURALLAR!$B$13:$B$18,MATCH($M24,KURALLAR!$A$13:$A$18,0))*INDEX(KURALLAR!$B$6:$B$9,MATCH($L24,KURALLAR!$A$6:$A$9,0)),2))</f>
        <v>10145.49</v>
      </c>
      <c r="H24" s="29">
        <f t="shared" si="0"/>
        <v>40581.96</v>
      </c>
      <c r="I24" s="26">
        <v>4</v>
      </c>
      <c r="J24" s="26" t="s">
        <v>266</v>
      </c>
      <c r="K24" s="26" t="s">
        <v>19</v>
      </c>
      <c r="L24" s="26" t="s">
        <v>8</v>
      </c>
      <c r="M24" s="26" t="s">
        <v>19</v>
      </c>
      <c r="N24" s="33" t="s">
        <v>290</v>
      </c>
      <c r="O24" s="31" t="s">
        <v>341</v>
      </c>
    </row>
    <row r="25" spans="1:15" ht="15" hidden="1" customHeight="1" x14ac:dyDescent="0.25">
      <c r="A25" s="26">
        <v>123</v>
      </c>
      <c r="B25" s="27" t="str">
        <f>E2</f>
        <v>ЩИТ EMDP1 — Freedom Lounge (TAV-FR-E-EAP-009-R000, схема 05.08.2026)</v>
      </c>
      <c r="C25" s="26" t="s">
        <v>332</v>
      </c>
      <c r="D25" s="26" t="s">
        <v>342</v>
      </c>
      <c r="E25" s="26" t="s">
        <v>343</v>
      </c>
      <c r="F25" s="28">
        <v>37.909999999999997</v>
      </c>
      <c r="G25" s="29">
        <f>IF(OR($F25="",$M25=""),"",ROUND($F25*INDEX(KURALLAR!$B$13:$B$18,MATCH($M25,KURALLAR!$A$13:$A$18,0))*INDEX(KURALLAR!$B$6:$B$9,MATCH($L25,KURALLAR!$A$6:$A$9,0)),2))</f>
        <v>8290.92</v>
      </c>
      <c r="H25" s="29">
        <f t="shared" si="0"/>
        <v>8290.92</v>
      </c>
      <c r="I25" s="26">
        <v>1</v>
      </c>
      <c r="J25" s="26" t="s">
        <v>266</v>
      </c>
      <c r="K25" s="26" t="s">
        <v>19</v>
      </c>
      <c r="L25" s="26" t="s">
        <v>8</v>
      </c>
      <c r="M25" s="26" t="s">
        <v>19</v>
      </c>
      <c r="N25" s="30" t="s">
        <v>267</v>
      </c>
      <c r="O25" s="31" t="s">
        <v>344</v>
      </c>
    </row>
    <row r="26" spans="1:15" ht="15" hidden="1" customHeight="1" x14ac:dyDescent="0.25">
      <c r="A26" s="26">
        <v>124</v>
      </c>
      <c r="B26" s="27" t="str">
        <f>E2</f>
        <v>ЩИТ EMDP1 — Freedom Lounge (TAV-FR-E-EAP-009-R000, схема 05.08.2026)</v>
      </c>
      <c r="C26" s="26" t="s">
        <v>328</v>
      </c>
      <c r="D26" s="26" t="s">
        <v>345</v>
      </c>
      <c r="E26" s="26" t="s">
        <v>346</v>
      </c>
      <c r="F26" s="28">
        <v>22.58</v>
      </c>
      <c r="G26" s="29">
        <f>IF(OR($F26="",$M26=""),"",ROUND($F26*INDEX(KURALLAR!$B$13:$B$18,MATCH($M26,KURALLAR!$A$13:$A$18,0))*INDEX(KURALLAR!$B$6:$B$9,MATCH($L26,KURALLAR!$A$6:$A$9,0)),2))</f>
        <v>4938.25</v>
      </c>
      <c r="H26" s="29">
        <f t="shared" si="0"/>
        <v>29629.5</v>
      </c>
      <c r="I26" s="26">
        <v>6</v>
      </c>
      <c r="J26" s="26" t="s">
        <v>266</v>
      </c>
      <c r="K26" s="26" t="s">
        <v>19</v>
      </c>
      <c r="L26" s="26" t="s">
        <v>8</v>
      </c>
      <c r="M26" s="26" t="s">
        <v>19</v>
      </c>
      <c r="N26" s="30" t="s">
        <v>267</v>
      </c>
      <c r="O26" s="31" t="s">
        <v>347</v>
      </c>
    </row>
    <row r="27" spans="1:15" ht="15" hidden="1" customHeight="1" x14ac:dyDescent="0.25">
      <c r="A27" s="26">
        <v>125</v>
      </c>
      <c r="B27" s="27" t="str">
        <f>E2</f>
        <v>ЩИТ EMDP1 — Freedom Lounge (TAV-FR-E-EAP-009-R000, схема 05.08.2026)</v>
      </c>
      <c r="C27" s="26" t="s">
        <v>287</v>
      </c>
      <c r="D27" s="26" t="s">
        <v>348</v>
      </c>
      <c r="E27" s="26" t="s">
        <v>349</v>
      </c>
      <c r="F27" s="28">
        <v>49.01</v>
      </c>
      <c r="G27" s="29">
        <f>IF(OR($F27="",$M27=""),"",ROUND($F27*INDEX(KURALLAR!$B$13:$B$18,MATCH($M27,KURALLAR!$A$13:$A$18,0))*INDEX(KURALLAR!$B$6:$B$9,MATCH($L27,KURALLAR!$A$6:$A$9,0)),2))</f>
        <v>10718.49</v>
      </c>
      <c r="H27" s="29">
        <f t="shared" si="0"/>
        <v>21436.98</v>
      </c>
      <c r="I27" s="26">
        <v>2</v>
      </c>
      <c r="J27" s="26" t="s">
        <v>266</v>
      </c>
      <c r="K27" s="26" t="s">
        <v>19</v>
      </c>
      <c r="L27" s="26" t="s">
        <v>8</v>
      </c>
      <c r="M27" s="26" t="s">
        <v>19</v>
      </c>
      <c r="N27" s="30" t="s">
        <v>267</v>
      </c>
      <c r="O27" s="31" t="s">
        <v>350</v>
      </c>
    </row>
    <row r="28" spans="1:15" ht="15" hidden="1" customHeight="1" x14ac:dyDescent="0.25">
      <c r="A28" s="26">
        <v>126</v>
      </c>
      <c r="B28" s="27" t="str">
        <f>E2</f>
        <v>ЩИТ EMDP1 — Freedom Lounge (TAV-FR-E-EAP-009-R000, схема 05.08.2026)</v>
      </c>
      <c r="C28" s="26" t="s">
        <v>351</v>
      </c>
      <c r="D28" s="26" t="s">
        <v>352</v>
      </c>
      <c r="E28" s="26" t="s">
        <v>353</v>
      </c>
      <c r="F28" s="28">
        <v>13.13</v>
      </c>
      <c r="G28" s="29">
        <f>IF(OR($F28="",$M28=""),"",ROUND($F28*INDEX(KURALLAR!$B$13:$B$18,MATCH($M28,KURALLAR!$A$13:$A$18,0))*INDEX(KURALLAR!$B$6:$B$9,MATCH($L28,KURALLAR!$A$6:$A$9,0)),2))</f>
        <v>2871.53</v>
      </c>
      <c r="H28" s="29">
        <f t="shared" si="0"/>
        <v>20100.710000000003</v>
      </c>
      <c r="I28" s="26">
        <v>7</v>
      </c>
      <c r="J28" s="26" t="s">
        <v>266</v>
      </c>
      <c r="K28" s="26" t="s">
        <v>19</v>
      </c>
      <c r="L28" s="26" t="s">
        <v>8</v>
      </c>
      <c r="M28" s="26" t="s">
        <v>19</v>
      </c>
      <c r="N28" s="33" t="s">
        <v>290</v>
      </c>
      <c r="O28" s="31" t="s">
        <v>354</v>
      </c>
    </row>
    <row r="29" spans="1:15" ht="15" hidden="1" customHeight="1" x14ac:dyDescent="0.25">
      <c r="A29" s="26">
        <v>127</v>
      </c>
      <c r="B29" s="27" t="str">
        <f>E2</f>
        <v>ЩИТ EMDP1 — Freedom Lounge (TAV-FR-E-EAP-009-R000, схема 05.08.2026)</v>
      </c>
      <c r="C29" s="26" t="s">
        <v>355</v>
      </c>
      <c r="D29" s="26" t="s">
        <v>356</v>
      </c>
      <c r="E29" s="26" t="s">
        <v>357</v>
      </c>
      <c r="F29" s="28">
        <v>9.6199999999999992</v>
      </c>
      <c r="G29" s="29">
        <f>IF(OR($F29="",$M29=""),"",ROUND($F29*INDEX(KURALLAR!$B$13:$B$18,MATCH($M29,KURALLAR!$A$13:$A$18,0))*INDEX(KURALLAR!$B$6:$B$9,MATCH($L29,KURALLAR!$A$6:$A$9,0)),2))</f>
        <v>2103.89</v>
      </c>
      <c r="H29" s="29">
        <f t="shared" si="0"/>
        <v>14727.23</v>
      </c>
      <c r="I29" s="26">
        <v>7</v>
      </c>
      <c r="J29" s="26" t="s">
        <v>266</v>
      </c>
      <c r="K29" s="26" t="s">
        <v>19</v>
      </c>
      <c r="L29" s="26" t="s">
        <v>8</v>
      </c>
      <c r="M29" s="26" t="s">
        <v>19</v>
      </c>
      <c r="N29" s="33" t="s">
        <v>290</v>
      </c>
      <c r="O29" s="31" t="s">
        <v>358</v>
      </c>
    </row>
    <row r="30" spans="1:15" ht="15" hidden="1" customHeight="1" x14ac:dyDescent="0.25">
      <c r="A30" s="26">
        <v>128</v>
      </c>
      <c r="B30" s="27" t="str">
        <f>E2</f>
        <v>ЩИТ EMDP1 — Freedom Lounge (TAV-FR-E-EAP-009-R000, схема 05.08.2026)</v>
      </c>
      <c r="C30" s="26" t="s">
        <v>355</v>
      </c>
      <c r="D30" s="26" t="s">
        <v>359</v>
      </c>
      <c r="E30" s="26" t="s">
        <v>360</v>
      </c>
      <c r="F30" s="28">
        <v>9.6199999999999992</v>
      </c>
      <c r="G30" s="29">
        <f>IF(OR($F30="",$M30=""),"",ROUND($F30*INDEX(KURALLAR!$B$13:$B$18,MATCH($M30,KURALLAR!$A$13:$A$18,0))*INDEX(KURALLAR!$B$6:$B$9,MATCH($L30,KURALLAR!$A$6:$A$9,0)),2))</f>
        <v>2103.89</v>
      </c>
      <c r="H30" s="29">
        <f t="shared" si="0"/>
        <v>14727.23</v>
      </c>
      <c r="I30" s="26">
        <v>7</v>
      </c>
      <c r="J30" s="26" t="s">
        <v>266</v>
      </c>
      <c r="K30" s="26" t="s">
        <v>19</v>
      </c>
      <c r="L30" s="26" t="s">
        <v>8</v>
      </c>
      <c r="M30" s="26" t="s">
        <v>19</v>
      </c>
      <c r="N30" s="33" t="s">
        <v>290</v>
      </c>
      <c r="O30" s="31"/>
    </row>
    <row r="31" spans="1:15" ht="15" hidden="1" customHeight="1" x14ac:dyDescent="0.25">
      <c r="A31" s="26">
        <v>129</v>
      </c>
      <c r="B31" s="27" t="str">
        <f>E2</f>
        <v>ЩИТ EMDP1 — Freedom Lounge (TAV-FR-E-EAP-009-R000, схема 05.08.2026)</v>
      </c>
      <c r="C31" s="26" t="s">
        <v>355</v>
      </c>
      <c r="D31" s="26" t="s">
        <v>361</v>
      </c>
      <c r="E31" s="26" t="s">
        <v>362</v>
      </c>
      <c r="F31" s="28">
        <v>9.6199999999999992</v>
      </c>
      <c r="G31" s="29">
        <f>IF(OR($F31="",$M31=""),"",ROUND($F31*INDEX(KURALLAR!$B$13:$B$18,MATCH($M31,KURALLAR!$A$13:$A$18,0))*INDEX(KURALLAR!$B$6:$B$9,MATCH($L31,KURALLAR!$A$6:$A$9,0)),2))</f>
        <v>2103.89</v>
      </c>
      <c r="H31" s="29">
        <f t="shared" si="0"/>
        <v>14727.23</v>
      </c>
      <c r="I31" s="26">
        <v>7</v>
      </c>
      <c r="J31" s="26" t="s">
        <v>266</v>
      </c>
      <c r="K31" s="26" t="s">
        <v>19</v>
      </c>
      <c r="L31" s="26" t="s">
        <v>8</v>
      </c>
      <c r="M31" s="26" t="s">
        <v>19</v>
      </c>
      <c r="N31" s="33" t="s">
        <v>290</v>
      </c>
      <c r="O31" s="31"/>
    </row>
    <row r="32" spans="1:15" ht="21.75" customHeight="1" x14ac:dyDescent="0.25">
      <c r="A32" s="26">
        <v>130</v>
      </c>
      <c r="B32" s="27" t="str">
        <f>E2</f>
        <v>ЩИТ EMDP1 — Freedom Lounge (TAV-FR-E-EAP-009-R000, схема 05.08.2026)</v>
      </c>
      <c r="C32" s="26" t="s">
        <v>202</v>
      </c>
      <c r="D32" s="26" t="s">
        <v>363</v>
      </c>
      <c r="E32" s="26" t="s">
        <v>364</v>
      </c>
      <c r="F32" s="28">
        <v>1197</v>
      </c>
      <c r="G32" s="29">
        <f>IF(OR($F32="",$M32=""),"",ROUND($F32*INDEX(KURALLAR!$B$13:$B$18,MATCH($M32,KURALLAR!$A$13:$A$18,0))*INDEX(KURALLAR!$B$6:$B$9,MATCH($L32,KURALLAR!$A$6:$A$9,0)),2))</f>
        <v>261783.9</v>
      </c>
      <c r="H32" s="29">
        <f t="shared" si="0"/>
        <v>261783.9</v>
      </c>
      <c r="I32" s="26">
        <v>1</v>
      </c>
      <c r="J32" s="26" t="s">
        <v>266</v>
      </c>
      <c r="K32" s="26" t="s">
        <v>19</v>
      </c>
      <c r="L32" s="26" t="s">
        <v>8</v>
      </c>
      <c r="M32" s="26" t="s">
        <v>19</v>
      </c>
      <c r="N32" s="32" t="s">
        <v>272</v>
      </c>
      <c r="O32" s="31" t="s">
        <v>365</v>
      </c>
    </row>
    <row r="33" spans="1:15" ht="15" hidden="1" customHeight="1" x14ac:dyDescent="0.25">
      <c r="A33" s="26">
        <v>131</v>
      </c>
      <c r="B33" s="27" t="str">
        <f>E2</f>
        <v>ЩИТ EMDP1 — Freedom Lounge (TAV-FR-E-EAP-009-R000, схема 05.08.2026)</v>
      </c>
      <c r="C33" s="26" t="s">
        <v>366</v>
      </c>
      <c r="D33" s="26" t="s">
        <v>367</v>
      </c>
      <c r="E33" s="26" t="s">
        <v>368</v>
      </c>
      <c r="F33" s="28">
        <v>155.6</v>
      </c>
      <c r="G33" s="29">
        <f>IF(OR($F33="",$M33=""),"",ROUND($F33*INDEX(KURALLAR!$B$13:$B$18,MATCH($M33,KURALLAR!$A$13:$A$18,0))*INDEX(KURALLAR!$B$6:$B$9,MATCH($L33,KURALLAR!$A$6:$A$9,0)),2))</f>
        <v>34029.72</v>
      </c>
      <c r="H33" s="29">
        <f t="shared" si="0"/>
        <v>102089.16</v>
      </c>
      <c r="I33" s="26">
        <v>3</v>
      </c>
      <c r="J33" s="26" t="s">
        <v>266</v>
      </c>
      <c r="K33" s="26" t="s">
        <v>19</v>
      </c>
      <c r="L33" s="26" t="s">
        <v>8</v>
      </c>
      <c r="M33" s="26" t="s">
        <v>19</v>
      </c>
      <c r="N33" s="33" t="s">
        <v>290</v>
      </c>
      <c r="O33" s="31" t="s">
        <v>369</v>
      </c>
    </row>
    <row r="34" spans="1:15" ht="15" hidden="1" customHeight="1" x14ac:dyDescent="0.25">
      <c r="A34" s="26">
        <v>132</v>
      </c>
      <c r="B34" s="27" t="str">
        <f>E2</f>
        <v>ЩИТ EMDP1 — Freedom Lounge (TAV-FR-E-EAP-009-R000, схема 05.08.2026)</v>
      </c>
      <c r="C34" s="26" t="s">
        <v>370</v>
      </c>
      <c r="D34" s="26" t="s">
        <v>371</v>
      </c>
      <c r="E34" s="26" t="s">
        <v>372</v>
      </c>
      <c r="F34" s="28">
        <v>18.11</v>
      </c>
      <c r="G34" s="29">
        <f>IF(OR($F34="",$M34=""),"",ROUND($F34*INDEX(KURALLAR!$B$13:$B$18,MATCH($M34,KURALLAR!$A$13:$A$18,0))*INDEX(KURALLAR!$B$6:$B$9,MATCH($L34,KURALLAR!$A$6:$A$9,0)),2))</f>
        <v>3960.66</v>
      </c>
      <c r="H34" s="29">
        <f t="shared" si="0"/>
        <v>11881.98</v>
      </c>
      <c r="I34" s="26">
        <v>3</v>
      </c>
      <c r="J34" s="26" t="s">
        <v>266</v>
      </c>
      <c r="K34" s="26" t="s">
        <v>19</v>
      </c>
      <c r="L34" s="26" t="s">
        <v>8</v>
      </c>
      <c r="M34" s="26" t="s">
        <v>19</v>
      </c>
      <c r="N34" s="33" t="s">
        <v>290</v>
      </c>
      <c r="O34" s="31" t="s">
        <v>373</v>
      </c>
    </row>
    <row r="35" spans="1:15" ht="32.25" customHeight="1" x14ac:dyDescent="0.25">
      <c r="A35" s="26">
        <v>133</v>
      </c>
      <c r="B35" s="27" t="str">
        <f>E2</f>
        <v>ЩИТ EMDP1 — Freedom Lounge (TAV-FR-E-EAP-009-R000, схема 05.08.2026)</v>
      </c>
      <c r="C35" s="26" t="s">
        <v>374</v>
      </c>
      <c r="D35" s="26" t="s">
        <v>375</v>
      </c>
      <c r="E35" s="26" t="s">
        <v>376</v>
      </c>
      <c r="F35" s="28">
        <v>19000</v>
      </c>
      <c r="G35" s="29">
        <f>IF(OR($F35="",$M35=""),"",ROUND($F35*INDEX(KURALLAR!$B$13:$B$18,MATCH($M35,KURALLAR!$A$13:$A$18,0))*INDEX(KURALLAR!$B$6:$B$9,MATCH($L35,KURALLAR!$A$6:$A$9,0)),2))</f>
        <v>19000</v>
      </c>
      <c r="H35" s="29">
        <f t="shared" ref="H35:H58" si="1">IF($G35="","",$G35*$I35)</f>
        <v>19000</v>
      </c>
      <c r="I35" s="26">
        <v>1</v>
      </c>
      <c r="J35" s="26" t="s">
        <v>266</v>
      </c>
      <c r="K35" s="26" t="s">
        <v>29</v>
      </c>
      <c r="L35" s="26" t="s">
        <v>6</v>
      </c>
      <c r="M35" s="26" t="s">
        <v>29</v>
      </c>
      <c r="N35" s="32" t="s">
        <v>272</v>
      </c>
      <c r="O35" s="31" t="s">
        <v>377</v>
      </c>
    </row>
    <row r="36" spans="1:15" ht="21.75" hidden="1" customHeight="1" x14ac:dyDescent="0.25">
      <c r="A36" s="26">
        <v>134</v>
      </c>
      <c r="B36" s="27" t="str">
        <f>E2</f>
        <v>ЩИТ EMDP1 — Freedom Lounge (TAV-FR-E-EAP-009-R000, схема 05.08.2026)</v>
      </c>
      <c r="C36" s="26" t="s">
        <v>378</v>
      </c>
      <c r="D36" s="26" t="s">
        <v>379</v>
      </c>
      <c r="E36" s="26" t="s">
        <v>380</v>
      </c>
      <c r="F36" s="28">
        <v>4000</v>
      </c>
      <c r="G36" s="29">
        <f>IF(OR($F36="",$M36=""),"",ROUND($F36*INDEX(KURALLAR!$B$13:$B$18,MATCH($M36,KURALLAR!$A$13:$A$18,0))*INDEX(KURALLAR!$B$6:$B$9,MATCH($L36,KURALLAR!$A$6:$A$9,0)),2))</f>
        <v>4000</v>
      </c>
      <c r="H36" s="29">
        <f t="shared" si="1"/>
        <v>24000</v>
      </c>
      <c r="I36" s="26">
        <v>6</v>
      </c>
      <c r="J36" s="26" t="s">
        <v>266</v>
      </c>
      <c r="K36" s="26" t="s">
        <v>29</v>
      </c>
      <c r="L36" s="26" t="s">
        <v>6</v>
      </c>
      <c r="M36" s="26" t="s">
        <v>29</v>
      </c>
      <c r="N36" s="33" t="s">
        <v>290</v>
      </c>
      <c r="O36" s="31" t="s">
        <v>381</v>
      </c>
    </row>
    <row r="37" spans="1:15" ht="21.75" customHeight="1" x14ac:dyDescent="0.25">
      <c r="A37" s="26">
        <v>135</v>
      </c>
      <c r="B37" s="27" t="str">
        <f>E2</f>
        <v>ЩИТ EMDP1 — Freedom Lounge (TAV-FR-E-EAP-009-R000, схема 05.08.2026)</v>
      </c>
      <c r="C37" s="26" t="s">
        <v>382</v>
      </c>
      <c r="D37" s="26"/>
      <c r="E37" s="26" t="s">
        <v>383</v>
      </c>
      <c r="F37" s="34"/>
      <c r="G37" s="29" t="str">
        <f>IF(OR($F37="",$M37=""),"",ROUND($F37*INDEX(KURALLAR!$B$13:$B$18,MATCH($M37,KURALLAR!$A$13:$A$18,0))*INDEX(KURALLAR!$B$6:$B$9,MATCH($L37,KURALLAR!$A$6:$A$9,0)),2))</f>
        <v/>
      </c>
      <c r="H37" s="29" t="str">
        <f t="shared" si="1"/>
        <v/>
      </c>
      <c r="I37" s="26">
        <v>1</v>
      </c>
      <c r="J37" s="26" t="s">
        <v>266</v>
      </c>
      <c r="K37" s="26" t="s">
        <v>384</v>
      </c>
      <c r="L37" s="26" t="s">
        <v>6</v>
      </c>
      <c r="M37" s="26"/>
      <c r="N37" s="32" t="s">
        <v>272</v>
      </c>
      <c r="O37" s="31" t="s">
        <v>385</v>
      </c>
    </row>
    <row r="38" spans="1:15" ht="21.75" customHeight="1" x14ac:dyDescent="0.25">
      <c r="A38" s="26">
        <v>136</v>
      </c>
      <c r="B38" s="27" t="str">
        <f>E2</f>
        <v>ЩИТ EMDP1 — Freedom Lounge (TAV-FR-E-EAP-009-R000, схема 05.08.2026)</v>
      </c>
      <c r="C38" s="26" t="s">
        <v>386</v>
      </c>
      <c r="D38" s="26" t="s">
        <v>387</v>
      </c>
      <c r="E38" s="26" t="s">
        <v>388</v>
      </c>
      <c r="F38" s="28">
        <v>22.27</v>
      </c>
      <c r="G38" s="29">
        <f>IF(OR($F38="",$M38=""),"",ROUND($F38*INDEX(KURALLAR!$B$13:$B$18,MATCH($M38,KURALLAR!$A$13:$A$18,0))*INDEX(KURALLAR!$B$6:$B$9,MATCH($L38,KURALLAR!$A$6:$A$9,0)),2))</f>
        <v>4870.45</v>
      </c>
      <c r="H38" s="29">
        <f t="shared" si="1"/>
        <v>4870.45</v>
      </c>
      <c r="I38" s="26">
        <v>1</v>
      </c>
      <c r="J38" s="26" t="s">
        <v>266</v>
      </c>
      <c r="K38" s="26" t="s">
        <v>19</v>
      </c>
      <c r="L38" s="26" t="s">
        <v>8</v>
      </c>
      <c r="M38" s="26" t="s">
        <v>19</v>
      </c>
      <c r="N38" s="32" t="s">
        <v>272</v>
      </c>
      <c r="O38" s="31" t="s">
        <v>389</v>
      </c>
    </row>
    <row r="39" spans="1:15" ht="21.75" customHeight="1" x14ac:dyDescent="0.25">
      <c r="A39" s="26">
        <v>137</v>
      </c>
      <c r="B39" s="27" t="str">
        <f>E2</f>
        <v>ЩИТ EMDP1 — Freedom Lounge (TAV-FR-E-EAP-009-R000, схема 05.08.2026)</v>
      </c>
      <c r="C39" s="26" t="s">
        <v>390</v>
      </c>
      <c r="D39" s="26" t="s">
        <v>391</v>
      </c>
      <c r="E39" s="26" t="s">
        <v>392</v>
      </c>
      <c r="F39" s="34"/>
      <c r="G39" s="29" t="str">
        <f>IF(OR($F39="",$M39=""),"",ROUND($F39*INDEX(KURALLAR!$B$13:$B$18,MATCH($M39,KURALLAR!$A$13:$A$18,0))*INDEX(KURALLAR!$B$6:$B$9,MATCH($L39,KURALLAR!$A$6:$A$9,0)),2))</f>
        <v/>
      </c>
      <c r="H39" s="29" t="str">
        <f t="shared" si="1"/>
        <v/>
      </c>
      <c r="I39" s="26">
        <v>1</v>
      </c>
      <c r="J39" s="26" t="s">
        <v>266</v>
      </c>
      <c r="K39" s="26" t="s">
        <v>393</v>
      </c>
      <c r="L39" s="26" t="s">
        <v>6</v>
      </c>
      <c r="M39" s="26"/>
      <c r="N39" s="32" t="s">
        <v>272</v>
      </c>
      <c r="O39" s="31" t="s">
        <v>394</v>
      </c>
    </row>
    <row r="40" spans="1:15" ht="21.75" hidden="1" customHeight="1" x14ac:dyDescent="0.25">
      <c r="A40" s="26">
        <v>138</v>
      </c>
      <c r="B40" s="27" t="str">
        <f>E2</f>
        <v>ЩИТ EMDP1 — Freedom Lounge (TAV-FR-E-EAP-009-R000, схема 05.08.2026)</v>
      </c>
      <c r="C40" s="26" t="s">
        <v>395</v>
      </c>
      <c r="D40" s="26"/>
      <c r="E40" s="26" t="s">
        <v>396</v>
      </c>
      <c r="F40" s="34"/>
      <c r="G40" s="29" t="str">
        <f>IF(OR($F40="",$M40=""),"",ROUND($F40*INDEX(KURALLAR!$B$13:$B$18,MATCH($M40,KURALLAR!$A$13:$A$18,0))*INDEX(KURALLAR!$B$6:$B$9,MATCH($L40,KURALLAR!$A$6:$A$9,0)),2))</f>
        <v/>
      </c>
      <c r="H40" s="29" t="str">
        <f t="shared" si="1"/>
        <v/>
      </c>
      <c r="I40" s="26">
        <v>1</v>
      </c>
      <c r="J40" s="26" t="s">
        <v>266</v>
      </c>
      <c r="K40" s="26" t="s">
        <v>397</v>
      </c>
      <c r="L40" s="26" t="s">
        <v>6</v>
      </c>
      <c r="M40" s="26"/>
      <c r="N40" s="35" t="s">
        <v>398</v>
      </c>
      <c r="O40" s="31" t="s">
        <v>399</v>
      </c>
    </row>
    <row r="41" spans="1:15" ht="15" hidden="1" customHeight="1" x14ac:dyDescent="0.25">
      <c r="A41" s="26">
        <v>139</v>
      </c>
      <c r="B41" s="27" t="str">
        <f>E2</f>
        <v>ЩИТ EMDP1 — Freedom Lounge (TAV-FR-E-EAP-009-R000, схема 05.08.2026)</v>
      </c>
      <c r="C41" s="26" t="s">
        <v>395</v>
      </c>
      <c r="D41" s="26"/>
      <c r="E41" s="26" t="s">
        <v>400</v>
      </c>
      <c r="F41" s="34"/>
      <c r="G41" s="29" t="str">
        <f>IF(OR($F41="",$M41=""),"",ROUND($F41*INDEX(KURALLAR!$B$13:$B$18,MATCH($M41,KURALLAR!$A$13:$A$18,0))*INDEX(KURALLAR!$B$6:$B$9,MATCH($L41,KURALLAR!$A$6:$A$9,0)),2))</f>
        <v/>
      </c>
      <c r="H41" s="29" t="str">
        <f t="shared" si="1"/>
        <v/>
      </c>
      <c r="I41" s="26">
        <v>3</v>
      </c>
      <c r="J41" s="26" t="s">
        <v>266</v>
      </c>
      <c r="K41" s="26" t="s">
        <v>397</v>
      </c>
      <c r="L41" s="26" t="s">
        <v>6</v>
      </c>
      <c r="M41" s="26"/>
      <c r="N41" s="35" t="s">
        <v>398</v>
      </c>
      <c r="O41" s="31" t="s">
        <v>401</v>
      </c>
    </row>
    <row r="42" spans="1:15" ht="15" hidden="1" customHeight="1" x14ac:dyDescent="0.25">
      <c r="A42" s="26">
        <v>140</v>
      </c>
      <c r="B42" s="27" t="str">
        <f>E2</f>
        <v>ЩИТ EMDP1 — Freedom Lounge (TAV-FR-E-EAP-009-R000, схема 05.08.2026)</v>
      </c>
      <c r="C42" s="26" t="s">
        <v>395</v>
      </c>
      <c r="D42" s="26"/>
      <c r="E42" s="26" t="s">
        <v>402</v>
      </c>
      <c r="F42" s="34"/>
      <c r="G42" s="29" t="str">
        <f>IF(OR($F42="",$M42=""),"",ROUND($F42*INDEX(KURALLAR!$B$13:$B$18,MATCH($M42,KURALLAR!$A$13:$A$18,0))*INDEX(KURALLAR!$B$6:$B$9,MATCH($L42,KURALLAR!$A$6:$A$9,0)),2))</f>
        <v/>
      </c>
      <c r="H42" s="29" t="str">
        <f t="shared" si="1"/>
        <v/>
      </c>
      <c r="I42" s="26">
        <v>1</v>
      </c>
      <c r="J42" s="26" t="s">
        <v>266</v>
      </c>
      <c r="K42" s="26" t="s">
        <v>397</v>
      </c>
      <c r="L42" s="26" t="s">
        <v>6</v>
      </c>
      <c r="M42" s="26"/>
      <c r="N42" s="35" t="s">
        <v>398</v>
      </c>
      <c r="O42" s="31" t="s">
        <v>403</v>
      </c>
    </row>
    <row r="43" spans="1:15" ht="15" hidden="1" customHeight="1" x14ac:dyDescent="0.25">
      <c r="A43" s="26">
        <v>141</v>
      </c>
      <c r="B43" s="27" t="str">
        <f>E2</f>
        <v>ЩИТ EMDP1 — Freedom Lounge (TAV-FR-E-EAP-009-R000, схема 05.08.2026)</v>
      </c>
      <c r="C43" s="26" t="s">
        <v>395</v>
      </c>
      <c r="D43" s="26"/>
      <c r="E43" s="26" t="s">
        <v>404</v>
      </c>
      <c r="F43" s="34"/>
      <c r="G43" s="29" t="str">
        <f>IF(OR($F43="",$M43=""),"",ROUND($F43*INDEX(KURALLAR!$B$13:$B$18,MATCH($M43,KURALLAR!$A$13:$A$18,0))*INDEX(KURALLAR!$B$6:$B$9,MATCH($L43,KURALLAR!$A$6:$A$9,0)),2))</f>
        <v/>
      </c>
      <c r="H43" s="29" t="str">
        <f t="shared" si="1"/>
        <v/>
      </c>
      <c r="I43" s="26">
        <v>1</v>
      </c>
      <c r="J43" s="26" t="s">
        <v>266</v>
      </c>
      <c r="K43" s="26" t="s">
        <v>397</v>
      </c>
      <c r="L43" s="26" t="s">
        <v>6</v>
      </c>
      <c r="M43" s="26"/>
      <c r="N43" s="35" t="s">
        <v>398</v>
      </c>
      <c r="O43" s="31" t="s">
        <v>403</v>
      </c>
    </row>
    <row r="44" spans="1:15" ht="15" hidden="1" customHeight="1" x14ac:dyDescent="0.25">
      <c r="A44" s="26">
        <v>142</v>
      </c>
      <c r="B44" s="27" t="str">
        <f>E2</f>
        <v>ЩИТ EMDP1 — Freedom Lounge (TAV-FR-E-EAP-009-R000, схема 05.08.2026)</v>
      </c>
      <c r="C44" s="26" t="s">
        <v>395</v>
      </c>
      <c r="D44" s="26" t="s">
        <v>405</v>
      </c>
      <c r="E44" s="26" t="s">
        <v>406</v>
      </c>
      <c r="F44" s="34"/>
      <c r="G44" s="29" t="str">
        <f>IF(OR($F44="",$M44=""),"",ROUND($F44*INDEX(KURALLAR!$B$13:$B$18,MATCH($M44,KURALLAR!$A$13:$A$18,0))*INDEX(KURALLAR!$B$6:$B$9,MATCH($L44,KURALLAR!$A$6:$A$9,0)),2))</f>
        <v/>
      </c>
      <c r="H44" s="29" t="str">
        <f t="shared" si="1"/>
        <v/>
      </c>
      <c r="I44" s="26">
        <v>1</v>
      </c>
      <c r="J44" s="26" t="s">
        <v>266</v>
      </c>
      <c r="K44" s="26" t="s">
        <v>397</v>
      </c>
      <c r="L44" s="26" t="s">
        <v>6</v>
      </c>
      <c r="M44" s="26"/>
      <c r="N44" s="35" t="s">
        <v>398</v>
      </c>
      <c r="O44" s="31"/>
    </row>
    <row r="45" spans="1:15" ht="15" hidden="1" customHeight="1" x14ac:dyDescent="0.25">
      <c r="A45" s="26">
        <v>143</v>
      </c>
      <c r="B45" s="27" t="str">
        <f>E2</f>
        <v>ЩИТ EMDP1 — Freedom Lounge (TAV-FR-E-EAP-009-R000, схема 05.08.2026)</v>
      </c>
      <c r="C45" s="26" t="s">
        <v>395</v>
      </c>
      <c r="D45" s="26" t="s">
        <v>407</v>
      </c>
      <c r="E45" s="26" t="s">
        <v>408</v>
      </c>
      <c r="F45" s="34"/>
      <c r="G45" s="29" t="str">
        <f>IF(OR($F45="",$M45=""),"",ROUND($F45*INDEX(KURALLAR!$B$13:$B$18,MATCH($M45,KURALLAR!$A$13:$A$18,0))*INDEX(KURALLAR!$B$6:$B$9,MATCH($L45,KURALLAR!$A$6:$A$9,0)),2))</f>
        <v/>
      </c>
      <c r="H45" s="29" t="str">
        <f t="shared" si="1"/>
        <v/>
      </c>
      <c r="I45" s="26">
        <v>1</v>
      </c>
      <c r="J45" s="26" t="s">
        <v>266</v>
      </c>
      <c r="K45" s="26" t="s">
        <v>397</v>
      </c>
      <c r="L45" s="26" t="s">
        <v>6</v>
      </c>
      <c r="M45" s="26"/>
      <c r="N45" s="35" t="s">
        <v>398</v>
      </c>
      <c r="O45" s="31"/>
    </row>
    <row r="46" spans="1:15" ht="15" hidden="1" customHeight="1" x14ac:dyDescent="0.25">
      <c r="A46" s="26">
        <v>144</v>
      </c>
      <c r="B46" s="27" t="str">
        <f>E2</f>
        <v>ЩИТ EMDP1 — Freedom Lounge (TAV-FR-E-EAP-009-R000, схема 05.08.2026)</v>
      </c>
      <c r="C46" s="26" t="s">
        <v>395</v>
      </c>
      <c r="D46" s="26" t="s">
        <v>409</v>
      </c>
      <c r="E46" s="26" t="s">
        <v>410</v>
      </c>
      <c r="F46" s="34"/>
      <c r="G46" s="29" t="str">
        <f>IF(OR($F46="",$M46=""),"",ROUND($F46*INDEX(KURALLAR!$B$13:$B$18,MATCH($M46,KURALLAR!$A$13:$A$18,0))*INDEX(KURALLAR!$B$6:$B$9,MATCH($L46,KURALLAR!$A$6:$A$9,0)),2))</f>
        <v/>
      </c>
      <c r="H46" s="29" t="str">
        <f t="shared" si="1"/>
        <v/>
      </c>
      <c r="I46" s="26">
        <v>1</v>
      </c>
      <c r="J46" s="26" t="s">
        <v>266</v>
      </c>
      <c r="K46" s="26" t="s">
        <v>397</v>
      </c>
      <c r="L46" s="26" t="s">
        <v>6</v>
      </c>
      <c r="M46" s="26"/>
      <c r="N46" s="35" t="s">
        <v>398</v>
      </c>
      <c r="O46" s="31"/>
    </row>
    <row r="47" spans="1:15" ht="15" hidden="1" customHeight="1" x14ac:dyDescent="0.25">
      <c r="A47" s="26">
        <v>145</v>
      </c>
      <c r="B47" s="27" t="str">
        <f>E2</f>
        <v>ЩИТ EMDP1 — Freedom Lounge (TAV-FR-E-EAP-009-R000, схема 05.08.2026)</v>
      </c>
      <c r="C47" s="26" t="s">
        <v>411</v>
      </c>
      <c r="D47" s="26" t="s">
        <v>412</v>
      </c>
      <c r="E47" s="26" t="s">
        <v>413</v>
      </c>
      <c r="F47" s="28">
        <v>2232</v>
      </c>
      <c r="G47" s="29">
        <f>IF(OR($F47="",$M47=""),"",ROUND($F47*INDEX(KURALLAR!$B$13:$B$18,MATCH($M47,KURALLAR!$A$13:$A$18,0))*INDEX(KURALLAR!$B$6:$B$9,MATCH($L47,KURALLAR!$A$6:$A$9,0)),2))</f>
        <v>1339.2</v>
      </c>
      <c r="H47" s="29">
        <f t="shared" si="1"/>
        <v>8035.2000000000007</v>
      </c>
      <c r="I47" s="26">
        <v>6</v>
      </c>
      <c r="J47" s="26" t="s">
        <v>266</v>
      </c>
      <c r="K47" s="26" t="s">
        <v>23</v>
      </c>
      <c r="L47" s="26" t="s">
        <v>6</v>
      </c>
      <c r="M47" s="26" t="s">
        <v>23</v>
      </c>
      <c r="N47" s="30" t="s">
        <v>267</v>
      </c>
      <c r="O47" s="31" t="s">
        <v>414</v>
      </c>
    </row>
    <row r="48" spans="1:15" ht="15" hidden="1" customHeight="1" x14ac:dyDescent="0.25">
      <c r="A48" s="26">
        <v>146</v>
      </c>
      <c r="B48" s="27" t="str">
        <f>E2</f>
        <v>ЩИТ EMDP1 — Freedom Lounge (TAV-FR-E-EAP-009-R000, схема 05.08.2026)</v>
      </c>
      <c r="C48" s="26" t="s">
        <v>415</v>
      </c>
      <c r="D48" s="26" t="s">
        <v>416</v>
      </c>
      <c r="E48" s="26" t="s">
        <v>417</v>
      </c>
      <c r="F48" s="28">
        <v>2314</v>
      </c>
      <c r="G48" s="29">
        <f>IF(OR($F48="",$M48=""),"",ROUND($F48*INDEX(KURALLAR!$B$13:$B$18,MATCH($M48,KURALLAR!$A$13:$A$18,0))*INDEX(KURALLAR!$B$6:$B$9,MATCH($L48,KURALLAR!$A$6:$A$9,0)),2))</f>
        <v>2314</v>
      </c>
      <c r="H48" s="29">
        <f t="shared" si="1"/>
        <v>27768</v>
      </c>
      <c r="I48" s="26">
        <v>12</v>
      </c>
      <c r="J48" s="26" t="s">
        <v>266</v>
      </c>
      <c r="K48" s="26" t="s">
        <v>25</v>
      </c>
      <c r="L48" s="26" t="s">
        <v>6</v>
      </c>
      <c r="M48" s="26" t="s">
        <v>25</v>
      </c>
      <c r="N48" s="30" t="s">
        <v>267</v>
      </c>
      <c r="O48" s="31" t="s">
        <v>418</v>
      </c>
    </row>
    <row r="49" spans="1:15" ht="15" hidden="1" customHeight="1" x14ac:dyDescent="0.25">
      <c r="A49" s="26">
        <v>147</v>
      </c>
      <c r="B49" s="27" t="str">
        <f>E2</f>
        <v>ЩИТ EMDP1 — Freedom Lounge (TAV-FR-E-EAP-009-R000, схема 05.08.2026)</v>
      </c>
      <c r="C49" s="26" t="s">
        <v>415</v>
      </c>
      <c r="D49" s="26" t="s">
        <v>419</v>
      </c>
      <c r="E49" s="26" t="s">
        <v>420</v>
      </c>
      <c r="F49" s="28">
        <v>1808</v>
      </c>
      <c r="G49" s="29">
        <f>IF(OR($F49="",$M49=""),"",ROUND($F49*INDEX(KURALLAR!$B$13:$B$18,MATCH($M49,KURALLAR!$A$13:$A$18,0))*INDEX(KURALLAR!$B$6:$B$9,MATCH($L49,KURALLAR!$A$6:$A$9,0)),2))</f>
        <v>1808</v>
      </c>
      <c r="H49" s="29">
        <f t="shared" si="1"/>
        <v>14464</v>
      </c>
      <c r="I49" s="26">
        <v>8</v>
      </c>
      <c r="J49" s="26" t="s">
        <v>266</v>
      </c>
      <c r="K49" s="26" t="s">
        <v>25</v>
      </c>
      <c r="L49" s="26" t="s">
        <v>6</v>
      </c>
      <c r="M49" s="26" t="s">
        <v>25</v>
      </c>
      <c r="N49" s="30" t="s">
        <v>267</v>
      </c>
      <c r="O49" s="31"/>
    </row>
    <row r="50" spans="1:15" ht="15" hidden="1" customHeight="1" x14ac:dyDescent="0.25">
      <c r="A50" s="26">
        <v>148</v>
      </c>
      <c r="B50" s="27" t="str">
        <f>E2</f>
        <v>ЩИТ EMDP1 — Freedom Lounge (TAV-FR-E-EAP-009-R000, схема 05.08.2026)</v>
      </c>
      <c r="C50" s="26" t="s">
        <v>421</v>
      </c>
      <c r="D50" s="26" t="s">
        <v>422</v>
      </c>
      <c r="E50" s="26" t="s">
        <v>423</v>
      </c>
      <c r="F50" s="28">
        <v>3184</v>
      </c>
      <c r="G50" s="29">
        <f>IF(OR($F50="",$M50=""),"",ROUND($F50*INDEX(KURALLAR!$B$13:$B$18,MATCH($M50,KURALLAR!$A$13:$A$18,0))*INDEX(KURALLAR!$B$6:$B$9,MATCH($L50,KURALLAR!$A$6:$A$9,0)),2))</f>
        <v>3184</v>
      </c>
      <c r="H50" s="29">
        <f t="shared" si="1"/>
        <v>25472</v>
      </c>
      <c r="I50" s="26">
        <v>8</v>
      </c>
      <c r="J50" s="26" t="s">
        <v>266</v>
      </c>
      <c r="K50" s="26" t="s">
        <v>25</v>
      </c>
      <c r="L50" s="26" t="s">
        <v>6</v>
      </c>
      <c r="M50" s="26" t="s">
        <v>25</v>
      </c>
      <c r="N50" s="30" t="s">
        <v>267</v>
      </c>
      <c r="O50" s="31" t="s">
        <v>424</v>
      </c>
    </row>
    <row r="51" spans="1:15" ht="15" hidden="1" customHeight="1" x14ac:dyDescent="0.25">
      <c r="A51" s="26">
        <v>149</v>
      </c>
      <c r="B51" s="27" t="str">
        <f>E2</f>
        <v>ЩИТ EMDP1 — Freedom Lounge (TAV-FR-E-EAP-009-R000, схема 05.08.2026)</v>
      </c>
      <c r="C51" s="26" t="s">
        <v>425</v>
      </c>
      <c r="D51" s="26" t="s">
        <v>426</v>
      </c>
      <c r="E51" s="26" t="s">
        <v>427</v>
      </c>
      <c r="F51" s="28">
        <v>317</v>
      </c>
      <c r="G51" s="29">
        <f>IF(OR($F51="",$M51=""),"",ROUND($F51*INDEX(KURALLAR!$B$13:$B$18,MATCH($M51,KURALLAR!$A$13:$A$18,0))*INDEX(KURALLAR!$B$6:$B$9,MATCH($L51,KURALLAR!$A$6:$A$9,0)),2))</f>
        <v>317</v>
      </c>
      <c r="H51" s="29">
        <f t="shared" si="1"/>
        <v>1902</v>
      </c>
      <c r="I51" s="26">
        <v>6</v>
      </c>
      <c r="J51" s="26" t="s">
        <v>266</v>
      </c>
      <c r="K51" s="26" t="s">
        <v>25</v>
      </c>
      <c r="L51" s="26" t="s">
        <v>6</v>
      </c>
      <c r="M51" s="26" t="s">
        <v>25</v>
      </c>
      <c r="N51" s="30" t="s">
        <v>267</v>
      </c>
      <c r="O51" s="31" t="s">
        <v>428</v>
      </c>
    </row>
    <row r="52" spans="1:15" ht="15" hidden="1" customHeight="1" x14ac:dyDescent="0.25">
      <c r="A52" s="26">
        <v>150</v>
      </c>
      <c r="B52" s="27" t="str">
        <f>E2</f>
        <v>ЩИТ EMDP1 — Freedom Lounge (TAV-FR-E-EAP-009-R000, схема 05.08.2026)</v>
      </c>
      <c r="C52" s="26" t="s">
        <v>425</v>
      </c>
      <c r="D52" s="26" t="s">
        <v>429</v>
      </c>
      <c r="E52" s="26" t="s">
        <v>430</v>
      </c>
      <c r="F52" s="28">
        <v>4689</v>
      </c>
      <c r="G52" s="29">
        <f>IF(OR($F52="",$M52=""),"",ROUND($F52*INDEX(KURALLAR!$B$13:$B$18,MATCH($M52,KURALLAR!$A$13:$A$18,0))*INDEX(KURALLAR!$B$6:$B$9,MATCH($L52,KURALLAR!$A$6:$A$9,0)),2))</f>
        <v>4689</v>
      </c>
      <c r="H52" s="29">
        <f t="shared" si="1"/>
        <v>9378</v>
      </c>
      <c r="I52" s="26">
        <v>2</v>
      </c>
      <c r="J52" s="26" t="s">
        <v>266</v>
      </c>
      <c r="K52" s="26" t="s">
        <v>25</v>
      </c>
      <c r="L52" s="26" t="s">
        <v>6</v>
      </c>
      <c r="M52" s="26" t="s">
        <v>25</v>
      </c>
      <c r="N52" s="30" t="s">
        <v>267</v>
      </c>
      <c r="O52" s="31" t="s">
        <v>431</v>
      </c>
    </row>
    <row r="53" spans="1:15" ht="15" hidden="1" customHeight="1" x14ac:dyDescent="0.25">
      <c r="A53" s="26">
        <v>151</v>
      </c>
      <c r="B53" s="27" t="str">
        <f>E2</f>
        <v>ЩИТ EMDP1 — Freedom Lounge (TAV-FR-E-EAP-009-R000, схема 05.08.2026)</v>
      </c>
      <c r="C53" s="26" t="s">
        <v>421</v>
      </c>
      <c r="D53" s="26" t="s">
        <v>432</v>
      </c>
      <c r="E53" s="26" t="s">
        <v>433</v>
      </c>
      <c r="F53" s="28">
        <v>93</v>
      </c>
      <c r="G53" s="29">
        <f>IF(OR($F53="",$M53=""),"",ROUND($F53*INDEX(KURALLAR!$B$13:$B$18,MATCH($M53,KURALLAR!$A$13:$A$18,0))*INDEX(KURALLAR!$B$6:$B$9,MATCH($L53,KURALLAR!$A$6:$A$9,0)),2))</f>
        <v>93</v>
      </c>
      <c r="H53" s="29">
        <f t="shared" si="1"/>
        <v>11160</v>
      </c>
      <c r="I53" s="26">
        <v>120</v>
      </c>
      <c r="J53" s="26" t="s">
        <v>266</v>
      </c>
      <c r="K53" s="26" t="s">
        <v>25</v>
      </c>
      <c r="L53" s="26" t="s">
        <v>6</v>
      </c>
      <c r="M53" s="26" t="s">
        <v>25</v>
      </c>
      <c r="N53" s="30" t="s">
        <v>267</v>
      </c>
      <c r="O53" s="31" t="s">
        <v>434</v>
      </c>
    </row>
    <row r="54" spans="1:15" ht="15" hidden="1" customHeight="1" x14ac:dyDescent="0.25">
      <c r="A54" s="26">
        <v>152</v>
      </c>
      <c r="B54" s="27" t="str">
        <f>E2</f>
        <v>ЩИТ EMDP1 — Freedom Lounge (TAV-FR-E-EAP-009-R000, схема 05.08.2026)</v>
      </c>
      <c r="C54" s="26" t="s">
        <v>421</v>
      </c>
      <c r="D54" s="26" t="s">
        <v>435</v>
      </c>
      <c r="E54" s="26" t="s">
        <v>436</v>
      </c>
      <c r="F54" s="28">
        <v>111</v>
      </c>
      <c r="G54" s="29">
        <f>IF(OR($F54="",$M54=""),"",ROUND($F54*INDEX(KURALLAR!$B$13:$B$18,MATCH($M54,KURALLAR!$A$13:$A$18,0))*INDEX(KURALLAR!$B$6:$B$9,MATCH($L54,KURALLAR!$A$6:$A$9,0)),2))</f>
        <v>111</v>
      </c>
      <c r="H54" s="29">
        <f t="shared" si="1"/>
        <v>16650</v>
      </c>
      <c r="I54" s="26">
        <v>150</v>
      </c>
      <c r="J54" s="26" t="s">
        <v>266</v>
      </c>
      <c r="K54" s="26" t="s">
        <v>25</v>
      </c>
      <c r="L54" s="26" t="s">
        <v>6</v>
      </c>
      <c r="M54" s="26" t="s">
        <v>25</v>
      </c>
      <c r="N54" s="30" t="s">
        <v>267</v>
      </c>
      <c r="O54" s="31" t="s">
        <v>437</v>
      </c>
    </row>
    <row r="55" spans="1:15" ht="15" hidden="1" customHeight="1" x14ac:dyDescent="0.25">
      <c r="A55" s="26">
        <v>153</v>
      </c>
      <c r="B55" s="27" t="str">
        <f>E2</f>
        <v>ЩИТ EMDP1 — Freedom Lounge (TAV-FR-E-EAP-009-R000, схема 05.08.2026)</v>
      </c>
      <c r="C55" s="26" t="s">
        <v>421</v>
      </c>
      <c r="D55" s="26" t="s">
        <v>438</v>
      </c>
      <c r="E55" s="26" t="s">
        <v>439</v>
      </c>
      <c r="F55" s="28">
        <v>349</v>
      </c>
      <c r="G55" s="29">
        <f>IF(OR($F55="",$M55=""),"",ROUND($F55*INDEX(KURALLAR!$B$13:$B$18,MATCH($M55,KURALLAR!$A$13:$A$18,0))*INDEX(KURALLAR!$B$6:$B$9,MATCH($L55,KURALLAR!$A$6:$A$9,0)),2))</f>
        <v>349</v>
      </c>
      <c r="H55" s="29">
        <f t="shared" si="1"/>
        <v>8376</v>
      </c>
      <c r="I55" s="26">
        <v>24</v>
      </c>
      <c r="J55" s="26" t="s">
        <v>266</v>
      </c>
      <c r="K55" s="26" t="s">
        <v>25</v>
      </c>
      <c r="L55" s="26" t="s">
        <v>6</v>
      </c>
      <c r="M55" s="26" t="s">
        <v>25</v>
      </c>
      <c r="N55" s="30" t="s">
        <v>267</v>
      </c>
      <c r="O55" s="31" t="s">
        <v>440</v>
      </c>
    </row>
    <row r="56" spans="1:15" ht="15" hidden="1" customHeight="1" x14ac:dyDescent="0.25">
      <c r="A56" s="26">
        <v>154</v>
      </c>
      <c r="B56" s="27" t="str">
        <f>E2</f>
        <v>ЩИТ EMDP1 — Freedom Lounge (TAV-FR-E-EAP-009-R000, схема 05.08.2026)</v>
      </c>
      <c r="C56" s="26" t="s">
        <v>421</v>
      </c>
      <c r="D56" s="26" t="s">
        <v>441</v>
      </c>
      <c r="E56" s="26" t="s">
        <v>442</v>
      </c>
      <c r="F56" s="28">
        <v>154</v>
      </c>
      <c r="G56" s="29">
        <f>IF(OR($F56="",$M56=""),"",ROUND($F56*INDEX(KURALLAR!$B$13:$B$18,MATCH($M56,KURALLAR!$A$13:$A$18,0))*INDEX(KURALLAR!$B$6:$B$9,MATCH($L56,KURALLAR!$A$6:$A$9,0)),2))</f>
        <v>154</v>
      </c>
      <c r="H56" s="29">
        <f t="shared" si="1"/>
        <v>1848</v>
      </c>
      <c r="I56" s="26">
        <v>12</v>
      </c>
      <c r="J56" s="26" t="s">
        <v>266</v>
      </c>
      <c r="K56" s="26" t="s">
        <v>25</v>
      </c>
      <c r="L56" s="26" t="s">
        <v>6</v>
      </c>
      <c r="M56" s="26" t="s">
        <v>25</v>
      </c>
      <c r="N56" s="30" t="s">
        <v>267</v>
      </c>
      <c r="O56" s="31" t="s">
        <v>443</v>
      </c>
    </row>
    <row r="57" spans="1:15" ht="15" hidden="1" customHeight="1" x14ac:dyDescent="0.25">
      <c r="A57" s="26">
        <v>155</v>
      </c>
      <c r="B57" s="27" t="str">
        <f>E2</f>
        <v>ЩИТ EMDP1 — Freedom Lounge (TAV-FR-E-EAP-009-R000, схема 05.08.2026)</v>
      </c>
      <c r="C57" s="26" t="s">
        <v>421</v>
      </c>
      <c r="D57" s="26" t="s">
        <v>444</v>
      </c>
      <c r="E57" s="26" t="s">
        <v>445</v>
      </c>
      <c r="F57" s="28">
        <v>486</v>
      </c>
      <c r="G57" s="29">
        <f>IF(OR($F57="",$M57=""),"",ROUND($F57*INDEX(KURALLAR!$B$13:$B$18,MATCH($M57,KURALLAR!$A$13:$A$18,0))*INDEX(KURALLAR!$B$6:$B$9,MATCH($L57,KURALLAR!$A$6:$A$9,0)),2))</f>
        <v>486</v>
      </c>
      <c r="H57" s="29">
        <f t="shared" si="1"/>
        <v>4860</v>
      </c>
      <c r="I57" s="26">
        <v>10</v>
      </c>
      <c r="J57" s="26" t="s">
        <v>266</v>
      </c>
      <c r="K57" s="26" t="s">
        <v>25</v>
      </c>
      <c r="L57" s="26" t="s">
        <v>6</v>
      </c>
      <c r="M57" s="26" t="s">
        <v>25</v>
      </c>
      <c r="N57" s="30" t="s">
        <v>267</v>
      </c>
      <c r="O57" s="31" t="s">
        <v>446</v>
      </c>
    </row>
    <row r="58" spans="1:15" ht="21.75" customHeight="1" x14ac:dyDescent="0.25">
      <c r="A58" s="26">
        <v>156</v>
      </c>
      <c r="B58" s="27" t="str">
        <f>E2</f>
        <v>ЩИТ EMDP1 — Freedom Lounge (TAV-FR-E-EAP-009-R000, схема 05.08.2026)</v>
      </c>
      <c r="C58" s="26" t="s">
        <v>447</v>
      </c>
      <c r="D58" s="26"/>
      <c r="E58" s="26" t="s">
        <v>448</v>
      </c>
      <c r="F58" s="34"/>
      <c r="G58" s="29" t="str">
        <f>IF(OR($F58="",$M58=""),"",ROUND($F58*INDEX(KURALLAR!$B$13:$B$18,MATCH($M58,KURALLAR!$A$13:$A$18,0))*INDEX(KURALLAR!$B$6:$B$9,MATCH($L58,KURALLAR!$A$6:$A$9,0)),2))</f>
        <v/>
      </c>
      <c r="H58" s="29" t="str">
        <f t="shared" si="1"/>
        <v/>
      </c>
      <c r="I58" s="26">
        <v>6</v>
      </c>
      <c r="J58" s="26" t="s">
        <v>449</v>
      </c>
      <c r="K58" s="26"/>
      <c r="L58" s="26" t="s">
        <v>6</v>
      </c>
      <c r="M58" s="26"/>
      <c r="N58" s="32" t="s">
        <v>272</v>
      </c>
      <c r="O58" s="31" t="s">
        <v>450</v>
      </c>
    </row>
    <row r="59" spans="1:15" ht="15" hidden="1" customHeight="1" x14ac:dyDescent="0.25">
      <c r="A59" s="26">
        <v>157</v>
      </c>
      <c r="B59" s="27" t="str">
        <f>$E$2</f>
        <v>ЩИТ EMDP1 — Freedom Lounge (TAV-FR-E-EAP-009-R000, схема 05.08.2026)</v>
      </c>
      <c r="C59" s="26" t="s">
        <v>451</v>
      </c>
      <c r="D59" s="34"/>
      <c r="E59" s="26" t="s">
        <v>452</v>
      </c>
      <c r="F59" s="34"/>
      <c r="G59" s="29">
        <f>ROUND(SUM($H$3:$H$58)*KURALLAR!$B$21,0)</f>
        <v>109967</v>
      </c>
      <c r="H59" s="29">
        <f>$G59*$I59</f>
        <v>109967</v>
      </c>
      <c r="I59" s="26">
        <v>1</v>
      </c>
      <c r="J59" s="26" t="s">
        <v>453</v>
      </c>
      <c r="K59" s="26" t="s">
        <v>261</v>
      </c>
      <c r="L59" s="34"/>
      <c r="M59" s="34"/>
      <c r="N59" s="30" t="s">
        <v>267</v>
      </c>
      <c r="O59" s="31" t="s">
        <v>454</v>
      </c>
    </row>
    <row r="60" spans="1:15" ht="21.75" hidden="1" customHeight="1" x14ac:dyDescent="0.25">
      <c r="A60" s="26">
        <v>158</v>
      </c>
      <c r="B60" s="27" t="str">
        <f>$E$2</f>
        <v>ЩИТ EMDP1 — Freedom Lounge (TAV-FR-E-EAP-009-R000, схема 05.08.2026)</v>
      </c>
      <c r="C60" s="26" t="s">
        <v>455</v>
      </c>
      <c r="D60" s="34"/>
      <c r="E60" s="26" t="s">
        <v>456</v>
      </c>
      <c r="F60" s="36">
        <f>ROUND($I60/60,1)</f>
        <v>85</v>
      </c>
      <c r="G60" s="29">
        <f>KURALLAR!$B$22</f>
        <v>100</v>
      </c>
      <c r="H60" s="29">
        <f>$G60*$I60</f>
        <v>509800</v>
      </c>
      <c r="I60" s="26">
        <f>KURALLAR!$E$54</f>
        <v>5098</v>
      </c>
      <c r="J60" s="26" t="s">
        <v>457</v>
      </c>
      <c r="K60" s="26" t="s">
        <v>261</v>
      </c>
      <c r="L60" s="34"/>
      <c r="M60" s="34"/>
      <c r="N60" s="30" t="s">
        <v>267</v>
      </c>
      <c r="O60" s="31" t="s">
        <v>458</v>
      </c>
    </row>
    <row r="61" spans="1:15" ht="15" hidden="1" customHeight="1" x14ac:dyDescent="0.25">
      <c r="A61" s="37"/>
      <c r="B61" s="38" t="s">
        <v>459</v>
      </c>
      <c r="C61" s="39"/>
      <c r="D61" s="39"/>
      <c r="E61" s="39"/>
      <c r="F61" s="39"/>
      <c r="G61" s="39"/>
      <c r="H61" s="40">
        <f>SUBTOTAL(9,$H$3:$H$60)</f>
        <v>1537381.6099999996</v>
      </c>
      <c r="I61" s="38">
        <v>1</v>
      </c>
      <c r="J61" s="38" t="s">
        <v>453</v>
      </c>
      <c r="K61" s="39"/>
      <c r="L61" s="39"/>
      <c r="M61" s="39"/>
      <c r="N61" s="39"/>
      <c r="O61" s="39"/>
    </row>
    <row r="62" spans="1:15" ht="15" hidden="1" customHeight="1" x14ac:dyDescent="0.25">
      <c r="A62" s="26">
        <v>2</v>
      </c>
      <c r="B62" s="41" t="s">
        <v>460</v>
      </c>
      <c r="C62" s="34"/>
      <c r="D62" s="34"/>
      <c r="E62" s="42" t="s">
        <v>460</v>
      </c>
      <c r="F62" s="34"/>
      <c r="G62" s="34"/>
      <c r="H62" s="34"/>
      <c r="I62" s="42">
        <v>1</v>
      </c>
      <c r="J62" s="26" t="s">
        <v>260</v>
      </c>
      <c r="K62" s="26" t="s">
        <v>261</v>
      </c>
      <c r="L62" s="34"/>
      <c r="M62" s="34"/>
      <c r="N62" s="26" t="s">
        <v>101</v>
      </c>
      <c r="O62" s="30" t="s">
        <v>262</v>
      </c>
    </row>
    <row r="63" spans="1:15" ht="21.75" customHeight="1" x14ac:dyDescent="0.25">
      <c r="A63" s="26">
        <v>201</v>
      </c>
      <c r="B63" s="27" t="str">
        <f>E62</f>
        <v>ЩИТ UMDP1 — Freedom Lounge (ИБП 6 kVA)</v>
      </c>
      <c r="C63" s="26" t="s">
        <v>263</v>
      </c>
      <c r="D63" s="26" t="s">
        <v>461</v>
      </c>
      <c r="E63" s="26" t="s">
        <v>462</v>
      </c>
      <c r="F63" s="28">
        <v>30954</v>
      </c>
      <c r="G63" s="29">
        <f>IF(OR($F63="",$M63=""),"",ROUND($F63*INDEX(KURALLAR!$B$13:$B$18,MATCH($M63,KURALLAR!$A$13:$A$18,0))*INDEX(KURALLAR!$B$6:$B$9,MATCH($L63,KURALLAR!$A$6:$A$9,0)),2))</f>
        <v>30954</v>
      </c>
      <c r="H63" s="29">
        <f t="shared" ref="H63:H78" si="2">IF($G63="","",$G63*$I63)</f>
        <v>30954</v>
      </c>
      <c r="I63" s="26">
        <v>1</v>
      </c>
      <c r="J63" s="26" t="s">
        <v>266</v>
      </c>
      <c r="K63" s="26" t="s">
        <v>25</v>
      </c>
      <c r="L63" s="26" t="s">
        <v>6</v>
      </c>
      <c r="M63" s="26" t="s">
        <v>25</v>
      </c>
      <c r="N63" s="32" t="s">
        <v>272</v>
      </c>
      <c r="O63" s="31" t="s">
        <v>463</v>
      </c>
    </row>
    <row r="64" spans="1:15" ht="15" hidden="1" customHeight="1" x14ac:dyDescent="0.25">
      <c r="A64" s="26">
        <v>202</v>
      </c>
      <c r="B64" s="27" t="str">
        <f>E62</f>
        <v>ЩИТ UMDP1 — Freedom Lounge (ИБП 6 kVA)</v>
      </c>
      <c r="C64" s="26" t="s">
        <v>287</v>
      </c>
      <c r="D64" s="26" t="s">
        <v>348</v>
      </c>
      <c r="E64" s="26" t="s">
        <v>464</v>
      </c>
      <c r="F64" s="28">
        <v>49.01</v>
      </c>
      <c r="G64" s="29">
        <f>IF(OR($F64="",$M64=""),"",ROUND($F64*INDEX(KURALLAR!$B$13:$B$18,MATCH($M64,KURALLAR!$A$13:$A$18,0))*INDEX(KURALLAR!$B$6:$B$9,MATCH($L64,KURALLAR!$A$6:$A$9,0)),2))</f>
        <v>10718.49</v>
      </c>
      <c r="H64" s="29">
        <f t="shared" si="2"/>
        <v>10718.49</v>
      </c>
      <c r="I64" s="26">
        <v>1</v>
      </c>
      <c r="J64" s="26" t="s">
        <v>266</v>
      </c>
      <c r="K64" s="26" t="s">
        <v>19</v>
      </c>
      <c r="L64" s="26" t="s">
        <v>8</v>
      </c>
      <c r="M64" s="26" t="s">
        <v>19</v>
      </c>
      <c r="N64" s="30" t="s">
        <v>267</v>
      </c>
      <c r="O64" s="31"/>
    </row>
    <row r="65" spans="1:15" ht="15" hidden="1" customHeight="1" x14ac:dyDescent="0.25">
      <c r="A65" s="26">
        <v>203</v>
      </c>
      <c r="B65" s="27" t="str">
        <f>E62</f>
        <v>ЩИТ UMDP1 — Freedom Lounge (ИБП 6 kVA)</v>
      </c>
      <c r="C65" s="26" t="s">
        <v>287</v>
      </c>
      <c r="D65" s="26" t="s">
        <v>465</v>
      </c>
      <c r="E65" s="26" t="s">
        <v>466</v>
      </c>
      <c r="F65" s="28">
        <v>63.71</v>
      </c>
      <c r="G65" s="29">
        <f>IF(OR($F65="",$M65=""),"",ROUND($F65*INDEX(KURALLAR!$B$13:$B$18,MATCH($M65,KURALLAR!$A$13:$A$18,0))*INDEX(KURALLAR!$B$6:$B$9,MATCH($L65,KURALLAR!$A$6:$A$9,0)),2))</f>
        <v>13933.38</v>
      </c>
      <c r="H65" s="29">
        <f t="shared" si="2"/>
        <v>13933.38</v>
      </c>
      <c r="I65" s="26">
        <v>1</v>
      </c>
      <c r="J65" s="26" t="s">
        <v>266</v>
      </c>
      <c r="K65" s="26" t="s">
        <v>19</v>
      </c>
      <c r="L65" s="26" t="s">
        <v>8</v>
      </c>
      <c r="M65" s="26" t="s">
        <v>19</v>
      </c>
      <c r="N65" s="30" t="s">
        <v>267</v>
      </c>
      <c r="O65" s="31" t="s">
        <v>467</v>
      </c>
    </row>
    <row r="66" spans="1:15" ht="21.75" customHeight="1" x14ac:dyDescent="0.25">
      <c r="A66" s="26">
        <v>204</v>
      </c>
      <c r="B66" s="27" t="str">
        <f>E62</f>
        <v>ЩИТ UMDP1 — Freedom Lounge (ИБП 6 kVA)</v>
      </c>
      <c r="C66" s="26" t="s">
        <v>366</v>
      </c>
      <c r="D66" s="26" t="s">
        <v>468</v>
      </c>
      <c r="E66" s="26" t="s">
        <v>469</v>
      </c>
      <c r="F66" s="28">
        <v>192.9</v>
      </c>
      <c r="G66" s="29">
        <f>IF(OR($F66="",$M66=""),"",ROUND($F66*INDEX(KURALLAR!$B$13:$B$18,MATCH($M66,KURALLAR!$A$13:$A$18,0))*INDEX(KURALLAR!$B$6:$B$9,MATCH($L66,KURALLAR!$A$6:$A$9,0)),2))</f>
        <v>42187.23</v>
      </c>
      <c r="H66" s="29">
        <f t="shared" si="2"/>
        <v>42187.23</v>
      </c>
      <c r="I66" s="26">
        <v>1</v>
      </c>
      <c r="J66" s="26" t="s">
        <v>266</v>
      </c>
      <c r="K66" s="26" t="s">
        <v>19</v>
      </c>
      <c r="L66" s="26" t="s">
        <v>8</v>
      </c>
      <c r="M66" s="26" t="s">
        <v>19</v>
      </c>
      <c r="N66" s="32" t="s">
        <v>272</v>
      </c>
      <c r="O66" s="31" t="s">
        <v>470</v>
      </c>
    </row>
    <row r="67" spans="1:15" ht="15" hidden="1" customHeight="1" x14ac:dyDescent="0.25">
      <c r="A67" s="26">
        <v>205</v>
      </c>
      <c r="B67" s="27" t="str">
        <f>E62</f>
        <v>ЩИТ UMDP1 — Freedom Lounge (ИБП 6 kVA)</v>
      </c>
      <c r="C67" s="26" t="s">
        <v>287</v>
      </c>
      <c r="D67" s="26" t="s">
        <v>471</v>
      </c>
      <c r="E67" s="26" t="s">
        <v>472</v>
      </c>
      <c r="F67" s="28">
        <v>10.77</v>
      </c>
      <c r="G67" s="29">
        <f>IF(OR($F67="",$M67=""),"",ROUND($F67*INDEX(KURALLAR!$B$13:$B$18,MATCH($M67,KURALLAR!$A$13:$A$18,0))*INDEX(KURALLAR!$B$6:$B$9,MATCH($L67,KURALLAR!$A$6:$A$9,0)),2))</f>
        <v>2355.4</v>
      </c>
      <c r="H67" s="29">
        <f t="shared" si="2"/>
        <v>25909.4</v>
      </c>
      <c r="I67" s="26">
        <v>11</v>
      </c>
      <c r="J67" s="26" t="s">
        <v>266</v>
      </c>
      <c r="K67" s="26" t="s">
        <v>19</v>
      </c>
      <c r="L67" s="26" t="s">
        <v>8</v>
      </c>
      <c r="M67" s="26" t="s">
        <v>19</v>
      </c>
      <c r="N67" s="30" t="s">
        <v>267</v>
      </c>
      <c r="O67" s="31" t="s">
        <v>473</v>
      </c>
    </row>
    <row r="68" spans="1:15" ht="15" customHeight="1" x14ac:dyDescent="0.25">
      <c r="A68" s="26">
        <v>206</v>
      </c>
      <c r="B68" s="27" t="str">
        <f>E62</f>
        <v>ЩИТ UMDP1 — Freedom Lounge (ИБП 6 kVA)</v>
      </c>
      <c r="C68" s="26" t="s">
        <v>308</v>
      </c>
      <c r="D68" s="26" t="s">
        <v>312</v>
      </c>
      <c r="E68" s="26" t="s">
        <v>474</v>
      </c>
      <c r="F68" s="28">
        <v>129.19999999999999</v>
      </c>
      <c r="G68" s="29">
        <f>IF(OR($F68="",$M68=""),"",ROUND($F68*INDEX(KURALLAR!$B$13:$B$18,MATCH($M68,KURALLAR!$A$13:$A$18,0))*INDEX(KURALLAR!$B$6:$B$9,MATCH($L68,KURALLAR!$A$6:$A$9,0)),2))</f>
        <v>28256.04</v>
      </c>
      <c r="H68" s="29">
        <f t="shared" si="2"/>
        <v>310816.44</v>
      </c>
      <c r="I68" s="26">
        <v>11</v>
      </c>
      <c r="J68" s="26" t="s">
        <v>266</v>
      </c>
      <c r="K68" s="26" t="s">
        <v>19</v>
      </c>
      <c r="L68" s="26" t="s">
        <v>8</v>
      </c>
      <c r="M68" s="26" t="s">
        <v>19</v>
      </c>
      <c r="N68" s="32" t="s">
        <v>272</v>
      </c>
      <c r="O68" s="31" t="s">
        <v>475</v>
      </c>
    </row>
    <row r="69" spans="1:15" ht="21.75" customHeight="1" x14ac:dyDescent="0.25">
      <c r="A69" s="26">
        <v>207</v>
      </c>
      <c r="B69" s="27" t="str">
        <f>E62</f>
        <v>ЩИТ UMDP1 — Freedom Lounge (ИБП 6 kVA)</v>
      </c>
      <c r="C69" s="26" t="s">
        <v>287</v>
      </c>
      <c r="D69" s="26" t="s">
        <v>476</v>
      </c>
      <c r="E69" s="26" t="s">
        <v>477</v>
      </c>
      <c r="F69" s="28">
        <v>14.53</v>
      </c>
      <c r="G69" s="29">
        <f>IF(OR($F69="",$M69=""),"",ROUND($F69*INDEX(KURALLAR!$B$13:$B$18,MATCH($M69,KURALLAR!$A$13:$A$18,0))*INDEX(KURALLAR!$B$6:$B$9,MATCH($L69,KURALLAR!$A$6:$A$9,0)),2))</f>
        <v>3177.71</v>
      </c>
      <c r="H69" s="29">
        <f t="shared" si="2"/>
        <v>6355.42</v>
      </c>
      <c r="I69" s="26">
        <v>2</v>
      </c>
      <c r="J69" s="26" t="s">
        <v>266</v>
      </c>
      <c r="K69" s="26" t="s">
        <v>19</v>
      </c>
      <c r="L69" s="26" t="s">
        <v>8</v>
      </c>
      <c r="M69" s="26" t="s">
        <v>19</v>
      </c>
      <c r="N69" s="32" t="s">
        <v>272</v>
      </c>
      <c r="O69" s="31" t="s">
        <v>478</v>
      </c>
    </row>
    <row r="70" spans="1:15" ht="15" hidden="1" customHeight="1" x14ac:dyDescent="0.25">
      <c r="A70" s="26">
        <v>208</v>
      </c>
      <c r="B70" s="27" t="str">
        <f>E62</f>
        <v>ЩИТ UMDP1 — Freedom Lounge (ИБП 6 kVA)</v>
      </c>
      <c r="C70" s="26" t="s">
        <v>202</v>
      </c>
      <c r="D70" s="26" t="s">
        <v>479</v>
      </c>
      <c r="E70" s="26" t="s">
        <v>480</v>
      </c>
      <c r="F70" s="28">
        <v>212.1</v>
      </c>
      <c r="G70" s="29">
        <f>IF(OR($F70="",$M70=""),"",ROUND($F70*INDEX(KURALLAR!$B$13:$B$18,MATCH($M70,KURALLAR!$A$13:$A$18,0))*INDEX(KURALLAR!$B$6:$B$9,MATCH($L70,KURALLAR!$A$6:$A$9,0)),2))</f>
        <v>46386.27</v>
      </c>
      <c r="H70" s="29">
        <f t="shared" si="2"/>
        <v>46386.27</v>
      </c>
      <c r="I70" s="26">
        <v>1</v>
      </c>
      <c r="J70" s="26" t="s">
        <v>266</v>
      </c>
      <c r="K70" s="26" t="s">
        <v>19</v>
      </c>
      <c r="L70" s="26" t="s">
        <v>8</v>
      </c>
      <c r="M70" s="26" t="s">
        <v>19</v>
      </c>
      <c r="N70" s="30" t="s">
        <v>267</v>
      </c>
      <c r="O70" s="31" t="s">
        <v>481</v>
      </c>
    </row>
    <row r="71" spans="1:15" ht="21.75" customHeight="1" x14ac:dyDescent="0.25">
      <c r="A71" s="26">
        <v>209</v>
      </c>
      <c r="B71" s="27" t="str">
        <f>E62</f>
        <v>ЩИТ UMDP1 — Freedom Lounge (ИБП 6 kVA)</v>
      </c>
      <c r="C71" s="26" t="s">
        <v>378</v>
      </c>
      <c r="D71" s="26" t="s">
        <v>482</v>
      </c>
      <c r="E71" s="26" t="s">
        <v>483</v>
      </c>
      <c r="F71" s="28">
        <v>4600</v>
      </c>
      <c r="G71" s="29">
        <f>IF(OR($F71="",$M71=""),"",ROUND($F71*INDEX(KURALLAR!$B$13:$B$18,MATCH($M71,KURALLAR!$A$13:$A$18,0))*INDEX(KURALLAR!$B$6:$B$9,MATCH($L71,KURALLAR!$A$6:$A$9,0)),2))</f>
        <v>4600</v>
      </c>
      <c r="H71" s="29">
        <f t="shared" si="2"/>
        <v>4600</v>
      </c>
      <c r="I71" s="26">
        <v>1</v>
      </c>
      <c r="J71" s="26" t="s">
        <v>266</v>
      </c>
      <c r="K71" s="26" t="s">
        <v>29</v>
      </c>
      <c r="L71" s="26" t="s">
        <v>6</v>
      </c>
      <c r="M71" s="26" t="s">
        <v>29</v>
      </c>
      <c r="N71" s="32" t="s">
        <v>272</v>
      </c>
      <c r="O71" s="31" t="s">
        <v>484</v>
      </c>
    </row>
    <row r="72" spans="1:15" ht="21.75" customHeight="1" x14ac:dyDescent="0.25">
      <c r="A72" s="26">
        <v>210</v>
      </c>
      <c r="B72" s="27" t="str">
        <f>E62</f>
        <v>ЩИТ UMDP1 — Freedom Lounge (ИБП 6 kVA)</v>
      </c>
      <c r="C72" s="26" t="s">
        <v>382</v>
      </c>
      <c r="D72" s="26"/>
      <c r="E72" s="26" t="s">
        <v>485</v>
      </c>
      <c r="F72" s="34"/>
      <c r="G72" s="29" t="str">
        <f>IF(OR($F72="",$M72=""),"",ROUND($F72*INDEX(KURALLAR!$B$13:$B$18,MATCH($M72,KURALLAR!$A$13:$A$18,0))*INDEX(KURALLAR!$B$6:$B$9,MATCH($L72,KURALLAR!$A$6:$A$9,0)),2))</f>
        <v/>
      </c>
      <c r="H72" s="29" t="str">
        <f t="shared" si="2"/>
        <v/>
      </c>
      <c r="I72" s="26">
        <v>1</v>
      </c>
      <c r="J72" s="26" t="s">
        <v>266</v>
      </c>
      <c r="K72" s="26"/>
      <c r="L72" s="26" t="s">
        <v>6</v>
      </c>
      <c r="M72" s="26"/>
      <c r="N72" s="32" t="s">
        <v>272</v>
      </c>
      <c r="O72" s="31" t="s">
        <v>486</v>
      </c>
    </row>
    <row r="73" spans="1:15" ht="21.75" customHeight="1" x14ac:dyDescent="0.25">
      <c r="A73" s="26">
        <v>211</v>
      </c>
      <c r="B73" s="27" t="str">
        <f>E62</f>
        <v>ЩИТ UMDP1 — Freedom Lounge (ИБП 6 kVA)</v>
      </c>
      <c r="C73" s="26" t="s">
        <v>487</v>
      </c>
      <c r="D73" s="26"/>
      <c r="E73" s="26" t="s">
        <v>488</v>
      </c>
      <c r="F73" s="34"/>
      <c r="G73" s="29" t="str">
        <f>IF(OR($F73="",$M73=""),"",ROUND($F73*INDEX(KURALLAR!$B$13:$B$18,MATCH($M73,KURALLAR!$A$13:$A$18,0))*INDEX(KURALLAR!$B$6:$B$9,MATCH($L73,KURALLAR!$A$6:$A$9,0)),2))</f>
        <v/>
      </c>
      <c r="H73" s="29" t="str">
        <f t="shared" si="2"/>
        <v/>
      </c>
      <c r="I73" s="26">
        <v>1</v>
      </c>
      <c r="J73" s="26" t="s">
        <v>266</v>
      </c>
      <c r="K73" s="26"/>
      <c r="L73" s="26" t="s">
        <v>6</v>
      </c>
      <c r="M73" s="26"/>
      <c r="N73" s="32" t="s">
        <v>272</v>
      </c>
      <c r="O73" s="31" t="s">
        <v>489</v>
      </c>
    </row>
    <row r="74" spans="1:15" ht="15" hidden="1" customHeight="1" x14ac:dyDescent="0.25">
      <c r="A74" s="26">
        <v>212</v>
      </c>
      <c r="B74" s="27" t="str">
        <f>E62</f>
        <v>ЩИТ UMDP1 — Freedom Lounge (ИБП 6 kVA)</v>
      </c>
      <c r="C74" s="26" t="s">
        <v>411</v>
      </c>
      <c r="D74" s="26" t="s">
        <v>490</v>
      </c>
      <c r="E74" s="26" t="s">
        <v>491</v>
      </c>
      <c r="F74" s="28">
        <v>869</v>
      </c>
      <c r="G74" s="29">
        <f>IF(OR($F74="",$M74=""),"",ROUND($F74*INDEX(KURALLAR!$B$13:$B$18,MATCH($M74,KURALLAR!$A$13:$A$18,0))*INDEX(KURALLAR!$B$6:$B$9,MATCH($L74,KURALLAR!$A$6:$A$9,0)),2))</f>
        <v>521.4</v>
      </c>
      <c r="H74" s="29">
        <f t="shared" si="2"/>
        <v>2085.6</v>
      </c>
      <c r="I74" s="26">
        <v>4</v>
      </c>
      <c r="J74" s="26" t="s">
        <v>266</v>
      </c>
      <c r="K74" s="26" t="s">
        <v>23</v>
      </c>
      <c r="L74" s="26" t="s">
        <v>6</v>
      </c>
      <c r="M74" s="26" t="s">
        <v>23</v>
      </c>
      <c r="N74" s="30" t="s">
        <v>267</v>
      </c>
      <c r="O74" s="31"/>
    </row>
    <row r="75" spans="1:15" ht="15" hidden="1" customHeight="1" x14ac:dyDescent="0.25">
      <c r="A75" s="26">
        <v>213</v>
      </c>
      <c r="B75" s="27" t="str">
        <f>E62</f>
        <v>ЩИТ UMDP1 — Freedom Lounge (ИБП 6 kVA)</v>
      </c>
      <c r="C75" s="26" t="s">
        <v>415</v>
      </c>
      <c r="D75" s="26" t="s">
        <v>419</v>
      </c>
      <c r="E75" s="26" t="s">
        <v>420</v>
      </c>
      <c r="F75" s="28">
        <v>1808</v>
      </c>
      <c r="G75" s="29">
        <f>IF(OR($F75="",$M75=""),"",ROUND($F75*INDEX(KURALLAR!$B$13:$B$18,MATCH($M75,KURALLAR!$A$13:$A$18,0))*INDEX(KURALLAR!$B$6:$B$9,MATCH($L75,KURALLAR!$A$6:$A$9,0)),2))</f>
        <v>1808</v>
      </c>
      <c r="H75" s="29">
        <f t="shared" si="2"/>
        <v>7232</v>
      </c>
      <c r="I75" s="26">
        <v>4</v>
      </c>
      <c r="J75" s="26" t="s">
        <v>266</v>
      </c>
      <c r="K75" s="26" t="s">
        <v>25</v>
      </c>
      <c r="L75" s="26" t="s">
        <v>6</v>
      </c>
      <c r="M75" s="26" t="s">
        <v>25</v>
      </c>
      <c r="N75" s="30" t="s">
        <v>267</v>
      </c>
      <c r="O75" s="31"/>
    </row>
    <row r="76" spans="1:15" ht="15" hidden="1" customHeight="1" x14ac:dyDescent="0.25">
      <c r="A76" s="26">
        <v>214</v>
      </c>
      <c r="B76" s="27" t="str">
        <f>E62</f>
        <v>ЩИТ UMDP1 — Freedom Lounge (ИБП 6 kVA)</v>
      </c>
      <c r="C76" s="26" t="s">
        <v>421</v>
      </c>
      <c r="D76" s="26" t="s">
        <v>492</v>
      </c>
      <c r="E76" s="26" t="s">
        <v>493</v>
      </c>
      <c r="F76" s="28">
        <v>1366</v>
      </c>
      <c r="G76" s="29">
        <f>IF(OR($F76="",$M76=""),"",ROUND($F76*INDEX(KURALLAR!$B$13:$B$18,MATCH($M76,KURALLAR!$A$13:$A$18,0))*INDEX(KURALLAR!$B$6:$B$9,MATCH($L76,KURALLAR!$A$6:$A$9,0)),2))</f>
        <v>1366</v>
      </c>
      <c r="H76" s="29">
        <f t="shared" si="2"/>
        <v>4098</v>
      </c>
      <c r="I76" s="26">
        <v>3</v>
      </c>
      <c r="J76" s="26" t="s">
        <v>266</v>
      </c>
      <c r="K76" s="26" t="s">
        <v>25</v>
      </c>
      <c r="L76" s="26" t="s">
        <v>6</v>
      </c>
      <c r="M76" s="26" t="s">
        <v>25</v>
      </c>
      <c r="N76" s="30" t="s">
        <v>267</v>
      </c>
      <c r="O76" s="31" t="s">
        <v>494</v>
      </c>
    </row>
    <row r="77" spans="1:15" ht="15" hidden="1" customHeight="1" x14ac:dyDescent="0.25">
      <c r="A77" s="26">
        <v>215</v>
      </c>
      <c r="B77" s="27" t="str">
        <f>E62</f>
        <v>ЩИТ UMDP1 — Freedom Lounge (ИБП 6 kVA)</v>
      </c>
      <c r="C77" s="26" t="s">
        <v>421</v>
      </c>
      <c r="D77" s="26" t="s">
        <v>432</v>
      </c>
      <c r="E77" s="26" t="s">
        <v>433</v>
      </c>
      <c r="F77" s="28">
        <v>93</v>
      </c>
      <c r="G77" s="29">
        <f>IF(OR($F77="",$M77=""),"",ROUND($F77*INDEX(KURALLAR!$B$13:$B$18,MATCH($M77,KURALLAR!$A$13:$A$18,0))*INDEX(KURALLAR!$B$6:$B$9,MATCH($L77,KURALLAR!$A$6:$A$9,0)),2))</f>
        <v>93</v>
      </c>
      <c r="H77" s="29">
        <f t="shared" si="2"/>
        <v>3720</v>
      </c>
      <c r="I77" s="26">
        <v>40</v>
      </c>
      <c r="J77" s="26" t="s">
        <v>266</v>
      </c>
      <c r="K77" s="26" t="s">
        <v>25</v>
      </c>
      <c r="L77" s="26" t="s">
        <v>6</v>
      </c>
      <c r="M77" s="26" t="s">
        <v>25</v>
      </c>
      <c r="N77" s="30" t="s">
        <v>267</v>
      </c>
      <c r="O77" s="31" t="s">
        <v>495</v>
      </c>
    </row>
    <row r="78" spans="1:15" ht="15" hidden="1" customHeight="1" x14ac:dyDescent="0.25">
      <c r="A78" s="26">
        <v>216</v>
      </c>
      <c r="B78" s="27" t="str">
        <f>E62</f>
        <v>ЩИТ UMDP1 — Freedom Lounge (ИБП 6 kVA)</v>
      </c>
      <c r="C78" s="26" t="s">
        <v>421</v>
      </c>
      <c r="D78" s="26" t="s">
        <v>435</v>
      </c>
      <c r="E78" s="26" t="s">
        <v>436</v>
      </c>
      <c r="F78" s="28">
        <v>111</v>
      </c>
      <c r="G78" s="29">
        <f>IF(OR($F78="",$M78=""),"",ROUND($F78*INDEX(KURALLAR!$B$13:$B$18,MATCH($M78,KURALLAR!$A$13:$A$18,0))*INDEX(KURALLAR!$B$6:$B$9,MATCH($L78,KURALLAR!$A$6:$A$9,0)),2))</f>
        <v>111</v>
      </c>
      <c r="H78" s="29">
        <f t="shared" si="2"/>
        <v>2220</v>
      </c>
      <c r="I78" s="26">
        <v>20</v>
      </c>
      <c r="J78" s="26" t="s">
        <v>266</v>
      </c>
      <c r="K78" s="26" t="s">
        <v>25</v>
      </c>
      <c r="L78" s="26" t="s">
        <v>6</v>
      </c>
      <c r="M78" s="26" t="s">
        <v>25</v>
      </c>
      <c r="N78" s="30" t="s">
        <v>267</v>
      </c>
      <c r="O78" s="31" t="s">
        <v>496</v>
      </c>
    </row>
    <row r="79" spans="1:15" ht="15" hidden="1" customHeight="1" x14ac:dyDescent="0.25">
      <c r="A79" s="26">
        <v>217</v>
      </c>
      <c r="B79" s="27" t="str">
        <f>$E$62</f>
        <v>ЩИТ UMDP1 — Freedom Lounge (ИБП 6 kVA)</v>
      </c>
      <c r="C79" s="26" t="s">
        <v>451</v>
      </c>
      <c r="D79" s="34"/>
      <c r="E79" s="26" t="s">
        <v>452</v>
      </c>
      <c r="F79" s="34"/>
      <c r="G79" s="29">
        <f>ROUND(SUM($H$63:$H$78)*KURALLAR!$B$21,0)</f>
        <v>15336</v>
      </c>
      <c r="H79" s="29">
        <f>$G79*$I79</f>
        <v>15336</v>
      </c>
      <c r="I79" s="26">
        <v>1</v>
      </c>
      <c r="J79" s="26" t="s">
        <v>453</v>
      </c>
      <c r="K79" s="26" t="s">
        <v>261</v>
      </c>
      <c r="L79" s="34"/>
      <c r="M79" s="34"/>
      <c r="N79" s="30" t="s">
        <v>267</v>
      </c>
      <c r="O79" s="31" t="s">
        <v>454</v>
      </c>
    </row>
    <row r="80" spans="1:15" ht="21.75" hidden="1" customHeight="1" x14ac:dyDescent="0.25">
      <c r="A80" s="26">
        <v>218</v>
      </c>
      <c r="B80" s="27" t="str">
        <f>$E$62</f>
        <v>ЩИТ UMDP1 — Freedom Lounge (ИБП 6 kVA)</v>
      </c>
      <c r="C80" s="26" t="s">
        <v>455</v>
      </c>
      <c r="D80" s="34"/>
      <c r="E80" s="26" t="s">
        <v>456</v>
      </c>
      <c r="F80" s="36">
        <f>ROUND($I80/60,1)</f>
        <v>15.5</v>
      </c>
      <c r="G80" s="29">
        <f>KURALLAR!$B$22</f>
        <v>100</v>
      </c>
      <c r="H80" s="29">
        <f>$G80*$I80</f>
        <v>92800</v>
      </c>
      <c r="I80" s="26">
        <f>KURALLAR!$F$54</f>
        <v>928</v>
      </c>
      <c r="J80" s="26" t="s">
        <v>457</v>
      </c>
      <c r="K80" s="26" t="s">
        <v>261</v>
      </c>
      <c r="L80" s="34"/>
      <c r="M80" s="34"/>
      <c r="N80" s="30" t="s">
        <v>267</v>
      </c>
      <c r="O80" s="31" t="s">
        <v>458</v>
      </c>
    </row>
    <row r="81" spans="1:15" ht="15" hidden="1" customHeight="1" x14ac:dyDescent="0.25">
      <c r="A81" s="37"/>
      <c r="B81" s="38" t="s">
        <v>497</v>
      </c>
      <c r="C81" s="39"/>
      <c r="D81" s="39"/>
      <c r="E81" s="39"/>
      <c r="F81" s="39"/>
      <c r="G81" s="39"/>
      <c r="H81" s="40">
        <f>SUBTOTAL(9,$H$63:$H$80)</f>
        <v>394913.09</v>
      </c>
      <c r="I81" s="38">
        <v>1</v>
      </c>
      <c r="J81" s="38" t="s">
        <v>453</v>
      </c>
      <c r="K81" s="39"/>
      <c r="L81" s="39"/>
      <c r="M81" s="39"/>
      <c r="N81" s="39"/>
      <c r="O81" s="39"/>
    </row>
    <row r="82" spans="1:15" ht="15" hidden="1" customHeight="1" x14ac:dyDescent="0.25">
      <c r="A82" s="43"/>
      <c r="B82" s="44" t="s">
        <v>498</v>
      </c>
      <c r="C82" s="43"/>
      <c r="D82" s="43"/>
      <c r="E82" s="43"/>
      <c r="F82" s="43"/>
      <c r="G82" s="43"/>
      <c r="H82" s="45">
        <f>$H$61*$I$61+$H$81*$I$81</f>
        <v>1932294.6999999997</v>
      </c>
      <c r="I82" s="43"/>
      <c r="J82" s="43"/>
      <c r="K82" s="43"/>
      <c r="L82" s="43"/>
      <c r="M82" s="43"/>
      <c r="N82" s="43"/>
      <c r="O82" s="43"/>
    </row>
  </sheetData>
  <autoFilter ref="A1:O82" xr:uid="{00000000-0001-0000-0100-000000000000}">
    <filterColumn colId="13">
      <filters>
        <filter val="KONTROL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/>
  </sheetViews>
  <sheetFormatPr defaultColWidth="8.7109375" defaultRowHeight="15" x14ac:dyDescent="0.25"/>
  <cols>
    <col min="1" max="1" width="6" customWidth="1"/>
    <col min="2" max="2" width="66" customWidth="1"/>
    <col min="3" max="3" width="14" customWidth="1"/>
    <col min="4" max="5" width="20" customWidth="1"/>
  </cols>
  <sheetData>
    <row r="1" spans="1:5" ht="15.75" customHeight="1" x14ac:dyDescent="0.25">
      <c r="A1" s="1" t="s">
        <v>499</v>
      </c>
    </row>
    <row r="2" spans="1:5" ht="15" customHeight="1" x14ac:dyDescent="0.25">
      <c r="A2" s="7" t="s">
        <v>500</v>
      </c>
    </row>
    <row r="4" spans="1:5" ht="15" customHeight="1" x14ac:dyDescent="0.25">
      <c r="A4" s="4" t="s">
        <v>244</v>
      </c>
      <c r="B4" s="4" t="s">
        <v>501</v>
      </c>
      <c r="C4" s="4" t="s">
        <v>502</v>
      </c>
      <c r="D4" s="4" t="s">
        <v>503</v>
      </c>
      <c r="E4" s="4" t="s">
        <v>251</v>
      </c>
    </row>
    <row r="5" spans="1:5" ht="15" customHeight="1" x14ac:dyDescent="0.25">
      <c r="A5" s="5">
        <v>1</v>
      </c>
      <c r="B5" s="5" t="s">
        <v>259</v>
      </c>
      <c r="C5" s="5">
        <v>1</v>
      </c>
      <c r="D5" s="18">
        <f>BOM!$H$61</f>
        <v>1537381.6099999996</v>
      </c>
      <c r="E5" s="18">
        <f>$C5*$D5</f>
        <v>1537381.6099999996</v>
      </c>
    </row>
    <row r="6" spans="1:5" ht="15" customHeight="1" x14ac:dyDescent="0.25">
      <c r="A6" s="5">
        <v>2</v>
      </c>
      <c r="B6" s="5" t="s">
        <v>460</v>
      </c>
      <c r="C6" s="5">
        <v>1</v>
      </c>
      <c r="D6" s="18">
        <f>BOM!$H$81</f>
        <v>394913.09</v>
      </c>
      <c r="E6" s="18">
        <f>$C6*$D6</f>
        <v>394913.09</v>
      </c>
    </row>
    <row r="7" spans="1:5" ht="15" customHeight="1" x14ac:dyDescent="0.25">
      <c r="B7" s="3" t="s">
        <v>504</v>
      </c>
      <c r="E7" s="19">
        <f>SUM($E$5:$E$6)</f>
        <v>1932294.6999999997</v>
      </c>
    </row>
    <row r="9" spans="1:5" ht="15" customHeight="1" x14ac:dyDescent="0.25">
      <c r="A9" s="7" t="s">
        <v>505</v>
      </c>
    </row>
    <row r="10" spans="1:5" ht="15" customHeight="1" x14ac:dyDescent="0.25">
      <c r="A10" s="7" t="s">
        <v>506</v>
      </c>
    </row>
    <row r="11" spans="1:5" ht="15" customHeight="1" x14ac:dyDescent="0.25">
      <c r="A11" s="7" t="s">
        <v>507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KURALLAR</vt:lpstr>
      <vt:lpstr>BOM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2026-08-13T12:13:42Z</dcterms:created>
  <dcterms:modified xsi:type="dcterms:W3CDTF">2026-08-13T14:32:41Z</dcterms:modified>
  <dc:language>en-US</dc:language>
</cp:coreProperties>
</file>