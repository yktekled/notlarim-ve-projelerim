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17 germes aeroport freedom\260813 freedom yeni proje4\"/>
    </mc:Choice>
  </mc:AlternateContent>
  <xr:revisionPtr revIDLastSave="0" documentId="13_ncr:1_{E7B6D6D6-FA92-460A-80F2-621FE463F0B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 calismasi burda" sheetId="1" r:id="rId1"/>
  </sheets>
  <definedNames>
    <definedName name="_xlnm._FilterDatabase" localSheetId="0" hidden="1">'fiyat calismasi burda'!$A$1:$K$60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6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M60" i="1" l="1"/>
  <c r="M59" i="1"/>
  <c r="M58" i="1"/>
  <c r="F58" i="1" s="1"/>
  <c r="G58" i="1" s="1"/>
  <c r="M57" i="1"/>
  <c r="F57" i="1" s="1"/>
  <c r="G57" i="1" s="1"/>
  <c r="M56" i="1"/>
  <c r="F56" i="1" s="1"/>
  <c r="G56" i="1" s="1"/>
  <c r="M55" i="1"/>
  <c r="M54" i="1"/>
  <c r="F54" i="1" s="1"/>
  <c r="G54" i="1" s="1"/>
  <c r="H54" i="1" s="1"/>
  <c r="M53" i="1"/>
  <c r="M52" i="1"/>
  <c r="F52" i="1" s="1"/>
  <c r="G52" i="1" s="1"/>
  <c r="M51" i="1"/>
  <c r="F51" i="1" s="1"/>
  <c r="G51" i="1" s="1"/>
  <c r="H51" i="1" s="1"/>
  <c r="M50" i="1"/>
  <c r="M48" i="1"/>
  <c r="M47" i="1"/>
  <c r="M46" i="1"/>
  <c r="M45" i="1"/>
  <c r="M44" i="1"/>
  <c r="M43" i="1"/>
  <c r="M42" i="1"/>
  <c r="M35" i="1"/>
  <c r="F35" i="1" s="1"/>
  <c r="G35" i="1" s="1"/>
  <c r="H35" i="1" s="1"/>
  <c r="M34" i="1"/>
  <c r="F34" i="1" s="1"/>
  <c r="G34" i="1" s="1"/>
  <c r="H34" i="1" s="1"/>
  <c r="M33" i="1"/>
  <c r="F33" i="1" s="1"/>
  <c r="G33" i="1" s="1"/>
  <c r="H33" i="1" s="1"/>
  <c r="M32" i="1"/>
  <c r="F32" i="1" s="1"/>
  <c r="G32" i="1" s="1"/>
  <c r="H32" i="1" s="1"/>
  <c r="M31" i="1"/>
  <c r="F31" i="1" s="1"/>
  <c r="G31" i="1" s="1"/>
  <c r="H31" i="1" s="1"/>
  <c r="M30" i="1"/>
  <c r="F30" i="1" s="1"/>
  <c r="G30" i="1" s="1"/>
  <c r="M29" i="1"/>
  <c r="F29" i="1" s="1"/>
  <c r="G29" i="1" s="1"/>
  <c r="M28" i="1"/>
  <c r="F28" i="1" s="1"/>
  <c r="G28" i="1" s="1"/>
  <c r="M27" i="1"/>
  <c r="F27" i="1" s="1"/>
  <c r="G27" i="1" s="1"/>
  <c r="M26" i="1"/>
  <c r="F26" i="1" s="1"/>
  <c r="G26" i="1" s="1"/>
  <c r="M25" i="1"/>
  <c r="F25" i="1" s="1"/>
  <c r="G25" i="1" s="1"/>
  <c r="M24" i="1"/>
  <c r="F24" i="1" s="1"/>
  <c r="G24" i="1" s="1"/>
  <c r="M23" i="1"/>
  <c r="F23" i="1" s="1"/>
  <c r="G23" i="1" s="1"/>
  <c r="M22" i="1"/>
  <c r="F22" i="1" s="1"/>
  <c r="G22" i="1" s="1"/>
  <c r="M21" i="1"/>
  <c r="F21" i="1" s="1"/>
  <c r="G21" i="1" s="1"/>
  <c r="M20" i="1"/>
  <c r="F20" i="1" s="1"/>
  <c r="G20" i="1" s="1"/>
  <c r="M19" i="1"/>
  <c r="F19" i="1" s="1"/>
  <c r="G19" i="1" s="1"/>
  <c r="M18" i="1"/>
  <c r="F18" i="1" s="1"/>
  <c r="G18" i="1" s="1"/>
  <c r="M17" i="1"/>
  <c r="F17" i="1" s="1"/>
  <c r="G17" i="1" s="1"/>
  <c r="M16" i="1"/>
  <c r="F16" i="1" s="1"/>
  <c r="G16" i="1" s="1"/>
  <c r="M15" i="1"/>
  <c r="F15" i="1" s="1"/>
  <c r="G15" i="1" s="1"/>
  <c r="M14" i="1"/>
  <c r="F14" i="1" s="1"/>
  <c r="G14" i="1" s="1"/>
  <c r="M13" i="1"/>
  <c r="F13" i="1" s="1"/>
  <c r="G13" i="1" s="1"/>
  <c r="M12" i="1"/>
  <c r="M11" i="1"/>
  <c r="F11" i="1" s="1"/>
  <c r="G11" i="1" s="1"/>
  <c r="M10" i="1"/>
  <c r="M9" i="1"/>
  <c r="M8" i="1"/>
  <c r="F8" i="1" s="1"/>
  <c r="G8" i="1" s="1"/>
  <c r="M7" i="1"/>
  <c r="F7" i="1" s="1"/>
  <c r="G7" i="1" s="1"/>
  <c r="M6" i="1"/>
  <c r="F6" i="1" s="1"/>
  <c r="G6" i="1" s="1"/>
  <c r="M5" i="1"/>
  <c r="F5" i="1" s="1"/>
  <c r="G5" i="1" s="1"/>
  <c r="M4" i="1"/>
  <c r="F4" i="1" s="1"/>
  <c r="G4" i="1" s="1"/>
  <c r="M3" i="1"/>
  <c r="G3" i="1"/>
  <c r="I60" i="1"/>
  <c r="G60" i="1"/>
  <c r="H57" i="1"/>
  <c r="H56" i="1"/>
  <c r="G55" i="1"/>
  <c r="H55" i="1" s="1"/>
  <c r="H52" i="1"/>
  <c r="H58" i="1"/>
  <c r="G53" i="1"/>
  <c r="H53" i="1" s="1"/>
  <c r="G50" i="1"/>
  <c r="H50" i="1" s="1"/>
  <c r="B49" i="1"/>
  <c r="B50" i="1" s="1"/>
  <c r="B51" i="1" s="1"/>
  <c r="B52" i="1" s="1"/>
  <c r="H13" i="1"/>
  <c r="G46" i="1"/>
  <c r="H46" i="1" s="1"/>
  <c r="G45" i="1"/>
  <c r="H45" i="1" s="1"/>
  <c r="G44" i="1"/>
  <c r="H44" i="1" s="1"/>
  <c r="G43" i="1"/>
  <c r="H43" i="1" s="1"/>
  <c r="G42" i="1"/>
  <c r="H42" i="1" s="1"/>
  <c r="H60" i="1" l="1"/>
  <c r="F59" i="1" s="1"/>
  <c r="G59" i="1" s="1"/>
  <c r="H59" i="1" s="1"/>
  <c r="B53" i="1"/>
  <c r="B54" i="1" s="1"/>
  <c r="B55" i="1" s="1"/>
  <c r="B56" i="1" s="1"/>
  <c r="B57" i="1" s="1"/>
  <c r="B58" i="1" s="1"/>
  <c r="B59" i="1" s="1"/>
  <c r="B60" i="1" s="1"/>
  <c r="H24" i="1"/>
  <c r="H25" i="1"/>
  <c r="H23" i="1"/>
  <c r="H22" i="1"/>
  <c r="H21" i="1"/>
  <c r="H20" i="1"/>
  <c r="H19" i="1"/>
  <c r="H18" i="1"/>
  <c r="H17" i="1"/>
  <c r="H16" i="1"/>
  <c r="H15" i="1"/>
  <c r="H14" i="1" s="1"/>
  <c r="G12" i="1"/>
  <c r="H12" i="1" s="1"/>
  <c r="H11" i="1"/>
  <c r="G10" i="1"/>
  <c r="H10" i="1" s="1"/>
  <c r="G9" i="1"/>
  <c r="H9" i="1" s="1"/>
  <c r="H8" i="1"/>
  <c r="H7" i="1"/>
  <c r="H6" i="1"/>
  <c r="H5" i="1"/>
  <c r="H4" i="1"/>
  <c r="I48" i="1" l="1"/>
  <c r="H28" i="1" l="1"/>
  <c r="H29" i="1"/>
  <c r="H30" i="1"/>
  <c r="H27" i="1" l="1"/>
  <c r="H26" i="1"/>
  <c r="H3" i="1" l="1"/>
  <c r="G48" i="1"/>
  <c r="H48" i="1" s="1"/>
  <c r="F47" i="1" s="1"/>
  <c r="G47" i="1" s="1"/>
  <c r="H47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<sst xmlns="http://schemas.openxmlformats.org/spreadsheetml/2006/main" count="298" uniqueCount="130">
  <si>
    <t>malzeme</t>
  </si>
  <si>
    <t>Артикул</t>
  </si>
  <si>
    <t>Наименование</t>
  </si>
  <si>
    <t>Цена,тг</t>
  </si>
  <si>
    <t>Кол-во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</si>
  <si>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</si>
  <si>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</si>
  <si>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</si>
  <si>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</si>
  <si>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</si>
  <si>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</si>
  <si>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</si>
  <si>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</si>
  <si>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</si>
  <si>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719-15560</t>
  </si>
  <si>
    <t>PYS</t>
  </si>
  <si>
    <t>TMŞ</t>
  </si>
  <si>
    <t>DİF</t>
  </si>
  <si>
    <t>KONTAKTÖR</t>
  </si>
  <si>
    <t>BUŞON</t>
  </si>
  <si>
    <t>PRF</t>
  </si>
  <si>
    <t>YXGXD;1700x800x450  100mm Baza</t>
  </si>
  <si>
    <t>RD3</t>
  </si>
  <si>
    <t>TOROİD</t>
  </si>
  <si>
    <t>PARAFUDR</t>
  </si>
  <si>
    <t>ABB</t>
  </si>
  <si>
    <t>Kırmızı Sinyal Lambası</t>
  </si>
  <si>
    <t>Sarı Sinyal Lambası</t>
  </si>
  <si>
    <t>Yeşil Sinyal Lambası</t>
  </si>
  <si>
    <t xml:space="preserve">POWER SUPPLEY 12VDC 5 A
</t>
  </si>
  <si>
    <t>Güç kaynağı 30V DC 640 Ma</t>
  </si>
  <si>
    <t>TYFS130 (line/area coupler)KNX Secure hat ve alan kuplörüdür</t>
  </si>
  <si>
    <t>TYFS121</t>
  </si>
  <si>
    <t>Yönlendirici IP/KNX
TH210</t>
  </si>
  <si>
    <t>TXM620D 20 Kanallı</t>
  </si>
  <si>
    <t>1SDA068059R1</t>
  </si>
  <si>
    <t>XT3N 250, TMD, In=250A</t>
  </si>
  <si>
    <t>XT3N 250, TMD, In=200A</t>
  </si>
  <si>
    <t>1SDA068058R1</t>
  </si>
  <si>
    <t xml:space="preserve"> 1SDA066460R1</t>
  </si>
  <si>
    <t>MOTOR MOD motor 220...250 V AC/DC</t>
  </si>
  <si>
    <t xml:space="preserve"> 1SDA066325R1</t>
  </si>
  <si>
    <t>AÇTIRMA BOBİNİ SOR-C 220-240V AC/220-250V DC</t>
  </si>
  <si>
    <t>Aksusar</t>
  </si>
  <si>
    <t>2CSM142120R1201</t>
  </si>
  <si>
    <t>kkr</t>
  </si>
  <si>
    <t>2CSG110100R1211</t>
  </si>
  <si>
    <t>TOROİD TR4</t>
  </si>
  <si>
    <t>1SEP101890R0002</t>
  </si>
  <si>
    <t>Yük Ayırıcı</t>
  </si>
  <si>
    <t>YÜK AYIRICI XLP 00-6BC</t>
  </si>
  <si>
    <t>1SCA022627R1630</t>
  </si>
  <si>
    <t>BUŞON OFAF00H125</t>
  </si>
  <si>
    <t xml:space="preserve">SH 203-C 25 </t>
  </si>
  <si>
    <t>2CDS213001R0254</t>
  </si>
  <si>
    <t>OTO</t>
  </si>
  <si>
    <t>2CSR255080R1164</t>
  </si>
  <si>
    <t>DS201 C16 AC30</t>
  </si>
  <si>
    <t>2CDS211001R0105</t>
  </si>
  <si>
    <t>SH 201-B 10</t>
  </si>
  <si>
    <t>2CSF202004R1250</t>
  </si>
  <si>
    <t>FH202 AC-25/0.03</t>
  </si>
  <si>
    <t>KKR</t>
  </si>
  <si>
    <t>2CSR255080R1254</t>
  </si>
  <si>
    <t>DS201 C25 AC30</t>
  </si>
  <si>
    <t>2CSF204004R1250</t>
  </si>
  <si>
    <t>FH204 AC-25/0.03</t>
  </si>
  <si>
    <t>2CDS213001R0164</t>
  </si>
  <si>
    <t>SH 203-C 16</t>
  </si>
  <si>
    <t>PARAFUR</t>
  </si>
  <si>
    <t>TRİMBOX</t>
  </si>
  <si>
    <t>M1M 10</t>
  </si>
  <si>
    <t>1SYG235081R4051</t>
  </si>
  <si>
    <t>ENERJİ AN.</t>
  </si>
  <si>
    <t>MKŞ</t>
  </si>
  <si>
    <t>1SAM350000R1010</t>
  </si>
  <si>
    <t>1SAM350000R1011</t>
  </si>
  <si>
    <t>6 - 10 A  MS132-10</t>
  </si>
  <si>
    <t>9 - 13 A MS132-16</t>
  </si>
  <si>
    <t>1SAM350000R1004</t>
  </si>
  <si>
    <t>0,40 - 0,63 A MS132-0.63</t>
  </si>
  <si>
    <t xml:space="preserve"> 10 - 16 A MS132-16</t>
  </si>
  <si>
    <t>1SBL137001R1310</t>
  </si>
  <si>
    <t>AF09-30-10  9A KONTAKTÖR</t>
  </si>
  <si>
    <t>1SBL177001R1310</t>
  </si>
  <si>
    <t>MANDAL</t>
  </si>
  <si>
    <t>16A KONTAKTÖR AF16-30-10</t>
  </si>
  <si>
    <t xml:space="preserve"> 1SBL237001R1300</t>
  </si>
  <si>
    <t>AF26-30-00   25 A KONTAKTÖR</t>
  </si>
  <si>
    <t>1SFL527002R1311</t>
  </si>
  <si>
    <t>200 A KONTAKTÖR AF205-30-11</t>
  </si>
  <si>
    <t>1SFA619403R5231</t>
  </si>
  <si>
    <t>SİNYAL LAM</t>
  </si>
  <si>
    <t xml:space="preserve"> 1SFA619403R5233</t>
  </si>
  <si>
    <t>1SFA619403R5232</t>
  </si>
  <si>
    <t>Dağıtım Ünitesi</t>
  </si>
  <si>
    <t>LOOBAR</t>
  </si>
  <si>
    <t>1SFA619210R1026</t>
  </si>
  <si>
    <t xml:space="preserve">1-0-2  2NA, 3 konumlu Siyah C3SS1-10B-20 </t>
  </si>
  <si>
    <t>2CDS211103R0404</t>
  </si>
  <si>
    <t>2x40A SH 201-C 40 NA</t>
  </si>
  <si>
    <t>2,5 mm2 klemens</t>
  </si>
  <si>
    <t>4 mm2 klemens</t>
  </si>
  <si>
    <t>KLEMENS</t>
  </si>
  <si>
    <t>10 mm2 klemens</t>
  </si>
  <si>
    <t>70 mm2 klemens</t>
  </si>
  <si>
    <t>HAGER/OPTİMUS</t>
  </si>
  <si>
    <t xml:space="preserve">KNX </t>
  </si>
  <si>
    <t>GERMES EMDP1</t>
  </si>
  <si>
    <t>GERMES UMDP1</t>
  </si>
  <si>
    <t>2x40A TRANSFER</t>
  </si>
  <si>
    <t>40/5A Akım Trafosu</t>
  </si>
  <si>
    <t>2CDS251001R0024</t>
  </si>
  <si>
    <t>1x2A OTO S 201-C 2</t>
  </si>
  <si>
    <t>2CDS211001R0164</t>
  </si>
  <si>
    <t>SH 201-C 16</t>
  </si>
  <si>
    <t>YXGXD;2000x1000x600  100mm Baza</t>
  </si>
  <si>
    <t>kaztek</t>
  </si>
  <si>
    <t>Цена,тг1</t>
  </si>
  <si>
    <t>sira no</t>
  </si>
  <si>
    <t>saiman</t>
  </si>
  <si>
    <t>pys</t>
  </si>
  <si>
    <t>sayac</t>
  </si>
  <si>
    <t>atrafo</t>
  </si>
  <si>
    <t>abb euro fiyat</t>
  </si>
  <si>
    <t>abb euro indirimli fiyatlar</t>
  </si>
  <si>
    <t>IA</t>
  </si>
  <si>
    <t>ДАЛА СА4У-Э720 R TX OP П RS1 Д W  (3x220/380V 5-7,5A)</t>
  </si>
  <si>
    <t>270300132_</t>
  </si>
  <si>
    <t>Трансформатор тока ТТИ-А  250/5А  5ВА  класс 0,5  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</si>
</sst>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charset val="204"/>
    </font>
    <font>
      <b/>
      <sz val="16"/>
      <name val="Calibri"/>
      <family val="2"/>
      <charset val="204"/>
      <scheme val="minor"/>
    </font>
    <font>
      <b/>
      <sz val="16"/>
      <color theme="1"/>
      <name val="Calibri"/>
      <family val="2"/>
      <charset val="204"/>
    </font>
    <font>
      <b/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 applyProtection="1">
      <alignment horizontal="center" vertical="center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5" fontId="14" fillId="6" borderId="1" xfId="1" applyNumberFormat="1" applyFont="1" applyFill="1" applyBorder="1" applyAlignment="1" applyProtection="1">
      <alignment horizontal="center" vertical="center" wrapText="1"/>
    </xf>
    <xf numFmtId="165" fontId="12" fillId="6" borderId="1" xfId="1" applyNumberFormat="1" applyFont="1" applyFill="1" applyBorder="1" applyAlignment="1" applyProtection="1">
      <alignment horizontal="right" vertical="center"/>
    </xf>
    <xf numFmtId="166" fontId="12" fillId="6" borderId="1" xfId="1" applyNumberFormat="1" applyFont="1" applyFill="1" applyBorder="1" applyAlignment="1" applyProtection="1">
      <alignment horizontal="right" vertical="center" wrapText="1"/>
    </xf>
    <xf numFmtId="0" fontId="12" fillId="6" borderId="1" xfId="1" applyNumberFormat="1" applyFont="1" applyFill="1" applyBorder="1" applyAlignment="1" applyProtection="1">
      <alignment horizontal="center" vertical="center"/>
    </xf>
    <xf numFmtId="165" fontId="12" fillId="6" borderId="1" xfId="1" applyNumberFormat="1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2" fillId="4" borderId="1" xfId="1" applyNumberFormat="1" applyFont="1" applyFill="1" applyBorder="1" applyAlignment="1" applyProtection="1">
      <alignment horizontal="right" vertical="center"/>
    </xf>
    <xf numFmtId="166" fontId="12" fillId="4" borderId="1" xfId="1" applyNumberFormat="1" applyFont="1" applyFill="1" applyBorder="1" applyAlignment="1" applyProtection="1">
      <alignment horizontal="right" vertical="center" wrapText="1"/>
    </xf>
    <xf numFmtId="0" fontId="12" fillId="4" borderId="1" xfId="1" applyNumberFormat="1" applyFont="1" applyFill="1" applyBorder="1" applyAlignment="1" applyProtection="1">
      <alignment horizontal="center" vertical="center"/>
    </xf>
    <xf numFmtId="3" fontId="11" fillId="5" borderId="1" xfId="0" applyNumberFormat="1" applyFont="1" applyFill="1" applyBorder="1" applyAlignment="1">
      <alignment horizontal="right" vertical="center"/>
    </xf>
    <xf numFmtId="0" fontId="10" fillId="7" borderId="1" xfId="1" applyNumberFormat="1" applyFont="1" applyFill="1" applyBorder="1" applyAlignment="1" applyProtection="1">
      <alignment horizontal="center" vertical="center"/>
    </xf>
    <xf numFmtId="0" fontId="11" fillId="5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center" vertical="center" wrapText="1"/>
    </xf>
    <xf numFmtId="0" fontId="14" fillId="0" borderId="1" xfId="1" applyNumberFormat="1" applyFont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1" xfId="1" applyNumberFormat="1" applyFont="1" applyBorder="1" applyAlignment="1" applyProtection="1">
      <alignment horizontal="right" vertical="center"/>
    </xf>
    <xf numFmtId="166" fontId="12" fillId="0" borderId="1" xfId="1" applyNumberFormat="1" applyFont="1" applyBorder="1" applyAlignment="1" applyProtection="1">
      <alignment horizontal="right" vertical="center" wrapText="1"/>
    </xf>
    <xf numFmtId="0" fontId="12" fillId="0" borderId="1" xfId="1" applyNumberFormat="1" applyFont="1" applyBorder="1" applyAlignment="1" applyProtection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65" fontId="10" fillId="2" borderId="1" xfId="1" applyNumberFormat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776991-316F-4CBC-9B30-F97DCE35AB7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4515828-21ea-456e-ba55-95cc2c71cd4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9DA423C-8791-46F1-B3DD-8D6442B89C47}">
  <we:reference id="WA200006007" version="1.3.0.0" store="Omex" storeType="OMEX"/>
  <we:alternateReferences>
    <we:reference id="WA200006007" version="1.3.0.0" store="WA200006007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tabSelected="1" zoomScale="70" zoomScaleNormal="70" workbookViewId="0">
      <pane ySplit="1" topLeftCell="A20" activePane="bottomLeft" state="frozen"/>
      <selection pane="bottomLeft" activeCell="E25" sqref="E25"/>
    </sheetView>
  </sheetViews>
  <sheetFormatPr defaultColWidth="8.42578125" defaultRowHeight="21" x14ac:dyDescent="0.25"/>
  <cols>
    <col min="1" max="1" width="8.85546875" style="1" customWidth="1"/>
    <col min="2" max="2" width="38.140625" style="1" customWidth="1"/>
    <col min="3" max="3" width="17.28515625" style="1" customWidth="1"/>
    <col min="4" max="4" width="35.42578125" style="2" bestFit="1" customWidth="1"/>
    <col min="5" max="5" width="75.85546875" style="2" customWidth="1"/>
    <col min="6" max="6" width="18.28515625" style="8" customWidth="1"/>
    <col min="7" max="7" width="24.5703125" style="8" customWidth="1"/>
    <col min="8" max="8" width="24.7109375" style="1" customWidth="1"/>
    <col min="9" max="9" width="13" style="9" customWidth="1"/>
    <col min="10" max="10" width="23.140625" style="1" bestFit="1" customWidth="1"/>
    <col min="11" max="11" width="32.42578125" style="1" bestFit="1" customWidth="1"/>
    <col min="12" max="12" width="18.28515625" style="8" customWidth="1"/>
    <col min="13" max="13" width="24.5703125" style="8" customWidth="1"/>
    <col min="14" max="16384" width="8.42578125" style="1"/>
  </cols>
  <sheetData>
    <row r="1" spans="1:13" s="2" customFormat="1" ht="93" customHeight="1" x14ac:dyDescent="0.25">
      <c r="A1" s="3" t="s">
        <v>119</v>
      </c>
      <c r="B1" s="3" t="s">
        <v>2</v>
      </c>
      <c r="C1" s="3" t="s">
        <v>0</v>
      </c>
      <c r="D1" s="3" t="s">
        <v>1</v>
      </c>
      <c r="E1" s="3" t="s">
        <v>2</v>
      </c>
      <c r="F1" s="4" t="s">
        <v>118</v>
      </c>
      <c r="G1" s="4" t="s">
        <v>3</v>
      </c>
      <c r="H1" s="5" t="s">
        <v>7</v>
      </c>
      <c r="I1" s="6" t="s">
        <v>4</v>
      </c>
      <c r="J1" s="6" t="s">
        <v>5</v>
      </c>
      <c r="K1" s="6" t="s">
        <v>6</v>
      </c>
      <c r="L1" s="37" t="s">
        <v>124</v>
      </c>
      <c r="M1" s="37" t="s">
        <v>125</v>
      </c>
    </row>
    <row r="2" spans="1:13" s="2" customFormat="1" ht="39" customHeight="1" x14ac:dyDescent="0.25">
      <c r="A2" s="11"/>
      <c r="B2" s="13" t="str">
        <f>E2</f>
        <v>GERMES EMDP1</v>
      </c>
      <c r="C2" s="11"/>
      <c r="D2" s="14"/>
      <c r="E2" s="11" t="s">
        <v>108</v>
      </c>
      <c r="F2" s="15"/>
      <c r="G2" s="16"/>
      <c r="H2" s="16"/>
      <c r="I2" s="17">
        <v>1</v>
      </c>
      <c r="J2" s="18" t="s">
        <v>8</v>
      </c>
      <c r="K2" s="11" t="s">
        <v>10</v>
      </c>
      <c r="L2" s="15"/>
      <c r="M2" s="16"/>
    </row>
    <row r="3" spans="1:13" s="2" customFormat="1" ht="39" customHeight="1" x14ac:dyDescent="0.25">
      <c r="A3" s="19">
        <v>1</v>
      </c>
      <c r="B3" s="19" t="str">
        <f t="shared" ref="B3:B60" si="0">B2</f>
        <v>GERMES EMDP1</v>
      </c>
      <c r="C3" s="19" t="s">
        <v>9</v>
      </c>
      <c r="D3" s="20" t="s">
        <v>14</v>
      </c>
      <c r="E3" s="19" t="s">
        <v>116</v>
      </c>
      <c r="F3" s="21">
        <v>350000</v>
      </c>
      <c r="G3" s="22">
        <f>0.6*F3</f>
        <v>210000</v>
      </c>
      <c r="H3" s="22">
        <f t="shared" ref="H3:H28" si="1">G3*I3</f>
        <v>210000</v>
      </c>
      <c r="I3" s="23">
        <v>1</v>
      </c>
      <c r="J3" s="7" t="s">
        <v>13</v>
      </c>
      <c r="K3" s="12" t="s">
        <v>117</v>
      </c>
      <c r="L3" s="21"/>
      <c r="M3" s="22">
        <f>0.6*L3</f>
        <v>0</v>
      </c>
    </row>
    <row r="4" spans="1:13" s="2" customFormat="1" ht="39" customHeight="1" x14ac:dyDescent="0.25">
      <c r="A4" s="19">
        <v>2</v>
      </c>
      <c r="B4" s="19" t="str">
        <f t="shared" si="0"/>
        <v>GERMES EMDP1</v>
      </c>
      <c r="C4" s="29" t="s">
        <v>16</v>
      </c>
      <c r="D4" s="28" t="s">
        <v>35</v>
      </c>
      <c r="E4" s="29" t="s">
        <v>36</v>
      </c>
      <c r="F4" s="30">
        <f>M4*1.3*550</f>
        <v>76582.934999999998</v>
      </c>
      <c r="G4" s="31">
        <f>F4</f>
        <v>76582.934999999998</v>
      </c>
      <c r="H4" s="31">
        <f t="shared" ref="H4:H13" si="2">G4*I4</f>
        <v>76582.934999999998</v>
      </c>
      <c r="I4" s="32">
        <v>1</v>
      </c>
      <c r="J4" s="33" t="s">
        <v>13</v>
      </c>
      <c r="K4" s="34" t="s">
        <v>25</v>
      </c>
      <c r="L4" s="30">
        <v>396.7</v>
      </c>
      <c r="M4" s="31">
        <f>L4*0.27</f>
        <v>107.10900000000001</v>
      </c>
    </row>
    <row r="5" spans="1:13" s="2" customFormat="1" ht="39" customHeight="1" x14ac:dyDescent="0.25">
      <c r="A5" s="19">
        <v>3</v>
      </c>
      <c r="B5" s="19" t="str">
        <f t="shared" si="0"/>
        <v>GERMES EMDP1</v>
      </c>
      <c r="C5" s="29" t="s">
        <v>43</v>
      </c>
      <c r="D5" s="28" t="s">
        <v>39</v>
      </c>
      <c r="E5" s="29" t="s">
        <v>40</v>
      </c>
      <c r="F5" s="30">
        <f t="shared" ref="F5:F8" si="3">M5*1.3*550</f>
        <v>112606.06499999999</v>
      </c>
      <c r="G5" s="31">
        <f t="shared" ref="G5:G8" si="4">F5</f>
        <v>112606.06499999999</v>
      </c>
      <c r="H5" s="31">
        <f t="shared" si="2"/>
        <v>112606.06499999999</v>
      </c>
      <c r="I5" s="32">
        <v>1</v>
      </c>
      <c r="J5" s="33" t="s">
        <v>13</v>
      </c>
      <c r="K5" s="34" t="s">
        <v>25</v>
      </c>
      <c r="L5" s="30">
        <v>583.29999999999995</v>
      </c>
      <c r="M5" s="31">
        <f t="shared" ref="M5:M8" si="5">L5*0.27</f>
        <v>157.49099999999999</v>
      </c>
    </row>
    <row r="6" spans="1:13" s="2" customFormat="1" ht="49.5" customHeight="1" x14ac:dyDescent="0.25">
      <c r="A6" s="19">
        <v>4</v>
      </c>
      <c r="B6" s="19" t="str">
        <f t="shared" si="0"/>
        <v>GERMES EMDP1</v>
      </c>
      <c r="C6" s="29" t="s">
        <v>43</v>
      </c>
      <c r="D6" s="28" t="s">
        <v>41</v>
      </c>
      <c r="E6" s="29" t="s">
        <v>42</v>
      </c>
      <c r="F6" s="30">
        <f t="shared" si="3"/>
        <v>19198.822500000002</v>
      </c>
      <c r="G6" s="31">
        <f t="shared" si="4"/>
        <v>19198.822500000002</v>
      </c>
      <c r="H6" s="31">
        <f t="shared" si="2"/>
        <v>19198.822500000002</v>
      </c>
      <c r="I6" s="32">
        <v>1</v>
      </c>
      <c r="J6" s="33" t="s">
        <v>13</v>
      </c>
      <c r="K6" s="34" t="s">
        <v>25</v>
      </c>
      <c r="L6" s="30">
        <v>99.45</v>
      </c>
      <c r="M6" s="31">
        <f t="shared" si="5"/>
        <v>26.851500000000001</v>
      </c>
    </row>
    <row r="7" spans="1:13" ht="54.75" customHeight="1" x14ac:dyDescent="0.25">
      <c r="A7" s="19">
        <v>5</v>
      </c>
      <c r="B7" s="19" t="str">
        <f t="shared" si="0"/>
        <v>GERMES EMDP1</v>
      </c>
      <c r="C7" s="29" t="s">
        <v>45</v>
      </c>
      <c r="D7" s="29" t="s">
        <v>44</v>
      </c>
      <c r="E7" s="29" t="s">
        <v>22</v>
      </c>
      <c r="F7" s="30">
        <f t="shared" si="3"/>
        <v>74922.705000000016</v>
      </c>
      <c r="G7" s="31">
        <f t="shared" si="4"/>
        <v>74922.705000000016</v>
      </c>
      <c r="H7" s="31">
        <f t="shared" si="2"/>
        <v>74922.705000000016</v>
      </c>
      <c r="I7" s="32">
        <v>1</v>
      </c>
      <c r="J7" s="33" t="s">
        <v>13</v>
      </c>
      <c r="K7" s="34" t="s">
        <v>25</v>
      </c>
      <c r="L7" s="30">
        <v>388.1</v>
      </c>
      <c r="M7" s="31">
        <f t="shared" si="5"/>
        <v>104.78700000000001</v>
      </c>
    </row>
    <row r="8" spans="1:13" s="2" customFormat="1" ht="39" customHeight="1" x14ac:dyDescent="0.25">
      <c r="A8" s="19">
        <v>6</v>
      </c>
      <c r="B8" s="19" t="str">
        <f t="shared" si="0"/>
        <v>GERMES EMDP1</v>
      </c>
      <c r="C8" s="29" t="s">
        <v>23</v>
      </c>
      <c r="D8" s="28" t="s">
        <v>46</v>
      </c>
      <c r="E8" s="29" t="s">
        <v>47</v>
      </c>
      <c r="F8" s="30">
        <f t="shared" si="3"/>
        <v>56833.919999999998</v>
      </c>
      <c r="G8" s="31">
        <f t="shared" si="4"/>
        <v>56833.919999999998</v>
      </c>
      <c r="H8" s="31">
        <f t="shared" si="2"/>
        <v>56833.919999999998</v>
      </c>
      <c r="I8" s="32">
        <v>1</v>
      </c>
      <c r="J8" s="33" t="s">
        <v>13</v>
      </c>
      <c r="K8" s="34" t="s">
        <v>25</v>
      </c>
      <c r="L8" s="30">
        <v>294.39999999999998</v>
      </c>
      <c r="M8" s="31">
        <f t="shared" si="5"/>
        <v>79.488</v>
      </c>
    </row>
    <row r="9" spans="1:13" s="2" customFormat="1" ht="39" customHeight="1" x14ac:dyDescent="0.25">
      <c r="A9" s="19">
        <v>7</v>
      </c>
      <c r="B9" s="19" t="str">
        <f t="shared" si="0"/>
        <v>GERMES EMDP1</v>
      </c>
      <c r="C9" s="29" t="s">
        <v>122</v>
      </c>
      <c r="D9" s="28" t="s">
        <v>126</v>
      </c>
      <c r="E9" s="35" t="s">
        <v>127</v>
      </c>
      <c r="F9" s="30">
        <v>88000</v>
      </c>
      <c r="G9" s="30">
        <f>F9</f>
        <v>88000</v>
      </c>
      <c r="H9" s="31">
        <f t="shared" si="2"/>
        <v>88000</v>
      </c>
      <c r="I9" s="32">
        <v>1</v>
      </c>
      <c r="J9" s="33" t="s">
        <v>13</v>
      </c>
      <c r="K9" s="34" t="s">
        <v>120</v>
      </c>
      <c r="L9" s="30"/>
      <c r="M9" s="30">
        <f>L9</f>
        <v>0</v>
      </c>
    </row>
    <row r="10" spans="1:13" s="2" customFormat="1" ht="39" customHeight="1" x14ac:dyDescent="0.25">
      <c r="A10" s="19">
        <v>8</v>
      </c>
      <c r="B10" s="19" t="str">
        <f t="shared" si="0"/>
        <v>GERMES EMDP1</v>
      </c>
      <c r="C10" s="29" t="s">
        <v>123</v>
      </c>
      <c r="D10" s="28" t="s">
        <v>128</v>
      </c>
      <c r="E10" s="29" t="s">
        <v>129</v>
      </c>
      <c r="F10" s="30">
        <v>6018</v>
      </c>
      <c r="G10" s="30">
        <f>F10</f>
        <v>6018</v>
      </c>
      <c r="H10" s="31">
        <f t="shared" si="2"/>
        <v>36108</v>
      </c>
      <c r="I10" s="32">
        <v>6</v>
      </c>
      <c r="J10" s="33" t="s">
        <v>13</v>
      </c>
      <c r="K10" s="34" t="s">
        <v>121</v>
      </c>
      <c r="L10" s="30"/>
      <c r="M10" s="30">
        <f>L10</f>
        <v>0</v>
      </c>
    </row>
    <row r="11" spans="1:13" s="2" customFormat="1" ht="39" customHeight="1" x14ac:dyDescent="0.25">
      <c r="A11" s="19">
        <v>9</v>
      </c>
      <c r="B11" s="19" t="str">
        <f t="shared" si="0"/>
        <v>GERMES EMDP1</v>
      </c>
      <c r="C11" s="19" t="s">
        <v>73</v>
      </c>
      <c r="D11" s="28" t="s">
        <v>72</v>
      </c>
      <c r="E11" s="19" t="s">
        <v>71</v>
      </c>
      <c r="F11" s="30">
        <f>M11*1.3*550</f>
        <v>22779.900000000005</v>
      </c>
      <c r="G11" s="31">
        <f>F11</f>
        <v>22779.900000000005</v>
      </c>
      <c r="H11" s="31">
        <f t="shared" si="2"/>
        <v>22779.900000000005</v>
      </c>
      <c r="I11" s="32">
        <v>1</v>
      </c>
      <c r="J11" s="33" t="s">
        <v>13</v>
      </c>
      <c r="K11" s="34" t="s">
        <v>25</v>
      </c>
      <c r="L11" s="30">
        <v>118</v>
      </c>
      <c r="M11" s="31">
        <f t="shared" ref="M11:M22" si="6">L11*0.27</f>
        <v>31.860000000000003</v>
      </c>
    </row>
    <row r="12" spans="1:13" s="2" customFormat="1" ht="39" customHeight="1" x14ac:dyDescent="0.25">
      <c r="A12" s="19">
        <v>10</v>
      </c>
      <c r="B12" s="19" t="str">
        <f t="shared" si="0"/>
        <v>GERMES EMDP1</v>
      </c>
      <c r="C12" s="19" t="s">
        <v>69</v>
      </c>
      <c r="D12" s="28" t="s">
        <v>20</v>
      </c>
      <c r="E12" s="19" t="s">
        <v>24</v>
      </c>
      <c r="F12" s="30">
        <v>50</v>
      </c>
      <c r="G12" s="30">
        <f t="shared" ref="G12:G35" si="7">F12</f>
        <v>50</v>
      </c>
      <c r="H12" s="31">
        <f t="shared" si="2"/>
        <v>50</v>
      </c>
      <c r="I12" s="32">
        <v>1</v>
      </c>
      <c r="J12" s="33" t="s">
        <v>13</v>
      </c>
      <c r="K12" s="34" t="s">
        <v>70</v>
      </c>
      <c r="L12" s="30"/>
      <c r="M12" s="30">
        <f t="shared" ref="M12" si="8">L12</f>
        <v>0</v>
      </c>
    </row>
    <row r="13" spans="1:13" s="2" customFormat="1" ht="39" customHeight="1" x14ac:dyDescent="0.25">
      <c r="A13" s="19">
        <v>11</v>
      </c>
      <c r="B13" s="19" t="str">
        <f t="shared" si="0"/>
        <v>GERMES EMDP1</v>
      </c>
      <c r="C13" s="19" t="s">
        <v>49</v>
      </c>
      <c r="D13" s="28" t="s">
        <v>48</v>
      </c>
      <c r="E13" s="19" t="s">
        <v>50</v>
      </c>
      <c r="F13" s="30">
        <f t="shared" ref="F13:F35" si="9">M13*1.3*550</f>
        <v>17312.724000000002</v>
      </c>
      <c r="G13" s="31">
        <f t="shared" si="7"/>
        <v>17312.724000000002</v>
      </c>
      <c r="H13" s="22">
        <f t="shared" si="2"/>
        <v>17312.724000000002</v>
      </c>
      <c r="I13" s="32">
        <v>1</v>
      </c>
      <c r="J13" s="33" t="s">
        <v>13</v>
      </c>
      <c r="K13" s="34" t="s">
        <v>25</v>
      </c>
      <c r="L13" s="21">
        <v>89.68</v>
      </c>
      <c r="M13" s="31">
        <f t="shared" si="6"/>
        <v>24.213600000000003</v>
      </c>
    </row>
    <row r="14" spans="1:13" s="2" customFormat="1" ht="39" customHeight="1" x14ac:dyDescent="0.25">
      <c r="A14" s="19">
        <v>12</v>
      </c>
      <c r="B14" s="19" t="str">
        <f t="shared" si="0"/>
        <v>GERMES EMDP1</v>
      </c>
      <c r="C14" s="10" t="s">
        <v>19</v>
      </c>
      <c r="D14" s="10" t="s">
        <v>51</v>
      </c>
      <c r="E14" s="10" t="s">
        <v>52</v>
      </c>
      <c r="F14" s="30">
        <f t="shared" si="9"/>
        <v>1704.6315000000002</v>
      </c>
      <c r="G14" s="31">
        <f t="shared" si="7"/>
        <v>1704.6315000000002</v>
      </c>
      <c r="H14" s="22">
        <f>G14*I14</f>
        <v>5113.8945000000003</v>
      </c>
      <c r="I14" s="25">
        <v>3</v>
      </c>
      <c r="J14" s="7" t="s">
        <v>13</v>
      </c>
      <c r="K14" s="34" t="s">
        <v>25</v>
      </c>
      <c r="L14" s="24">
        <v>8.83</v>
      </c>
      <c r="M14" s="31">
        <f t="shared" si="6"/>
        <v>2.3841000000000001</v>
      </c>
    </row>
    <row r="15" spans="1:13" s="2" customFormat="1" ht="39" customHeight="1" x14ac:dyDescent="0.25">
      <c r="A15" s="19">
        <v>13</v>
      </c>
      <c r="B15" s="19" t="str">
        <f t="shared" si="0"/>
        <v>GERMES EMDP1</v>
      </c>
      <c r="C15" s="10" t="s">
        <v>55</v>
      </c>
      <c r="D15" s="10" t="s">
        <v>54</v>
      </c>
      <c r="E15" s="10" t="s">
        <v>53</v>
      </c>
      <c r="F15" s="30">
        <f t="shared" si="9"/>
        <v>7312.7340000000013</v>
      </c>
      <c r="G15" s="31">
        <f t="shared" si="7"/>
        <v>7312.7340000000013</v>
      </c>
      <c r="H15" s="22">
        <f>G15*I15</f>
        <v>14625.468000000003</v>
      </c>
      <c r="I15" s="25">
        <v>2</v>
      </c>
      <c r="J15" s="7" t="s">
        <v>13</v>
      </c>
      <c r="K15" s="34" t="s">
        <v>25</v>
      </c>
      <c r="L15" s="26">
        <v>37.880000000000003</v>
      </c>
      <c r="M15" s="31">
        <f t="shared" si="6"/>
        <v>10.227600000000001</v>
      </c>
    </row>
    <row r="16" spans="1:13" s="2" customFormat="1" ht="39" customHeight="1" x14ac:dyDescent="0.25">
      <c r="A16" s="19">
        <v>2</v>
      </c>
      <c r="B16" s="19" t="str">
        <f t="shared" si="0"/>
        <v>GERMES EMDP1</v>
      </c>
      <c r="C16" s="29" t="s">
        <v>17</v>
      </c>
      <c r="D16" s="28" t="s">
        <v>56</v>
      </c>
      <c r="E16" s="29" t="s">
        <v>57</v>
      </c>
      <c r="F16" s="30">
        <f t="shared" si="9"/>
        <v>17762.530500000004</v>
      </c>
      <c r="G16" s="31">
        <f t="shared" si="7"/>
        <v>17762.530500000004</v>
      </c>
      <c r="H16" s="31">
        <f t="shared" ref="H16:H24" si="10">G16*I16</f>
        <v>799313.87250000017</v>
      </c>
      <c r="I16" s="32">
        <v>45</v>
      </c>
      <c r="J16" s="33" t="s">
        <v>13</v>
      </c>
      <c r="K16" s="34" t="s">
        <v>25</v>
      </c>
      <c r="L16" s="30">
        <v>92.01</v>
      </c>
      <c r="M16" s="31">
        <f t="shared" si="6"/>
        <v>24.842700000000004</v>
      </c>
    </row>
    <row r="17" spans="1:13" s="2" customFormat="1" ht="39" customHeight="1" x14ac:dyDescent="0.25">
      <c r="A17" s="19">
        <v>3</v>
      </c>
      <c r="B17" s="19" t="str">
        <f t="shared" si="0"/>
        <v>GERMES EMDP1</v>
      </c>
      <c r="C17" s="29" t="s">
        <v>55</v>
      </c>
      <c r="D17" s="28" t="s">
        <v>58</v>
      </c>
      <c r="E17" s="29" t="s">
        <v>59</v>
      </c>
      <c r="F17" s="30">
        <f t="shared" si="9"/>
        <v>1476.8325</v>
      </c>
      <c r="G17" s="31">
        <f t="shared" si="7"/>
        <v>1476.8325</v>
      </c>
      <c r="H17" s="31">
        <f t="shared" si="10"/>
        <v>54642.802499999998</v>
      </c>
      <c r="I17" s="32">
        <v>37</v>
      </c>
      <c r="J17" s="33" t="s">
        <v>13</v>
      </c>
      <c r="K17" s="34" t="s">
        <v>25</v>
      </c>
      <c r="L17" s="30">
        <v>7.65</v>
      </c>
      <c r="M17" s="31">
        <f t="shared" si="6"/>
        <v>2.0655000000000001</v>
      </c>
    </row>
    <row r="18" spans="1:13" ht="54.75" customHeight="1" x14ac:dyDescent="0.25">
      <c r="A18" s="19">
        <v>5</v>
      </c>
      <c r="B18" s="19" t="str">
        <f t="shared" si="0"/>
        <v>GERMES EMDP1</v>
      </c>
      <c r="C18" s="29" t="s">
        <v>62</v>
      </c>
      <c r="D18" s="29" t="s">
        <v>60</v>
      </c>
      <c r="E18" s="29" t="s">
        <v>61</v>
      </c>
      <c r="F18" s="30">
        <f t="shared" si="9"/>
        <v>12693.037500000002</v>
      </c>
      <c r="G18" s="31">
        <f t="shared" si="7"/>
        <v>12693.037500000002</v>
      </c>
      <c r="H18" s="31">
        <f t="shared" si="10"/>
        <v>12693.037500000002</v>
      </c>
      <c r="I18" s="32">
        <v>1</v>
      </c>
      <c r="J18" s="33" t="s">
        <v>13</v>
      </c>
      <c r="K18" s="34" t="s">
        <v>25</v>
      </c>
      <c r="L18" s="30">
        <v>65.75</v>
      </c>
      <c r="M18" s="31">
        <f t="shared" si="6"/>
        <v>17.752500000000001</v>
      </c>
    </row>
    <row r="19" spans="1:13" s="2" customFormat="1" ht="39" customHeight="1" x14ac:dyDescent="0.25">
      <c r="A19" s="19">
        <v>6</v>
      </c>
      <c r="B19" s="19" t="str">
        <f t="shared" si="0"/>
        <v>GERMES EMDP1</v>
      </c>
      <c r="C19" s="29" t="s">
        <v>17</v>
      </c>
      <c r="D19" s="28" t="s">
        <v>63</v>
      </c>
      <c r="E19" s="29" t="s">
        <v>64</v>
      </c>
      <c r="F19" s="30">
        <f t="shared" si="9"/>
        <v>17762.530500000004</v>
      </c>
      <c r="G19" s="31">
        <f t="shared" si="7"/>
        <v>17762.530500000004</v>
      </c>
      <c r="H19" s="31">
        <f t="shared" si="10"/>
        <v>71050.122000000018</v>
      </c>
      <c r="I19" s="32">
        <v>4</v>
      </c>
      <c r="J19" s="33" t="s">
        <v>13</v>
      </c>
      <c r="K19" s="34" t="s">
        <v>25</v>
      </c>
      <c r="L19" s="30">
        <v>92.01</v>
      </c>
      <c r="M19" s="31">
        <f t="shared" si="6"/>
        <v>24.842700000000004</v>
      </c>
    </row>
    <row r="20" spans="1:13" s="2" customFormat="1" ht="39" customHeight="1" x14ac:dyDescent="0.25">
      <c r="A20" s="19">
        <v>7</v>
      </c>
      <c r="B20" s="19" t="str">
        <f t="shared" si="0"/>
        <v>GERMES EMDP1</v>
      </c>
      <c r="C20" s="29" t="s">
        <v>45</v>
      </c>
      <c r="D20" s="28" t="s">
        <v>65</v>
      </c>
      <c r="E20" s="29" t="s">
        <v>66</v>
      </c>
      <c r="F20" s="30">
        <f t="shared" si="9"/>
        <v>16492.261500000001</v>
      </c>
      <c r="G20" s="31">
        <f t="shared" si="7"/>
        <v>16492.261500000001</v>
      </c>
      <c r="H20" s="31">
        <f t="shared" si="10"/>
        <v>82461.307499999995</v>
      </c>
      <c r="I20" s="32">
        <v>5</v>
      </c>
      <c r="J20" s="33" t="s">
        <v>13</v>
      </c>
      <c r="K20" s="34" t="s">
        <v>25</v>
      </c>
      <c r="L20" s="30">
        <v>85.43</v>
      </c>
      <c r="M20" s="31">
        <f t="shared" si="6"/>
        <v>23.066100000000002</v>
      </c>
    </row>
    <row r="21" spans="1:13" s="2" customFormat="1" ht="39" customHeight="1" x14ac:dyDescent="0.25">
      <c r="A21" s="19">
        <v>8</v>
      </c>
      <c r="B21" s="19" t="str">
        <f t="shared" si="0"/>
        <v>GERMES EMDP1</v>
      </c>
      <c r="C21" s="29" t="s">
        <v>55</v>
      </c>
      <c r="D21" s="28" t="s">
        <v>67</v>
      </c>
      <c r="E21" s="29" t="s">
        <v>68</v>
      </c>
      <c r="F21" s="30">
        <f t="shared" si="9"/>
        <v>7312.7340000000013</v>
      </c>
      <c r="G21" s="31">
        <f t="shared" si="7"/>
        <v>7312.7340000000013</v>
      </c>
      <c r="H21" s="31">
        <f t="shared" si="10"/>
        <v>7312.7340000000013</v>
      </c>
      <c r="I21" s="32">
        <v>1</v>
      </c>
      <c r="J21" s="33" t="s">
        <v>13</v>
      </c>
      <c r="K21" s="34" t="s">
        <v>25</v>
      </c>
      <c r="L21" s="30">
        <v>37.880000000000003</v>
      </c>
      <c r="M21" s="31">
        <f t="shared" si="6"/>
        <v>10.227600000000001</v>
      </c>
    </row>
    <row r="22" spans="1:13" s="2" customFormat="1" ht="39" customHeight="1" x14ac:dyDescent="0.25">
      <c r="A22" s="19">
        <v>9</v>
      </c>
      <c r="B22" s="19" t="str">
        <f t="shared" si="0"/>
        <v>GERMES EMDP1</v>
      </c>
      <c r="C22" s="19" t="s">
        <v>16</v>
      </c>
      <c r="D22" s="28" t="s">
        <v>38</v>
      </c>
      <c r="E22" s="29" t="s">
        <v>37</v>
      </c>
      <c r="F22" s="30">
        <f t="shared" si="9"/>
        <v>76582.934999999998</v>
      </c>
      <c r="G22" s="31">
        <f t="shared" si="7"/>
        <v>76582.934999999998</v>
      </c>
      <c r="H22" s="31">
        <f t="shared" si="10"/>
        <v>76582.934999999998</v>
      </c>
      <c r="I22" s="32">
        <v>1</v>
      </c>
      <c r="J22" s="33" t="s">
        <v>13</v>
      </c>
      <c r="K22" s="34" t="s">
        <v>25</v>
      </c>
      <c r="L22" s="30">
        <v>396.7</v>
      </c>
      <c r="M22" s="31">
        <f t="shared" si="6"/>
        <v>107.10900000000001</v>
      </c>
    </row>
    <row r="23" spans="1:13" s="2" customFormat="1" ht="39" customHeight="1" x14ac:dyDescent="0.25">
      <c r="A23" s="19">
        <v>10</v>
      </c>
      <c r="B23" s="19" t="str">
        <f t="shared" si="0"/>
        <v>GERMES EMDP1</v>
      </c>
      <c r="C23" s="19" t="s">
        <v>74</v>
      </c>
      <c r="D23" s="28" t="s">
        <v>75</v>
      </c>
      <c r="E23" s="19" t="s">
        <v>77</v>
      </c>
      <c r="F23" s="30">
        <f t="shared" si="9"/>
        <v>16489.473000000002</v>
      </c>
      <c r="G23" s="31">
        <f t="shared" si="7"/>
        <v>16489.473000000002</v>
      </c>
      <c r="H23" s="31">
        <f t="shared" si="10"/>
        <v>16489.473000000002</v>
      </c>
      <c r="I23" s="32">
        <v>1</v>
      </c>
      <c r="J23" s="33" t="s">
        <v>13</v>
      </c>
      <c r="K23" s="34" t="s">
        <v>25</v>
      </c>
      <c r="L23" s="30">
        <v>67.83</v>
      </c>
      <c r="M23" s="30">
        <f>L23*0.34</f>
        <v>23.062200000000001</v>
      </c>
    </row>
    <row r="24" spans="1:13" s="2" customFormat="1" ht="39" customHeight="1" x14ac:dyDescent="0.25">
      <c r="A24" s="19">
        <v>11</v>
      </c>
      <c r="B24" s="19" t="str">
        <f t="shared" si="0"/>
        <v>GERMES EMDP1</v>
      </c>
      <c r="C24" s="19" t="s">
        <v>18</v>
      </c>
      <c r="D24" s="28" t="s">
        <v>87</v>
      </c>
      <c r="E24" s="19" t="s">
        <v>88</v>
      </c>
      <c r="F24" s="30">
        <f t="shared" si="9"/>
        <v>12424.841</v>
      </c>
      <c r="G24" s="31">
        <f t="shared" si="7"/>
        <v>12424.841</v>
      </c>
      <c r="H24" s="31">
        <f t="shared" si="10"/>
        <v>12424.841</v>
      </c>
      <c r="I24" s="32">
        <v>1</v>
      </c>
      <c r="J24" s="33" t="s">
        <v>13</v>
      </c>
      <c r="K24" s="34" t="s">
        <v>25</v>
      </c>
      <c r="L24" s="30">
        <v>51.11</v>
      </c>
      <c r="M24" s="30">
        <f>L24*0.34</f>
        <v>17.377400000000002</v>
      </c>
    </row>
    <row r="25" spans="1:13" s="2" customFormat="1" ht="39" customHeight="1" x14ac:dyDescent="0.25">
      <c r="A25" s="19">
        <v>13</v>
      </c>
      <c r="B25" s="19" t="str">
        <f t="shared" si="0"/>
        <v>GERMES EMDP1</v>
      </c>
      <c r="C25" s="19" t="s">
        <v>18</v>
      </c>
      <c r="D25" s="10" t="s">
        <v>89</v>
      </c>
      <c r="E25" s="19" t="s">
        <v>90</v>
      </c>
      <c r="F25" s="30">
        <f t="shared" si="9"/>
        <v>190444.54</v>
      </c>
      <c r="G25" s="31">
        <f t="shared" si="7"/>
        <v>190444.54</v>
      </c>
      <c r="H25" s="22">
        <f>G25*I25</f>
        <v>190444.54</v>
      </c>
      <c r="I25" s="25">
        <v>1</v>
      </c>
      <c r="J25" s="7" t="s">
        <v>13</v>
      </c>
      <c r="K25" s="34" t="s">
        <v>25</v>
      </c>
      <c r="L25" s="30">
        <v>783.4</v>
      </c>
      <c r="M25" s="30">
        <f t="shared" ref="M25:M35" si="11">L25*0.34</f>
        <v>266.35599999999999</v>
      </c>
    </row>
    <row r="26" spans="1:13" s="2" customFormat="1" ht="39" customHeight="1" x14ac:dyDescent="0.25">
      <c r="A26" s="19">
        <v>6</v>
      </c>
      <c r="B26" s="19" t="str">
        <f t="shared" si="0"/>
        <v>GERMES EMDP1</v>
      </c>
      <c r="C26" s="29" t="s">
        <v>74</v>
      </c>
      <c r="D26" s="28" t="s">
        <v>76</v>
      </c>
      <c r="E26" s="29" t="s">
        <v>78</v>
      </c>
      <c r="F26" s="30">
        <f t="shared" si="9"/>
        <v>18271.396000000001</v>
      </c>
      <c r="G26" s="31">
        <f t="shared" si="7"/>
        <v>18271.396000000001</v>
      </c>
      <c r="H26" s="31">
        <f t="shared" si="1"/>
        <v>36542.792000000001</v>
      </c>
      <c r="I26" s="32">
        <v>2</v>
      </c>
      <c r="J26" s="33" t="s">
        <v>13</v>
      </c>
      <c r="K26" s="34" t="s">
        <v>25</v>
      </c>
      <c r="L26" s="30">
        <v>75.16</v>
      </c>
      <c r="M26" s="30">
        <f t="shared" si="11"/>
        <v>25.554400000000001</v>
      </c>
    </row>
    <row r="27" spans="1:13" s="2" customFormat="1" ht="39" customHeight="1" x14ac:dyDescent="0.25">
      <c r="A27" s="19">
        <v>7</v>
      </c>
      <c r="B27" s="19" t="str">
        <f t="shared" si="0"/>
        <v>GERMES EMDP1</v>
      </c>
      <c r="C27" s="29" t="s">
        <v>18</v>
      </c>
      <c r="D27" s="28" t="s">
        <v>84</v>
      </c>
      <c r="E27" s="35" t="s">
        <v>86</v>
      </c>
      <c r="F27" s="30">
        <f t="shared" si="9"/>
        <v>9741.0169999999998</v>
      </c>
      <c r="G27" s="31">
        <f t="shared" si="7"/>
        <v>9741.0169999999998</v>
      </c>
      <c r="H27" s="31">
        <f t="shared" si="1"/>
        <v>38964.067999999999</v>
      </c>
      <c r="I27" s="32">
        <v>4</v>
      </c>
      <c r="J27" s="33" t="s">
        <v>13</v>
      </c>
      <c r="K27" s="34" t="s">
        <v>25</v>
      </c>
      <c r="L27" s="30">
        <v>40.07</v>
      </c>
      <c r="M27" s="30">
        <f t="shared" si="11"/>
        <v>13.623800000000001</v>
      </c>
    </row>
    <row r="28" spans="1:13" s="2" customFormat="1" ht="39" customHeight="1" x14ac:dyDescent="0.25">
      <c r="A28" s="19">
        <v>8</v>
      </c>
      <c r="B28" s="19" t="str">
        <f t="shared" si="0"/>
        <v>GERMES EMDP1</v>
      </c>
      <c r="C28" s="29" t="s">
        <v>74</v>
      </c>
      <c r="D28" s="28" t="s">
        <v>79</v>
      </c>
      <c r="E28" s="29" t="s">
        <v>80</v>
      </c>
      <c r="F28" s="30">
        <f t="shared" si="9"/>
        <v>15050.321000000002</v>
      </c>
      <c r="G28" s="31">
        <f t="shared" si="7"/>
        <v>15050.321000000002</v>
      </c>
      <c r="H28" s="31">
        <f t="shared" si="1"/>
        <v>30100.642000000003</v>
      </c>
      <c r="I28" s="32">
        <v>2</v>
      </c>
      <c r="J28" s="33" t="s">
        <v>13</v>
      </c>
      <c r="K28" s="34" t="s">
        <v>25</v>
      </c>
      <c r="L28" s="30">
        <v>61.91</v>
      </c>
      <c r="M28" s="30">
        <f t="shared" si="11"/>
        <v>21.049400000000002</v>
      </c>
    </row>
    <row r="29" spans="1:13" s="2" customFormat="1" ht="39" customHeight="1" x14ac:dyDescent="0.25">
      <c r="A29" s="19">
        <v>9</v>
      </c>
      <c r="B29" s="19" t="str">
        <f t="shared" si="0"/>
        <v>GERMES EMDP1</v>
      </c>
      <c r="C29" s="19" t="s">
        <v>74</v>
      </c>
      <c r="D29" s="28" t="s">
        <v>76</v>
      </c>
      <c r="E29" s="19" t="s">
        <v>81</v>
      </c>
      <c r="F29" s="30">
        <f t="shared" si="9"/>
        <v>18271.396000000001</v>
      </c>
      <c r="G29" s="31">
        <f t="shared" si="7"/>
        <v>18271.396000000001</v>
      </c>
      <c r="H29" s="31">
        <f t="shared" ref="H29:H35" si="12">G29*I29</f>
        <v>18271.396000000001</v>
      </c>
      <c r="I29" s="32">
        <v>1</v>
      </c>
      <c r="J29" s="33" t="s">
        <v>13</v>
      </c>
      <c r="K29" s="34" t="s">
        <v>25</v>
      </c>
      <c r="L29" s="30">
        <v>75.16</v>
      </c>
      <c r="M29" s="30">
        <f t="shared" si="11"/>
        <v>25.554400000000001</v>
      </c>
    </row>
    <row r="30" spans="1:13" s="2" customFormat="1" ht="39" customHeight="1" x14ac:dyDescent="0.25">
      <c r="A30" s="19">
        <v>10</v>
      </c>
      <c r="B30" s="19" t="str">
        <f t="shared" si="0"/>
        <v>GERMES EMDP1</v>
      </c>
      <c r="C30" s="19" t="s">
        <v>18</v>
      </c>
      <c r="D30" s="28" t="s">
        <v>82</v>
      </c>
      <c r="E30" s="19" t="s">
        <v>83</v>
      </c>
      <c r="F30" s="30">
        <f t="shared" si="9"/>
        <v>7961.5250000000015</v>
      </c>
      <c r="G30" s="31">
        <f t="shared" si="7"/>
        <v>7961.5250000000015</v>
      </c>
      <c r="H30" s="31">
        <f t="shared" si="12"/>
        <v>7961.5250000000015</v>
      </c>
      <c r="I30" s="32">
        <v>1</v>
      </c>
      <c r="J30" s="33" t="s">
        <v>13</v>
      </c>
      <c r="K30" s="34" t="s">
        <v>25</v>
      </c>
      <c r="L30" s="30">
        <v>32.75</v>
      </c>
      <c r="M30" s="30">
        <f t="shared" si="11"/>
        <v>11.135000000000002</v>
      </c>
    </row>
    <row r="31" spans="1:13" s="2" customFormat="1" ht="39" customHeight="1" x14ac:dyDescent="0.25">
      <c r="A31" s="19">
        <v>11</v>
      </c>
      <c r="B31" s="19" t="str">
        <f t="shared" si="0"/>
        <v>GERMES EMDP1</v>
      </c>
      <c r="C31" s="19" t="s">
        <v>85</v>
      </c>
      <c r="D31" s="28" t="s">
        <v>97</v>
      </c>
      <c r="E31" s="19" t="s">
        <v>98</v>
      </c>
      <c r="F31" s="30">
        <f t="shared" si="9"/>
        <v>2756.7540000000004</v>
      </c>
      <c r="G31" s="31">
        <f t="shared" si="7"/>
        <v>2756.7540000000004</v>
      </c>
      <c r="H31" s="22">
        <f t="shared" si="12"/>
        <v>19297.278000000002</v>
      </c>
      <c r="I31" s="32">
        <v>7</v>
      </c>
      <c r="J31" s="33" t="s">
        <v>13</v>
      </c>
      <c r="K31" s="34" t="s">
        <v>25</v>
      </c>
      <c r="L31" s="21">
        <v>11.34</v>
      </c>
      <c r="M31" s="30">
        <f t="shared" si="11"/>
        <v>3.8556000000000004</v>
      </c>
    </row>
    <row r="32" spans="1:13" s="2" customFormat="1" ht="39" customHeight="1" x14ac:dyDescent="0.25">
      <c r="A32" s="19">
        <v>11</v>
      </c>
      <c r="B32" s="19" t="str">
        <f t="shared" si="0"/>
        <v>GERMES EMDP1</v>
      </c>
      <c r="C32" s="19" t="s">
        <v>92</v>
      </c>
      <c r="D32" s="28" t="s">
        <v>91</v>
      </c>
      <c r="E32" s="19" t="s">
        <v>26</v>
      </c>
      <c r="F32" s="30">
        <f t="shared" si="9"/>
        <v>2022.5920000000001</v>
      </c>
      <c r="G32" s="31">
        <f t="shared" si="7"/>
        <v>2022.5920000000001</v>
      </c>
      <c r="H32" s="22">
        <f t="shared" si="12"/>
        <v>14158.144</v>
      </c>
      <c r="I32" s="32">
        <v>7</v>
      </c>
      <c r="J32" s="33" t="s">
        <v>13</v>
      </c>
      <c r="K32" s="34" t="s">
        <v>25</v>
      </c>
      <c r="L32" s="21">
        <v>8.32</v>
      </c>
      <c r="M32" s="30">
        <f t="shared" si="11"/>
        <v>2.8288000000000002</v>
      </c>
    </row>
    <row r="33" spans="1:13" s="2" customFormat="1" ht="39" customHeight="1" x14ac:dyDescent="0.25">
      <c r="A33" s="19">
        <v>11</v>
      </c>
      <c r="B33" s="19" t="str">
        <f t="shared" si="0"/>
        <v>GERMES EMDP1</v>
      </c>
      <c r="C33" s="19" t="s">
        <v>92</v>
      </c>
      <c r="D33" s="28" t="s">
        <v>93</v>
      </c>
      <c r="E33" s="19" t="s">
        <v>27</v>
      </c>
      <c r="F33" s="30">
        <f t="shared" si="9"/>
        <v>2022.5920000000001</v>
      </c>
      <c r="G33" s="31">
        <f t="shared" si="7"/>
        <v>2022.5920000000001</v>
      </c>
      <c r="H33" s="22">
        <f t="shared" si="12"/>
        <v>14158.144</v>
      </c>
      <c r="I33" s="32">
        <v>7</v>
      </c>
      <c r="J33" s="33" t="s">
        <v>13</v>
      </c>
      <c r="K33" s="34" t="s">
        <v>25</v>
      </c>
      <c r="L33" s="21">
        <v>8.32</v>
      </c>
      <c r="M33" s="30">
        <f t="shared" si="11"/>
        <v>2.8288000000000002</v>
      </c>
    </row>
    <row r="34" spans="1:13" s="2" customFormat="1" ht="39" customHeight="1" x14ac:dyDescent="0.25">
      <c r="A34" s="19">
        <v>11</v>
      </c>
      <c r="B34" s="19" t="str">
        <f t="shared" si="0"/>
        <v>GERMES EMDP1</v>
      </c>
      <c r="C34" s="19" t="s">
        <v>92</v>
      </c>
      <c r="D34" s="28" t="s">
        <v>94</v>
      </c>
      <c r="E34" s="19" t="s">
        <v>28</v>
      </c>
      <c r="F34" s="30">
        <f t="shared" si="9"/>
        <v>2022.5920000000001</v>
      </c>
      <c r="G34" s="31">
        <f t="shared" si="7"/>
        <v>2022.5920000000001</v>
      </c>
      <c r="H34" s="22">
        <f t="shared" si="12"/>
        <v>14158.144</v>
      </c>
      <c r="I34" s="32">
        <v>7</v>
      </c>
      <c r="J34" s="33" t="s">
        <v>13</v>
      </c>
      <c r="K34" s="34" t="s">
        <v>25</v>
      </c>
      <c r="L34" s="21">
        <v>8.32</v>
      </c>
      <c r="M34" s="30">
        <f t="shared" si="11"/>
        <v>2.8288000000000002</v>
      </c>
    </row>
    <row r="35" spans="1:13" s="2" customFormat="1" ht="39" customHeight="1" x14ac:dyDescent="0.25">
      <c r="A35" s="19">
        <v>11</v>
      </c>
      <c r="B35" s="19" t="str">
        <f t="shared" si="0"/>
        <v>GERMES EMDP1</v>
      </c>
      <c r="C35" s="19" t="s">
        <v>55</v>
      </c>
      <c r="D35" s="28" t="s">
        <v>99</v>
      </c>
      <c r="E35" s="19" t="s">
        <v>100</v>
      </c>
      <c r="F35" s="30">
        <f t="shared" si="9"/>
        <v>8384.5190000000021</v>
      </c>
      <c r="G35" s="31">
        <f t="shared" si="7"/>
        <v>8384.5190000000021</v>
      </c>
      <c r="H35" s="22">
        <f t="shared" si="12"/>
        <v>16769.038000000004</v>
      </c>
      <c r="I35" s="32">
        <v>2</v>
      </c>
      <c r="J35" s="33" t="s">
        <v>13</v>
      </c>
      <c r="K35" s="34" t="s">
        <v>25</v>
      </c>
      <c r="L35" s="21">
        <v>34.49</v>
      </c>
      <c r="M35" s="30">
        <f t="shared" si="11"/>
        <v>11.726600000000001</v>
      </c>
    </row>
    <row r="36" spans="1:13" s="2" customFormat="1" ht="37.15" customHeight="1" x14ac:dyDescent="0.25">
      <c r="A36" s="19">
        <v>11</v>
      </c>
      <c r="B36" s="19" t="str">
        <f t="shared" si="0"/>
        <v>GERMES EMDP1</v>
      </c>
      <c r="C36" s="19" t="s">
        <v>107</v>
      </c>
      <c r="D36" s="28"/>
      <c r="E36" s="19" t="s">
        <v>29</v>
      </c>
      <c r="F36" s="21"/>
      <c r="G36" s="22"/>
      <c r="H36" s="22"/>
      <c r="I36" s="32">
        <v>1</v>
      </c>
      <c r="J36" s="33" t="s">
        <v>13</v>
      </c>
      <c r="K36" s="27" t="s">
        <v>106</v>
      </c>
      <c r="L36" s="21"/>
      <c r="M36" s="22"/>
    </row>
    <row r="37" spans="1:13" s="2" customFormat="1" ht="39" customHeight="1" x14ac:dyDescent="0.25">
      <c r="A37" s="19">
        <v>11</v>
      </c>
      <c r="B37" s="19" t="str">
        <f t="shared" si="0"/>
        <v>GERMES EMDP1</v>
      </c>
      <c r="C37" s="19" t="s">
        <v>107</v>
      </c>
      <c r="D37" s="28"/>
      <c r="E37" s="19" t="s">
        <v>30</v>
      </c>
      <c r="F37" s="21"/>
      <c r="G37" s="22"/>
      <c r="H37" s="22"/>
      <c r="I37" s="32">
        <v>1</v>
      </c>
      <c r="J37" s="33" t="s">
        <v>13</v>
      </c>
      <c r="K37" s="27" t="s">
        <v>106</v>
      </c>
      <c r="L37" s="21"/>
      <c r="M37" s="22"/>
    </row>
    <row r="38" spans="1:13" s="2" customFormat="1" ht="37.15" customHeight="1" x14ac:dyDescent="0.25">
      <c r="A38" s="19">
        <v>11</v>
      </c>
      <c r="B38" s="19" t="str">
        <f t="shared" si="0"/>
        <v>GERMES EMDP1</v>
      </c>
      <c r="C38" s="19" t="s">
        <v>107</v>
      </c>
      <c r="D38" s="28"/>
      <c r="E38" s="19" t="s">
        <v>31</v>
      </c>
      <c r="F38" s="21"/>
      <c r="G38" s="22"/>
      <c r="H38" s="22"/>
      <c r="I38" s="32">
        <v>1</v>
      </c>
      <c r="J38" s="33" t="s">
        <v>13</v>
      </c>
      <c r="K38" s="27" t="s">
        <v>106</v>
      </c>
      <c r="L38" s="21"/>
      <c r="M38" s="22"/>
    </row>
    <row r="39" spans="1:13" s="2" customFormat="1" ht="39" customHeight="1" x14ac:dyDescent="0.25">
      <c r="A39" s="19">
        <v>11</v>
      </c>
      <c r="B39" s="19" t="str">
        <f t="shared" si="0"/>
        <v>GERMES EMDP1</v>
      </c>
      <c r="C39" s="19" t="s">
        <v>107</v>
      </c>
      <c r="D39" s="28"/>
      <c r="E39" s="19" t="s">
        <v>32</v>
      </c>
      <c r="F39" s="21"/>
      <c r="G39" s="22"/>
      <c r="H39" s="22"/>
      <c r="I39" s="32">
        <v>1</v>
      </c>
      <c r="J39" s="33" t="s">
        <v>13</v>
      </c>
      <c r="K39" s="27" t="s">
        <v>106</v>
      </c>
      <c r="L39" s="21"/>
      <c r="M39" s="22"/>
    </row>
    <row r="40" spans="1:13" s="2" customFormat="1" ht="37.15" customHeight="1" x14ac:dyDescent="0.25">
      <c r="A40" s="19">
        <v>11</v>
      </c>
      <c r="B40" s="19" t="str">
        <f t="shared" si="0"/>
        <v>GERMES EMDP1</v>
      </c>
      <c r="C40" s="19" t="s">
        <v>107</v>
      </c>
      <c r="D40" s="28"/>
      <c r="E40" s="36" t="s">
        <v>33</v>
      </c>
      <c r="F40" s="21"/>
      <c r="G40" s="22"/>
      <c r="H40" s="22"/>
      <c r="I40" s="32">
        <v>5</v>
      </c>
      <c r="J40" s="33" t="s">
        <v>13</v>
      </c>
      <c r="K40" s="27" t="s">
        <v>106</v>
      </c>
      <c r="L40" s="21"/>
      <c r="M40" s="22"/>
    </row>
    <row r="41" spans="1:13" s="2" customFormat="1" ht="39" customHeight="1" x14ac:dyDescent="0.25">
      <c r="A41" s="19">
        <v>11</v>
      </c>
      <c r="B41" s="19" t="str">
        <f t="shared" si="0"/>
        <v>GERMES EMDP1</v>
      </c>
      <c r="C41" s="19" t="s">
        <v>107</v>
      </c>
      <c r="D41" s="28"/>
      <c r="E41" s="19" t="s">
        <v>34</v>
      </c>
      <c r="F41" s="21"/>
      <c r="G41" s="22"/>
      <c r="H41" s="22"/>
      <c r="I41" s="32">
        <v>1</v>
      </c>
      <c r="J41" s="33" t="s">
        <v>13</v>
      </c>
      <c r="K41" s="27" t="s">
        <v>106</v>
      </c>
      <c r="L41" s="21"/>
      <c r="M41" s="22"/>
    </row>
    <row r="42" spans="1:13" s="2" customFormat="1" ht="37.15" customHeight="1" x14ac:dyDescent="0.25">
      <c r="A42" s="19">
        <v>11</v>
      </c>
      <c r="B42" s="19" t="str">
        <f t="shared" si="0"/>
        <v>GERMES EMDP1</v>
      </c>
      <c r="C42" s="19" t="s">
        <v>96</v>
      </c>
      <c r="D42" s="28" t="s">
        <v>96</v>
      </c>
      <c r="E42" s="19" t="s">
        <v>95</v>
      </c>
      <c r="F42" s="21">
        <v>30</v>
      </c>
      <c r="G42" s="22">
        <f t="shared" ref="G42" si="13">F42</f>
        <v>30</v>
      </c>
      <c r="H42" s="22">
        <f t="shared" ref="H42" si="14">G42*I42</f>
        <v>30</v>
      </c>
      <c r="I42" s="32">
        <v>1</v>
      </c>
      <c r="J42" s="33" t="s">
        <v>13</v>
      </c>
      <c r="K42" s="27" t="s">
        <v>15</v>
      </c>
      <c r="L42" s="21"/>
      <c r="M42" s="22">
        <f t="shared" ref="M42:M46" si="15">L42</f>
        <v>0</v>
      </c>
    </row>
    <row r="43" spans="1:13" s="2" customFormat="1" ht="37.15" customHeight="1" x14ac:dyDescent="0.25">
      <c r="A43" s="19">
        <v>11</v>
      </c>
      <c r="B43" s="19" t="str">
        <f t="shared" si="0"/>
        <v>GERMES EMDP1</v>
      </c>
      <c r="C43" s="19" t="s">
        <v>103</v>
      </c>
      <c r="D43" s="28" t="s">
        <v>103</v>
      </c>
      <c r="E43" s="19" t="s">
        <v>101</v>
      </c>
      <c r="F43" s="21">
        <v>30</v>
      </c>
      <c r="G43" s="22">
        <f t="shared" ref="G43:G45" si="16">F43</f>
        <v>30</v>
      </c>
      <c r="H43" s="22">
        <f t="shared" ref="H43:H45" si="17">G43*I43</f>
        <v>2460</v>
      </c>
      <c r="I43" s="32">
        <v>82</v>
      </c>
      <c r="J43" s="33" t="s">
        <v>13</v>
      </c>
      <c r="K43" s="27" t="s">
        <v>15</v>
      </c>
      <c r="L43" s="21"/>
      <c r="M43" s="22">
        <f t="shared" si="15"/>
        <v>0</v>
      </c>
    </row>
    <row r="44" spans="1:13" s="2" customFormat="1" ht="37.15" customHeight="1" x14ac:dyDescent="0.25">
      <c r="A44" s="19">
        <v>11</v>
      </c>
      <c r="B44" s="19" t="str">
        <f t="shared" si="0"/>
        <v>GERMES EMDP1</v>
      </c>
      <c r="C44" s="19" t="s">
        <v>103</v>
      </c>
      <c r="D44" s="28" t="s">
        <v>103</v>
      </c>
      <c r="E44" s="19" t="s">
        <v>102</v>
      </c>
      <c r="F44" s="21">
        <v>30</v>
      </c>
      <c r="G44" s="22">
        <f t="shared" si="16"/>
        <v>30</v>
      </c>
      <c r="H44" s="22">
        <f t="shared" si="17"/>
        <v>600</v>
      </c>
      <c r="I44" s="32">
        <v>20</v>
      </c>
      <c r="J44" s="33" t="s">
        <v>13</v>
      </c>
      <c r="K44" s="27" t="s">
        <v>15</v>
      </c>
      <c r="L44" s="21"/>
      <c r="M44" s="22">
        <f t="shared" si="15"/>
        <v>0</v>
      </c>
    </row>
    <row r="45" spans="1:13" s="2" customFormat="1" ht="37.15" customHeight="1" x14ac:dyDescent="0.25">
      <c r="A45" s="19">
        <v>11</v>
      </c>
      <c r="B45" s="19" t="str">
        <f t="shared" si="0"/>
        <v>GERMES EMDP1</v>
      </c>
      <c r="C45" s="19" t="s">
        <v>103</v>
      </c>
      <c r="D45" s="28" t="s">
        <v>103</v>
      </c>
      <c r="E45" s="19" t="s">
        <v>104</v>
      </c>
      <c r="F45" s="21">
        <v>30</v>
      </c>
      <c r="G45" s="22">
        <f t="shared" si="16"/>
        <v>30</v>
      </c>
      <c r="H45" s="22">
        <f t="shared" si="17"/>
        <v>540</v>
      </c>
      <c r="I45" s="32">
        <v>18</v>
      </c>
      <c r="J45" s="33" t="s">
        <v>13</v>
      </c>
      <c r="K45" s="27" t="s">
        <v>15</v>
      </c>
      <c r="L45" s="21"/>
      <c r="M45" s="22">
        <f t="shared" si="15"/>
        <v>0</v>
      </c>
    </row>
    <row r="46" spans="1:13" s="2" customFormat="1" ht="37.15" customHeight="1" x14ac:dyDescent="0.25">
      <c r="A46" s="19">
        <v>11</v>
      </c>
      <c r="B46" s="19" t="str">
        <f t="shared" si="0"/>
        <v>GERMES EMDP1</v>
      </c>
      <c r="C46" s="19" t="s">
        <v>103</v>
      </c>
      <c r="D46" s="28" t="s">
        <v>103</v>
      </c>
      <c r="E46" s="19" t="s">
        <v>105</v>
      </c>
      <c r="F46" s="21">
        <v>30</v>
      </c>
      <c r="G46" s="22">
        <f t="shared" ref="G46" si="18">F46</f>
        <v>30</v>
      </c>
      <c r="H46" s="22">
        <f t="shared" ref="H46" si="19">G46*I46</f>
        <v>90</v>
      </c>
      <c r="I46" s="32">
        <v>3</v>
      </c>
      <c r="J46" s="33" t="s">
        <v>13</v>
      </c>
      <c r="K46" s="27" t="s">
        <v>15</v>
      </c>
      <c r="L46" s="21"/>
      <c r="M46" s="22">
        <f t="shared" si="15"/>
        <v>0</v>
      </c>
    </row>
    <row r="47" spans="1:13" s="2" customFormat="1" ht="39" customHeight="1" x14ac:dyDescent="0.25">
      <c r="A47" s="19">
        <v>12</v>
      </c>
      <c r="B47" s="19" t="str">
        <f t="shared" si="0"/>
        <v>GERMES EMDP1</v>
      </c>
      <c r="C47" s="10" t="s">
        <v>11</v>
      </c>
      <c r="D47" s="10" t="s">
        <v>11</v>
      </c>
      <c r="E47" s="10" t="s">
        <v>11</v>
      </c>
      <c r="F47" s="24">
        <f>H48</f>
        <v>180000</v>
      </c>
      <c r="G47" s="22">
        <f>F47</f>
        <v>180000</v>
      </c>
      <c r="H47" s="22">
        <f>G47*I47</f>
        <v>180000</v>
      </c>
      <c r="I47" s="25">
        <v>1</v>
      </c>
      <c r="J47" s="7" t="s">
        <v>13</v>
      </c>
      <c r="K47" s="7" t="s">
        <v>11</v>
      </c>
      <c r="L47" s="24"/>
      <c r="M47" s="22">
        <f>L47</f>
        <v>0</v>
      </c>
    </row>
    <row r="48" spans="1:13" s="2" customFormat="1" ht="39" customHeight="1" x14ac:dyDescent="0.25">
      <c r="A48" s="19">
        <v>13</v>
      </c>
      <c r="B48" s="19" t="str">
        <f t="shared" si="0"/>
        <v>GERMES EMDP1</v>
      </c>
      <c r="C48" s="10" t="s">
        <v>12</v>
      </c>
      <c r="D48" s="10" t="s">
        <v>12</v>
      </c>
      <c r="E48" s="10" t="s">
        <v>12</v>
      </c>
      <c r="F48" s="26">
        <v>200</v>
      </c>
      <c r="G48" s="22">
        <f>F48</f>
        <v>200</v>
      </c>
      <c r="H48" s="22">
        <f>G48*I48</f>
        <v>180000</v>
      </c>
      <c r="I48" s="25">
        <f>60*15</f>
        <v>900</v>
      </c>
      <c r="J48" s="7" t="s">
        <v>13</v>
      </c>
      <c r="K48" s="7" t="s">
        <v>12</v>
      </c>
      <c r="L48" s="26"/>
      <c r="M48" s="22">
        <f>L48</f>
        <v>0</v>
      </c>
    </row>
    <row r="49" spans="1:13" s="2" customFormat="1" ht="39" customHeight="1" x14ac:dyDescent="0.25">
      <c r="A49" s="11"/>
      <c r="B49" s="13" t="str">
        <f>E49</f>
        <v>GERMES UMDP1</v>
      </c>
      <c r="C49" s="11"/>
      <c r="D49" s="14"/>
      <c r="E49" s="11" t="s">
        <v>109</v>
      </c>
      <c r="F49" s="15"/>
      <c r="G49" s="16"/>
      <c r="H49" s="16"/>
      <c r="I49" s="17">
        <v>1</v>
      </c>
      <c r="J49" s="18" t="s">
        <v>8</v>
      </c>
      <c r="K49" s="11" t="s">
        <v>10</v>
      </c>
      <c r="L49" s="15"/>
      <c r="M49" s="16"/>
    </row>
    <row r="50" spans="1:13" s="2" customFormat="1" ht="39" customHeight="1" x14ac:dyDescent="0.25">
      <c r="A50" s="19">
        <v>1</v>
      </c>
      <c r="B50" s="19" t="str">
        <f t="shared" si="0"/>
        <v>GERMES UMDP1</v>
      </c>
      <c r="C50" s="19" t="s">
        <v>9</v>
      </c>
      <c r="D50" s="20" t="s">
        <v>14</v>
      </c>
      <c r="E50" s="19" t="s">
        <v>21</v>
      </c>
      <c r="F50" s="21">
        <v>0</v>
      </c>
      <c r="G50" s="22">
        <f>F50</f>
        <v>0</v>
      </c>
      <c r="H50" s="22">
        <f t="shared" ref="H50:H58" si="20">G50*I50</f>
        <v>0</v>
      </c>
      <c r="I50" s="23">
        <v>1</v>
      </c>
      <c r="J50" s="7" t="s">
        <v>13</v>
      </c>
      <c r="K50" s="12" t="s">
        <v>117</v>
      </c>
      <c r="L50" s="21"/>
      <c r="M50" s="22">
        <f>L50</f>
        <v>0</v>
      </c>
    </row>
    <row r="51" spans="1:13" s="2" customFormat="1" ht="39" customHeight="1" x14ac:dyDescent="0.25">
      <c r="A51" s="19">
        <v>2</v>
      </c>
      <c r="B51" s="19" t="str">
        <f t="shared" si="0"/>
        <v>GERMES UMDP1</v>
      </c>
      <c r="C51" s="29" t="s">
        <v>16</v>
      </c>
      <c r="D51" s="28" t="s">
        <v>35</v>
      </c>
      <c r="E51" s="29" t="s">
        <v>110</v>
      </c>
      <c r="F51" s="30">
        <f t="shared" ref="F51:F52" si="21">M51*1.3*550</f>
        <v>76582.934999999998</v>
      </c>
      <c r="G51" s="31">
        <f t="shared" ref="G51:G52" si="22">F51</f>
        <v>76582.934999999998</v>
      </c>
      <c r="H51" s="31">
        <f t="shared" si="20"/>
        <v>76582.934999999998</v>
      </c>
      <c r="I51" s="32">
        <v>1</v>
      </c>
      <c r="J51" s="33" t="s">
        <v>13</v>
      </c>
      <c r="K51" s="34" t="s">
        <v>25</v>
      </c>
      <c r="L51" s="30">
        <v>396.7</v>
      </c>
      <c r="M51" s="31">
        <f>L51*0.27</f>
        <v>107.10900000000001</v>
      </c>
    </row>
    <row r="52" spans="1:13" s="2" customFormat="1" ht="39" customHeight="1" x14ac:dyDescent="0.25">
      <c r="A52" s="19">
        <v>11</v>
      </c>
      <c r="B52" s="19" t="str">
        <f t="shared" si="0"/>
        <v>GERMES UMDP1</v>
      </c>
      <c r="C52" s="19" t="s">
        <v>55</v>
      </c>
      <c r="D52" s="28" t="s">
        <v>99</v>
      </c>
      <c r="E52" s="19" t="s">
        <v>100</v>
      </c>
      <c r="F52" s="30">
        <f t="shared" si="21"/>
        <v>8384.5190000000021</v>
      </c>
      <c r="G52" s="31">
        <f t="shared" si="22"/>
        <v>8384.5190000000021</v>
      </c>
      <c r="H52" s="22">
        <f t="shared" si="20"/>
        <v>16769.038000000004</v>
      </c>
      <c r="I52" s="32">
        <v>2</v>
      </c>
      <c r="J52" s="33" t="s">
        <v>13</v>
      </c>
      <c r="K52" s="34" t="s">
        <v>25</v>
      </c>
      <c r="L52" s="21">
        <v>34.49</v>
      </c>
      <c r="M52" s="30">
        <f>L52*0.34</f>
        <v>11.726600000000001</v>
      </c>
    </row>
    <row r="53" spans="1:13" s="2" customFormat="1" ht="49.5" customHeight="1" x14ac:dyDescent="0.25">
      <c r="A53" s="19">
        <v>4</v>
      </c>
      <c r="B53" s="19" t="str">
        <f t="shared" si="0"/>
        <v>GERMES UMDP1</v>
      </c>
      <c r="C53" s="29" t="s">
        <v>43</v>
      </c>
      <c r="D53" s="28" t="s">
        <v>41</v>
      </c>
      <c r="E53" s="29" t="s">
        <v>111</v>
      </c>
      <c r="F53" s="30">
        <v>0</v>
      </c>
      <c r="G53" s="31">
        <f t="shared" ref="G53:G54" si="23">F53*0.27</f>
        <v>0</v>
      </c>
      <c r="H53" s="31">
        <f t="shared" si="20"/>
        <v>0</v>
      </c>
      <c r="I53" s="32">
        <v>1</v>
      </c>
      <c r="J53" s="33" t="s">
        <v>13</v>
      </c>
      <c r="K53" s="34" t="s">
        <v>15</v>
      </c>
      <c r="L53" s="30"/>
      <c r="M53" s="31">
        <f t="shared" ref="M53:M54" si="24">L53*0.27</f>
        <v>0</v>
      </c>
    </row>
    <row r="54" spans="1:13" ht="54.75" customHeight="1" x14ac:dyDescent="0.25">
      <c r="A54" s="19">
        <v>5</v>
      </c>
      <c r="B54" s="19" t="str">
        <f t="shared" si="0"/>
        <v>GERMES UMDP1</v>
      </c>
      <c r="C54" s="29" t="s">
        <v>55</v>
      </c>
      <c r="D54" s="29" t="s">
        <v>112</v>
      </c>
      <c r="E54" s="29" t="s">
        <v>113</v>
      </c>
      <c r="F54" s="30">
        <f>M54*1.3*550</f>
        <v>2930.4990000000003</v>
      </c>
      <c r="G54" s="31">
        <f>F54</f>
        <v>2930.4990000000003</v>
      </c>
      <c r="H54" s="31">
        <f t="shared" si="20"/>
        <v>8791.4970000000012</v>
      </c>
      <c r="I54" s="32">
        <v>3</v>
      </c>
      <c r="J54" s="33" t="s">
        <v>13</v>
      </c>
      <c r="K54" s="34" t="s">
        <v>25</v>
      </c>
      <c r="L54" s="30">
        <v>15.18</v>
      </c>
      <c r="M54" s="31">
        <f t="shared" si="24"/>
        <v>4.0986000000000002</v>
      </c>
    </row>
    <row r="55" spans="1:13" s="2" customFormat="1" ht="39" customHeight="1" x14ac:dyDescent="0.25">
      <c r="A55" s="19">
        <v>10</v>
      </c>
      <c r="B55" s="19" t="str">
        <f t="shared" si="0"/>
        <v>GERMES UMDP1</v>
      </c>
      <c r="C55" s="19" t="s">
        <v>69</v>
      </c>
      <c r="D55" s="28" t="s">
        <v>20</v>
      </c>
      <c r="E55" s="19" t="s">
        <v>24</v>
      </c>
      <c r="F55" s="30">
        <v>50</v>
      </c>
      <c r="G55" s="30">
        <f t="shared" ref="G55:G58" si="25">F55</f>
        <v>50</v>
      </c>
      <c r="H55" s="31">
        <f t="shared" si="20"/>
        <v>50</v>
      </c>
      <c r="I55" s="32">
        <v>1</v>
      </c>
      <c r="J55" s="33" t="s">
        <v>13</v>
      </c>
      <c r="K55" s="34" t="s">
        <v>70</v>
      </c>
      <c r="L55" s="30"/>
      <c r="M55" s="30">
        <f t="shared" ref="M55" si="26">L55</f>
        <v>0</v>
      </c>
    </row>
    <row r="56" spans="1:13" s="2" customFormat="1" ht="39" customHeight="1" x14ac:dyDescent="0.25">
      <c r="A56" s="19">
        <v>11</v>
      </c>
      <c r="B56" s="19" t="str">
        <f t="shared" si="0"/>
        <v>GERMES UMDP1</v>
      </c>
      <c r="C56" s="19" t="s">
        <v>49</v>
      </c>
      <c r="D56" s="28" t="s">
        <v>48</v>
      </c>
      <c r="E56" s="19" t="s">
        <v>50</v>
      </c>
      <c r="F56" s="30">
        <f t="shared" ref="F56:F58" si="27">M56*1.3*550</f>
        <v>17312.724000000002</v>
      </c>
      <c r="G56" s="31">
        <f t="shared" si="25"/>
        <v>17312.724000000002</v>
      </c>
      <c r="H56" s="22">
        <f t="shared" si="20"/>
        <v>17312.724000000002</v>
      </c>
      <c r="I56" s="32">
        <v>1</v>
      </c>
      <c r="J56" s="33" t="s">
        <v>13</v>
      </c>
      <c r="K56" s="34" t="s">
        <v>25</v>
      </c>
      <c r="L56" s="21">
        <v>89.68</v>
      </c>
      <c r="M56" s="31">
        <f t="shared" ref="M56:M58" si="28">L56*0.27</f>
        <v>24.213600000000003</v>
      </c>
    </row>
    <row r="57" spans="1:13" s="2" customFormat="1" ht="39" customHeight="1" x14ac:dyDescent="0.25">
      <c r="A57" s="19">
        <v>12</v>
      </c>
      <c r="B57" s="19" t="str">
        <f t="shared" si="0"/>
        <v>GERMES UMDP1</v>
      </c>
      <c r="C57" s="10" t="s">
        <v>19</v>
      </c>
      <c r="D57" s="10" t="s">
        <v>51</v>
      </c>
      <c r="E57" s="10" t="s">
        <v>52</v>
      </c>
      <c r="F57" s="30">
        <f t="shared" si="27"/>
        <v>1704.6315000000002</v>
      </c>
      <c r="G57" s="31">
        <f t="shared" si="25"/>
        <v>1704.6315000000002</v>
      </c>
      <c r="H57" s="22">
        <f>G57*I57</f>
        <v>5113.8945000000003</v>
      </c>
      <c r="I57" s="25">
        <v>3</v>
      </c>
      <c r="J57" s="7" t="s">
        <v>13</v>
      </c>
      <c r="K57" s="34" t="s">
        <v>25</v>
      </c>
      <c r="L57" s="24">
        <v>8.83</v>
      </c>
      <c r="M57" s="31">
        <f t="shared" si="28"/>
        <v>2.3841000000000001</v>
      </c>
    </row>
    <row r="58" spans="1:13" s="2" customFormat="1" ht="39" customHeight="1" x14ac:dyDescent="0.25">
      <c r="A58" s="19">
        <v>9</v>
      </c>
      <c r="B58" s="19" t="str">
        <f t="shared" si="0"/>
        <v>GERMES UMDP1</v>
      </c>
      <c r="C58" s="19" t="s">
        <v>55</v>
      </c>
      <c r="D58" s="28" t="s">
        <v>114</v>
      </c>
      <c r="E58" s="19" t="s">
        <v>115</v>
      </c>
      <c r="F58" s="30">
        <f t="shared" si="27"/>
        <v>1623.5505000000001</v>
      </c>
      <c r="G58" s="31">
        <f t="shared" si="25"/>
        <v>1623.5505000000001</v>
      </c>
      <c r="H58" s="31">
        <f t="shared" si="20"/>
        <v>17859.055500000002</v>
      </c>
      <c r="I58" s="32">
        <v>11</v>
      </c>
      <c r="J58" s="33" t="s">
        <v>13</v>
      </c>
      <c r="K58" s="34" t="s">
        <v>25</v>
      </c>
      <c r="L58" s="30">
        <v>8.41</v>
      </c>
      <c r="M58" s="31">
        <f t="shared" si="28"/>
        <v>2.2707000000000002</v>
      </c>
    </row>
    <row r="59" spans="1:13" s="2" customFormat="1" ht="39" customHeight="1" x14ac:dyDescent="0.25">
      <c r="A59" s="19">
        <v>12</v>
      </c>
      <c r="B59" s="19" t="str">
        <f t="shared" si="0"/>
        <v>GERMES UMDP1</v>
      </c>
      <c r="C59" s="10" t="s">
        <v>11</v>
      </c>
      <c r="D59" s="10" t="s">
        <v>11</v>
      </c>
      <c r="E59" s="10" t="s">
        <v>11</v>
      </c>
      <c r="F59" s="24">
        <f>H60</f>
        <v>72000</v>
      </c>
      <c r="G59" s="22">
        <f>F59</f>
        <v>72000</v>
      </c>
      <c r="H59" s="22">
        <f>G59*I59</f>
        <v>72000</v>
      </c>
      <c r="I59" s="25">
        <v>1</v>
      </c>
      <c r="J59" s="7" t="s">
        <v>13</v>
      </c>
      <c r="K59" s="7" t="s">
        <v>11</v>
      </c>
      <c r="L59" s="24"/>
      <c r="M59" s="22">
        <f>L59</f>
        <v>0</v>
      </c>
    </row>
    <row r="60" spans="1:13" s="2" customFormat="1" ht="39" customHeight="1" x14ac:dyDescent="0.25">
      <c r="A60" s="19">
        <v>13</v>
      </c>
      <c r="B60" s="19" t="str">
        <f t="shared" si="0"/>
        <v>GERMES UMDP1</v>
      </c>
      <c r="C60" s="10" t="s">
        <v>12</v>
      </c>
      <c r="D60" s="10" t="s">
        <v>12</v>
      </c>
      <c r="E60" s="10" t="s">
        <v>12</v>
      </c>
      <c r="F60" s="26">
        <v>200</v>
      </c>
      <c r="G60" s="22">
        <f>F60</f>
        <v>200</v>
      </c>
      <c r="H60" s="22">
        <f>G60*I60</f>
        <v>72000</v>
      </c>
      <c r="I60" s="25">
        <f>60*6</f>
        <v>360</v>
      </c>
      <c r="J60" s="7" t="s">
        <v>13</v>
      </c>
      <c r="K60" s="7" t="s">
        <v>12</v>
      </c>
      <c r="L60" s="26"/>
      <c r="M60" s="22">
        <f>L60</f>
        <v>0</v>
      </c>
    </row>
  </sheetData>
  <autoFilter ref="A1:K60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 calismasi burda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2026-08-24T09:07:31Z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