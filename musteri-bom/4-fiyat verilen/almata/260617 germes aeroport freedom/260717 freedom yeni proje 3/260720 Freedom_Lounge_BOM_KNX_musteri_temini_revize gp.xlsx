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717 freedom yeni proje\"/>
    </mc:Choice>
  </mc:AlternateContent>
  <xr:revisionPtr revIDLastSave="0" documentId="13_ncr:1_{8D37BD36-52C9-43D0-A02C-1E438B08EF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REVIZE" sheetId="1" r:id="rId1"/>
    <sheet name="MUSTERI_TEMIN_KNX" sheetId="2" r:id="rId2"/>
    <sheet name="KONTROL_RISK" sheetId="3" r:id="rId3"/>
  </sheets>
  <definedNames>
    <definedName name="_xlnm._FilterDatabase" localSheetId="0" hidden="1">BOM_REVIZE!$A$1:$P$47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3" i="1"/>
  <c r="H48" i="1"/>
  <c r="F2" i="1" s="1"/>
  <c r="G13" i="1"/>
  <c r="N28" i="1"/>
  <c r="N27" i="1"/>
  <c r="N19" i="1"/>
  <c r="N11" i="1"/>
  <c r="F11" i="1" s="1"/>
  <c r="G11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7" i="1"/>
  <c r="G37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2" i="1"/>
  <c r="G12" i="1" s="1"/>
  <c r="F10" i="1"/>
  <c r="G10" i="1" s="1"/>
  <c r="N9" i="1"/>
  <c r="F9" i="1" s="1"/>
  <c r="G9" i="1" s="1"/>
  <c r="N6" i="1"/>
  <c r="F6" i="1" s="1"/>
  <c r="G6" i="1" s="1"/>
  <c r="N5" i="1"/>
  <c r="F5" i="1" s="1"/>
  <c r="G5" i="1" s="1"/>
  <c r="N36" i="1"/>
  <c r="F36" i="1" s="1"/>
  <c r="G36" i="1" s="1"/>
  <c r="G38" i="1"/>
  <c r="G7" i="1"/>
</calcChain>
</file>

<file path=xl/sharedStrings.xml><?xml version="1.0" encoding="utf-8"?>
<sst xmlns="http://schemas.openxmlformats.org/spreadsheetml/2006/main" count="587" uniqueCount="292">
  <si>
    <t>sira no</t>
  </si>
  <si>
    <t>Наименование1</t>
  </si>
  <si>
    <t>malzeme</t>
  </si>
  <si>
    <t>Артикул</t>
  </si>
  <si>
    <t>Номенклатура</t>
  </si>
  <si>
    <t>Цена,тг abbler euro</t>
  </si>
  <si>
    <t>Цена,тг</t>
  </si>
  <si>
    <t>СУММ.</t>
  </si>
  <si>
    <t>Кол- во</t>
  </si>
  <si>
    <t>Ед.изм</t>
  </si>
  <si>
    <t>завод изготовитель</t>
  </si>
  <si>
    <t>Not / Değişiklik</t>
  </si>
  <si>
    <t>srk euro bz kdv</t>
  </si>
  <si>
    <t>srk indirimli euro tr</t>
  </si>
  <si>
    <t>Durum</t>
  </si>
  <si>
    <t>Kaynak</t>
  </si>
  <si>
    <t>TAV-FR-E-EAP-009-R000 / Freedom Lounge / Rev.16.07.2026</t>
  </si>
  <si>
    <t>комплект</t>
  </si>
  <si>
    <t>TEKLED</t>
  </si>
  <si>
    <t>16.07.2026 tek hat şemasına göre kontrol edildi. Kritik fiyatı/kodu eksik satırlar nedeniyle toplam nihai değildir.</t>
  </si>
  <si>
    <t>NİHAİ DEĞİL</t>
  </si>
  <si>
    <t>Фридом_одн_16.07.pdf, s.1</t>
  </si>
  <si>
    <t>korpus</t>
  </si>
  <si>
    <t>1800x700+700x450+100 mm baza</t>
  </si>
  <si>
    <t>шт.</t>
  </si>
  <si>
    <t>TEKSAN F</t>
  </si>
  <si>
    <t>Ölçü eski BOM'dan alınmıştır; yeni 250A/160A XT3N ve müşteri teminli KNX yerleşimiyle mekanik kontrol yapılmalı.</t>
  </si>
  <si>
    <t>KONTROL EDİLECEK</t>
  </si>
  <si>
    <t>Mevcut Excel + PDF s.1</t>
  </si>
  <si>
    <t>1800x600x450+100 mm baza</t>
  </si>
  <si>
    <t>Ölçü eski BOM'dan alınmıştır; UMDP1 yerleşimiyle mekanik kontrol yapılmalı.</t>
  </si>
  <si>
    <t>TMŞ</t>
  </si>
  <si>
    <t>ABB</t>
  </si>
  <si>
    <t>Mevcut Excel'deki XT1N 80A 4P satırı bu proje için yanlış. Kesme kapasitesi ve trip unit belirtilmedi; kesin ABB kodu seçilmeden fiyatlandırma yapılmamalı.</t>
  </si>
  <si>
    <t>KRİTİK</t>
  </si>
  <si>
    <t>PDF s.1: EMDP1 giriş 3x250A XT3N</t>
  </si>
  <si>
    <t>Mevcut Excel'de eksik. Kesme kapasitesi ve trip unit belirtilmedi; kesin ABB kodu teyit edilmeli.</t>
  </si>
  <si>
    <t>PDF s.1: devre 80, 3x160A XT3N</t>
  </si>
  <si>
    <t>akım t.</t>
  </si>
  <si>
    <t>Akım trafosu 250/5A, Class 0.5, 5VA</t>
  </si>
  <si>
    <t>PYS</t>
  </si>
  <si>
    <t>Mevcut Excel 75/5A yazıyordu; PDF'de iki adet 3 faz ölçüm seti için 250/5A görülüyor.</t>
  </si>
  <si>
    <t>DÜZELTİLDİ</t>
  </si>
  <si>
    <t>PDF s.1: CVM-C10 ve sayaç ölçüm devresi</t>
  </si>
  <si>
    <t>sayac</t>
  </si>
  <si>
    <t>3 faz, akım trafolu x/5A sayaç - RK mevzuatına uygun</t>
  </si>
  <si>
    <t>SAIMAN</t>
  </si>
  <si>
    <t>Kesin sayaç modeli projede belirtilmemiş; model onayı gerekli.</t>
  </si>
  <si>
    <t>PDF s.1: sayaç notu</t>
  </si>
  <si>
    <t>ENERGY ANALIZOR</t>
  </si>
  <si>
    <t>OTO</t>
  </si>
  <si>
    <t>2CDS211001R0065</t>
  </si>
  <si>
    <t>SH201-B6, 1P, 6A, B eğrisi, 6kA</t>
  </si>
  <si>
    <t>Ürün koduna göre açıklama düzeltildi. Adet 7 eski BOM'dan; tek hatta iç kontrol devreleri ayrı ayrı gösterilmediği için teyit edilmeli.</t>
  </si>
  <si>
    <t>Mevcut Excel + ABB ürün kodu</t>
  </si>
  <si>
    <t>2CDS213001R0254</t>
  </si>
  <si>
    <t>SH203-C25, 3P, 25A</t>
  </si>
  <si>
    <t>PDF'de 2 adet 3x25A NC görülüyor.</t>
  </si>
  <si>
    <t>UYGUN</t>
  </si>
  <si>
    <t>PDF s.1</t>
  </si>
  <si>
    <t>kkr</t>
  </si>
  <si>
    <t>PDF Type A istiyor. Mevcut Excel kodu F202 B-16/0.03 idi; doğru Type A ürün kodu ve fiyatı seçilmeli.</t>
  </si>
  <si>
    <t>PDF s.1: 1 adet aydınlatma + 11 adet UMDP1</t>
  </si>
  <si>
    <t>2CDS211001R0105</t>
  </si>
  <si>
    <t>SH201-B10, 1P, 10A</t>
  </si>
  <si>
    <t>PDF'de 31 adet 1x10A NB görülüyor.</t>
  </si>
  <si>
    <t>guc kaynagı</t>
  </si>
  <si>
    <t>MDR-60-12</t>
  </si>
  <si>
    <t>MEAN WELL MDR-60-12, 12VDC / 5A</t>
  </si>
  <si>
    <t>MEAN WELL</t>
  </si>
  <si>
    <t>KNX değildir; TEKLED BOM'unda kalmalıdır. Fiyat girilmemiş.</t>
  </si>
  <si>
    <t>PDF s.1: PS1</t>
  </si>
  <si>
    <t>KNX güç kaynağı</t>
  </si>
  <si>
    <t>TXA112</t>
  </si>
  <si>
    <t>KNX Bus Power Supply 30VDC, 640mA</t>
  </si>
  <si>
    <t>MÜŞTERİ TEMİNİ</t>
  </si>
  <si>
    <t>KNX malzemesi müşteri tarafından temin edilecek; malzeme bedeli teklif dışıdır. Pano içi yer, montaj ve bağlantı sorumluluğu sipariş öncesi yazılı teyit edilmeli.</t>
  </si>
  <si>
    <t>PDF s.1 + kullanıcı talimatı</t>
  </si>
  <si>
    <t>KNX hat bağlayıcı</t>
  </si>
  <si>
    <t>TYFS130</t>
  </si>
  <si>
    <t>KNX Line Coupler Secure</t>
  </si>
  <si>
    <t>KNX IP router</t>
  </si>
  <si>
    <t>TYFS121</t>
  </si>
  <si>
    <t>KNX/IP Secure Router</t>
  </si>
  <si>
    <t>KNX çıkış modülü</t>
  </si>
  <si>
    <t>2CDG110264R0021</t>
  </si>
  <si>
    <t>SA/S12.16.2.12, 12 çıkışlı KNX modül</t>
  </si>
  <si>
    <t>PDF s.1: 20 kanal toplam + mevcut Excel</t>
  </si>
  <si>
    <t>2CDG110267R0021</t>
  </si>
  <si>
    <t>SA/S8.16.5.12, 8 çıkışlı KNX modül</t>
  </si>
  <si>
    <t>Mevcut Excel 6 adet ve Type AC ürün yazıyordu. PDF'de 5 adet ve Type A görülüyor; doğru ürün kodu/fiyatı seçilmeli.</t>
  </si>
  <si>
    <t>2CDS213001R0164</t>
  </si>
  <si>
    <t>SH203-C16, 3P, 16A</t>
  </si>
  <si>
    <t>PDF'de 1 adet 3x16A NC görülüyor.</t>
  </si>
  <si>
    <t>DİF</t>
  </si>
  <si>
    <t>2CSR255080R1164</t>
  </si>
  <si>
    <t>DS201 C16, 30mA RCBO</t>
  </si>
  <si>
    <t>PDF'de 44 adet C16A 30mA difavtomat görülüyor.</t>
  </si>
  <si>
    <t>2CSR255140R1254</t>
  </si>
  <si>
    <t>DS201 C25, 30mA RCBO</t>
  </si>
  <si>
    <t>PDF'de 4 adet C25A 30mA difavtomat görülüyor.</t>
  </si>
  <si>
    <t>mks</t>
  </si>
  <si>
    <t>1SAM250000R1011</t>
  </si>
  <si>
    <t>MS116-16, ayar 10-16A</t>
  </si>
  <si>
    <t>Mevcut Excel 2 adet yazıyordu; PDF'de 10-16A aralığında 1 adet MPCB var.</t>
  </si>
  <si>
    <t>PDF s.1: PC04</t>
  </si>
  <si>
    <t>1SAM250000R1012</t>
  </si>
  <si>
    <t>MS116-12, ayar 9-13A</t>
  </si>
  <si>
    <t>PDF'de 2 adet 9-13A MPCB var.</t>
  </si>
  <si>
    <t>PDF s.1: PC02, PC05</t>
  </si>
  <si>
    <t>1SAM250000R1004</t>
  </si>
  <si>
    <t>MS116-0.63, ayar 0.40-0.63A</t>
  </si>
  <si>
    <t>PDF'de 2 adet 0.40-0.63A MPCB var.</t>
  </si>
  <si>
    <t>PDF s.1: PC03, PC06</t>
  </si>
  <si>
    <t>mks kontak</t>
  </si>
  <si>
    <t>1SAM201903R1001</t>
  </si>
  <si>
    <t>SK1-11 yardımcı kontak</t>
  </si>
  <si>
    <t>MPCB adedi 5 olduğundan 6'dan 5'e düşürüldü; her MPCB için 1 kontak varsayımı pano fonksiyonuyla teyit edilmeli.</t>
  </si>
  <si>
    <t>PDF s.1 + mevcut Excel</t>
  </si>
  <si>
    <t>kontaktor</t>
  </si>
  <si>
    <t>PDF'de C1 yük akımı 20.5A. Mevcut AF16 seçimi sınır/altında olabilir; AC-3 kullanım kategorisi ve motor/yük tipiyle kesin kod seçilmeli.</t>
  </si>
  <si>
    <t>PDF s.1: C1, 3x20.5A</t>
  </si>
  <si>
    <t>1SBL177001R1310</t>
  </si>
  <si>
    <t>AF16-30-10</t>
  </si>
  <si>
    <t>C2, C4, C5 için 16A seviyesinde 3 adet; C1 ayrı kontrol satırına alındı.</t>
  </si>
  <si>
    <t>1SBL137001R1310</t>
  </si>
  <si>
    <t>AF09-30-10</t>
  </si>
  <si>
    <t>C3 ve C6 için 2 adet.</t>
  </si>
  <si>
    <t>mandal buton</t>
  </si>
  <si>
    <t>1SFA619210R1026</t>
  </si>
  <si>
    <t>C3SS1-10B-20, 1-0-2 seçici</t>
  </si>
  <si>
    <t>PC01-PC06 için 6 adet 1-0-2 seçici.</t>
  </si>
  <si>
    <t>kesıcı</t>
  </si>
  <si>
    <t>1SEP101890R0002</t>
  </si>
  <si>
    <t>XLP 00-6BC, SPD yedek sigorta altlığı/ayırıcı</t>
  </si>
  <si>
    <t>Mevcut Excel 2 adet yazıyordu. PDF'de SPD için 3 adet 125A NH yedek sigorta gösteriliyor; K01/K02 için eski iki adet kullanım geçerli değil.</t>
  </si>
  <si>
    <t>PDF s.1: SPD bölümü</t>
  </si>
  <si>
    <t>buson</t>
  </si>
  <si>
    <t>1SCA022627R1630</t>
  </si>
  <si>
    <t>OFAF00H125, NH00 125A</t>
  </si>
  <si>
    <t>Mevcut Excel 6 adet yazıyordu; PDF'de SPD önünde 3 adet 1x125A NH görülüyor.</t>
  </si>
  <si>
    <t>PDF s.1: 3 шт. (1x125 A NH)</t>
  </si>
  <si>
    <t>parafodr</t>
  </si>
  <si>
    <t>2CTB812111R2300</t>
  </si>
  <si>
    <t>OVR T1-T2 3N 100-255 P TS</t>
  </si>
  <si>
    <t>PDF: B+C sınıfı, 3F+N+PE SPD. Mevcut ürün koordinasyonu ve yedek sigorta şartı teyit edilmeli.</t>
  </si>
  <si>
    <t>2CDS211103R0404</t>
  </si>
  <si>
    <t>SH201-C40 NA / 2 kutuplu C40 koruma</t>
  </si>
  <si>
    <t>PDF'de üç adet 2x40A NC devre görülüyor. Ürün kodunun 2 kutuplu fonksiyonla uyumu teyit edilmeli.</t>
  </si>
  <si>
    <t>PDF s.1: K01, K02 ve bypass</t>
  </si>
  <si>
    <t>PDF'de 2x40A/10kA ayrı olarak gösterilmiş; mevcut Excel'de ayrı kalem yok.</t>
  </si>
  <si>
    <t>PDF s.1: UMDP1 giriş/bypass</t>
  </si>
  <si>
    <t>ats</t>
  </si>
  <si>
    <t>1SCA151421R1001</t>
  </si>
  <si>
    <t>OTM63F2C20D230C</t>
  </si>
  <si>
    <t>Otomatik bypass/transfer fonksiyonu için mevcut BOM kalemi; tek hat fonksiyon eşleşmesi teyit edilmeli.</t>
  </si>
  <si>
    <t>manuel bypass</t>
  </si>
  <si>
    <t>2P, 40A, 1-0-2 manuel bypass/değiştirme şalteri</t>
  </si>
  <si>
    <t>PDF'de manuel bypass ve 1-0-2 anahtar gösteriliyor; mevcut Excel'de ayrı ürün kodu yok.</t>
  </si>
  <si>
    <t>PDF s.1: UMDP1</t>
  </si>
  <si>
    <t>40/5A akım trafosu</t>
  </si>
  <si>
    <t>UMDP1 analizör ölçümü için.</t>
  </si>
  <si>
    <t>2TAZ662012R2000</t>
  </si>
  <si>
    <t>M1M 20 Modbus (UMDP1 için önerilen alternatif)</t>
  </si>
  <si>
    <t>UMDP1 analizör modeli projede açıkça belirtilmemiş. ABB M1M20 kullanımı müşteri/proje onayına bağlıdır.</t>
  </si>
  <si>
    <t>2CDS251001R0024</t>
  </si>
  <si>
    <t>S201-C2, 1P, 2A</t>
  </si>
  <si>
    <t>PDF'de 2 adet 1x2A NB 6kA görülüyor.</t>
  </si>
  <si>
    <t>2CDS211001R0164</t>
  </si>
  <si>
    <t>SH201-C16, 1P, 16A</t>
  </si>
  <si>
    <t>UMDP1 çıkışlarında 11 adet 1x16A NC.</t>
  </si>
  <si>
    <t>sınyal l</t>
  </si>
  <si>
    <t>1SFA619403R5232</t>
  </si>
  <si>
    <t>CL2-523G yeşil sinyal lambası</t>
  </si>
  <si>
    <t>6 mekanik devre x 3 yeşil lamba + diğer gösterimler; adet mevcut Excel'den korunmuştur ve kapak yerleşimiyle teyit edilmeli.</t>
  </si>
  <si>
    <t>sınyal la</t>
  </si>
  <si>
    <t>1SFA619403R5233</t>
  </si>
  <si>
    <t>CL2-523Y sarı sinyal lambası</t>
  </si>
  <si>
    <t>Adet mevcut Excel'den korunmuştur; kapak yerleşimiyle teyit edilmeli.</t>
  </si>
  <si>
    <t>Mevcut Excel</t>
  </si>
  <si>
    <t>1SFA619403R5231</t>
  </si>
  <si>
    <t>CL2-523R kırmızı sinyal lambası</t>
  </si>
  <si>
    <t>монтажный материал</t>
  </si>
  <si>
    <t>Montaj malzemesi</t>
  </si>
  <si>
    <t>Klemens, DIN ray, kablo kanalı, bara ve iç kablolama metrajları ayrıca detaylandırılmalıdır.</t>
  </si>
  <si>
    <t>монтажная работа</t>
  </si>
  <si>
    <t>Montaj işçiliği</t>
  </si>
  <si>
    <t>Eski BOM toplam işçilik bedeli korunmuştur; yeni cihaz/yerleşim sonrası yeniden hesaplanmalıdır.</t>
  </si>
  <si>
    <t>Sıra</t>
  </si>
  <si>
    <t>Ürün Kodu</t>
  </si>
  <si>
    <t>Ürün / Açıklama</t>
  </si>
  <si>
    <t>Miktar</t>
  </si>
  <si>
    <t>Birim</t>
  </si>
  <si>
    <t>Malzeme Sorumluluğu</t>
  </si>
  <si>
    <t>Teklif Durumu</t>
  </si>
  <si>
    <t>Montaj / Bağlantı Notu</t>
  </si>
  <si>
    <t>Müşteri</t>
  </si>
  <si>
    <t>Malzeme bedeli teklif dışı</t>
  </si>
  <si>
    <t>Pano içinde yer ayrılacak; montaj ve bağlantı sorumluluğu sipariş öncesi yazılı teyit edilmeli.</t>
  </si>
  <si>
    <t>20 kanal toplam yapının 12 kanallı parçası; montaj/bağlantı kapsamı teyit edilmeli.</t>
  </si>
  <si>
    <t>20 kanal toplam yapının 8 kanallı parçası; montaj/bağlantı kapsamı teyit edilmeli.</t>
  </si>
  <si>
    <t>MEAN WELL 12VDC / 5A güç kaynağı</t>
  </si>
  <si>
    <t>BOM'da kalacak</t>
  </si>
  <si>
    <t>KNX değildir; müşteri temini kapsamına alınmamalı.</t>
  </si>
  <si>
    <t>No</t>
  </si>
  <si>
    <t>Kontrol konusu</t>
  </si>
  <si>
    <t>PDF 16.07 durumu</t>
  </si>
  <si>
    <t>Mevcut Excel durumu</t>
  </si>
  <si>
    <t>Yapılan / Gerekli işlem</t>
  </si>
  <si>
    <t>Öncelik</t>
  </si>
  <si>
    <t>Sonuç</t>
  </si>
  <si>
    <t>KNX malzemeleri</t>
  </si>
  <si>
    <t>TXA112, TYFS130, TYFS121 ve 20 kanal modül (12+8) gösteriliyor.</t>
  </si>
  <si>
    <t>Kalemler BOM'da vardı; iki modülde Euro referans fiyatı da bulunuyordu.</t>
  </si>
  <si>
    <t>Beş KNX kalemi müşteri temini olarak ayrıldı; tüm ticari fiyatlar 0 yapıldı.</t>
  </si>
  <si>
    <t>Yüksek</t>
  </si>
  <si>
    <t>Meanwell MDR-60-12</t>
  </si>
  <si>
    <t>PS1 olarak 12VDC/5A güç kaynağı gösteriliyor.</t>
  </si>
  <si>
    <t>BOM'da 1 adet var, fiyat 0.</t>
  </si>
  <si>
    <t>KNX kapsamına alınmadı; TEKLED BOM'unda bırakıldı, fiyat girilmeli.</t>
  </si>
  <si>
    <t>Orta</t>
  </si>
  <si>
    <t>EMDP1 ana giriş MCCB</t>
  </si>
  <si>
    <t>3x250A XT3N.</t>
  </si>
  <si>
    <t>XT1N 160 gövde, 80A, 4P kodu vardı.</t>
  </si>
  <si>
    <t>Yanlış satır kaldırıldı; XT3N 250A 3P eklendi. Icu/trip unit ve ABB kodu teyit edilmeli.</t>
  </si>
  <si>
    <t>Kritik</t>
  </si>
  <si>
    <t>Mekanik bölüm MCCB</t>
  </si>
  <si>
    <t>3x160A XT3N.</t>
  </si>
  <si>
    <t>Excel'de yok.</t>
  </si>
  <si>
    <t>Eksik kalem eklendi; Icu/trip unit ve ABB kodu teyit edilmeli.</t>
  </si>
  <si>
    <t>Akım trafoları</t>
  </si>
  <si>
    <t>250/5A, Class 0.5, 5VA; iki 3-faz seti = 6 adet.</t>
  </si>
  <si>
    <t>75/5A, 6 adet.</t>
  </si>
  <si>
    <t>Oran 250/5A olarak düzeltildi; kod/fiyat yeniden seçilmeli.</t>
  </si>
  <si>
    <t>EMDP1 enerji analizörü</t>
  </si>
  <si>
    <t>CIRCUTOR CVM-C10 açıkça yazıyor.</t>
  </si>
  <si>
    <t>ABB M1M20 yazıyordu.</t>
  </si>
  <si>
    <t>CVM-C10 olarak ayrıldı; ABB alternatifi ancak proje/müşteri onayıyla kullanılmalı.</t>
  </si>
  <si>
    <t>2P 16A 30mA RCCB</t>
  </si>
  <si>
    <t>Type A; toplam 12 adet (1 aydınlatma + 11 UMDP1).</t>
  </si>
  <si>
    <t>F202 B-16/0.03 kodu, 12 adet.</t>
  </si>
  <si>
    <t>Adet korundu; Type A doğru ürün kodu ve fiyatı seçilmeli.</t>
  </si>
  <si>
    <t>4P 25A 30mA RCCB</t>
  </si>
  <si>
    <t>Type A; 5 adet.</t>
  </si>
  <si>
    <t>Type AC ürün, 6 adet.</t>
  </si>
  <si>
    <t>Adet 5'e düşürüldü; Type A ürün kodu/fiyatı bekleniyor.</t>
  </si>
  <si>
    <t>MPCB dağılımı</t>
  </si>
  <si>
    <t>9-13A x2; 0.40-0.63A x2; 10-16A x1 = toplam 5.</t>
  </si>
  <si>
    <t>MS116-16 x2; MS116-12 x2; MS116-0.63 x2 = toplam 6.</t>
  </si>
  <si>
    <t>MS116-16 1 adede, yardımcı kontak 5 adede düşürüldü.</t>
  </si>
  <si>
    <t>C1 kontaktörü</t>
  </si>
  <si>
    <t>C1 yük akımı 3x20.5A.</t>
  </si>
  <si>
    <t>AF16 grubunda değerlendirilmişti.</t>
  </si>
  <si>
    <t>C1 ayrı kritik seçim satırına alındı; AC-3/yük tipiyle kesin kontaktör seçilmeli.</t>
  </si>
  <si>
    <t>SPD yedek sigortaları</t>
  </si>
  <si>
    <t>3 adet 1x125A NH.</t>
  </si>
  <si>
    <t>XLP00 x2 ve NH125 x6.</t>
  </si>
  <si>
    <t>XLP00 1 adede, NH125 3 adede düşürüldü; koordinasyon teyidi gerekli.</t>
  </si>
  <si>
    <t>UMDP1 40A koruma/bypass</t>
  </si>
  <si>
    <t>Üç adet 2x40A NC, bir adet 2x40A/10kA ve 1-0-2 manuel bypass gösteriliyor.</t>
  </si>
  <si>
    <t>C40 NA x3 ve OTM63 x1 vardı.</t>
  </si>
  <si>
    <t>10kA 2P40A ve manuel bypass ayrı kalem olarak eklendi; kesin ürün kodları bekleniyor.</t>
  </si>
  <si>
    <t>Ürün açıklaması 2CDS211001R0065</t>
  </si>
  <si>
    <t>SH201-B6 cihaz kodu.</t>
  </si>
  <si>
    <t>Açıklama hücresinde yanlışlıkla RS485/haberleşme metni vardı.</t>
  </si>
  <si>
    <t>Açıklama SH201-B6 olarak düzeltildi.</t>
  </si>
  <si>
    <t>Montaj sarfları</t>
  </si>
  <si>
    <t>Tek hat klemens/DIN/kanal/bara metrajı vermiyor.</t>
  </si>
  <si>
    <t>Tek kalem montaj malzemesi vardı.</t>
  </si>
  <si>
    <t>Nihai üretim BOM'u için klemens, DIN ray, kablo kanalı, bara ve iç kablo metrajı ayrıca çıkarılmalı.</t>
  </si>
  <si>
    <t>Nihai teklif toplamı</t>
  </si>
  <si>
    <t>Kritik cihazların kesin kod/fiyatı projede yok.</t>
  </si>
  <si>
    <t>Eski toplam yanlış ana şalter ve RCD kodlarını içeriyordu.</t>
  </si>
  <si>
    <t>BOM_REVIZE H2 yalnızca fiyatı doğrulanmış mevcut kalemlerin ara toplamıdır; nihai teklif değildir.</t>
  </si>
  <si>
    <t>Revize kontrol sonucu</t>
  </si>
  <si>
    <t>XT3N 250, TMD, In=250A  - EMDP1 ana giriş</t>
  </si>
  <si>
    <t xml:space="preserve"> 1SDA068059R1 </t>
  </si>
  <si>
    <t xml:space="preserve"> 1SDA067418R1 </t>
  </si>
  <si>
    <t>XT1N 160, TMD, In=160A  - mekanik bölüm beslemesi</t>
  </si>
  <si>
    <t>40/5</t>
  </si>
  <si>
    <t xml:space="preserve"> 2CDS272001R0404</t>
  </si>
  <si>
    <t>S 202 M-C 40</t>
  </si>
  <si>
    <t xml:space="preserve"> 1SAE231111R0640 </t>
  </si>
  <si>
    <t xml:space="preserve">ESB25-40N </t>
  </si>
  <si>
    <t>kontaktor m</t>
  </si>
  <si>
    <t xml:space="preserve"> AF26-40-00</t>
  </si>
  <si>
    <t xml:space="preserve"> 1SBL237201R1300</t>
  </si>
  <si>
    <t>metop</t>
  </si>
  <si>
    <t>2CSF202102R1250</t>
  </si>
  <si>
    <t>FH202 A-25/0.03</t>
  </si>
  <si>
    <t xml:space="preserve"> 2CSF204102R1250</t>
  </si>
  <si>
    <t xml:space="preserve">FH204 A-25/0.03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</si>
</sst>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##"/>
  </numFmts>
  <fonts count="5">
    <font>
      <sz val="11"/>
      <name val="Carlito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8E6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4F81BD"/>
      </patternFill>
    </fill>
    <fill>
      <patternFill patternType="solid">
        <fgColor rgb="FFC00000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164" fontId="3" fillId="3" borderId="12" xfId="0" applyNumberFormat="1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2" fillId="0" borderId="12" xfId="0" applyNumberFormat="1" applyFont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164" fontId="2" fillId="5" borderId="12" xfId="0" applyNumberFormat="1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2" fillId="8" borderId="12" xfId="0" applyFont="1" applyFill="1" applyBorder="1" applyAlignment="1">
      <alignment vertical="center" wrapText="1"/>
    </xf>
    <xf numFmtId="164" fontId="2" fillId="8" borderId="12" xfId="0" applyNumberFormat="1" applyFont="1" applyFill="1" applyBorder="1" applyAlignment="1">
      <alignment vertical="center" wrapText="1"/>
    </xf>
    <xf numFmtId="0" fontId="3" fillId="8" borderId="12" xfId="0" applyFont="1" applyFill="1" applyBorder="1" applyAlignment="1">
      <alignment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5" fontId="2" fillId="8" borderId="12" xfId="0" applyNumberFormat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vertical="center" wrapText="1"/>
    </xf>
    <xf numFmtId="3" fontId="2" fillId="0" borderId="12" xfId="0" applyNumberFormat="1" applyFont="1" applyBorder="1" applyAlignment="1">
      <alignment vertical="center" wrapText="1"/>
    </xf>
    <xf numFmtId="3" fontId="2" fillId="8" borderId="12" xfId="0" applyNumberFormat="1" applyFont="1" applyFill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workbookViewId="0">
      <selection activeCell="F2" sqref="F2"/>
    </sheetView>
  </sheetViews>
  <sheetFormatPr defaultRowHeight="14.25"/>
  <cols>
    <col min="1" max="1" width="8" customWidth="1"/>
    <col min="2" max="2" width="27" customWidth="1"/>
    <col min="3" max="3" width="18" customWidth="1"/>
    <col min="4" max="4" width="16.375" customWidth="1"/>
    <col min="5" max="5" width="42" customWidth="1"/>
    <col min="6" max="7" width="8.75" style="55" customWidth="1"/>
    <col min="8" max="8" width="9.5" style="55" customWidth="1"/>
    <col min="9" max="9" width="6.625" style="50" customWidth="1"/>
    <col min="10" max="10" width="6.5" style="50" customWidth="1"/>
    <col min="11" max="11" width="10" style="50" customWidth="1"/>
    <col min="12" max="12" width="46" customWidth="1"/>
    <col min="13" max="13" width="10.875" customWidth="1"/>
    <col min="14" max="15" width="12.5" customWidth="1"/>
    <col min="16" max="16" width="34" customWidth="1"/>
  </cols>
  <sheetData>
    <row r="1" spans="1:16" ht="60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51" t="s">
        <v>5</v>
      </c>
      <c r="G1" s="51" t="s">
        <v>6</v>
      </c>
      <c r="H1" s="51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</row>
    <row r="2" spans="1:16" ht="36" customHeight="1">
      <c r="A2" s="31">
        <v>1</v>
      </c>
      <c r="B2" s="31" t="s">
        <v>16</v>
      </c>
      <c r="C2" s="31"/>
      <c r="D2" s="31"/>
      <c r="E2" s="31" t="s">
        <v>16</v>
      </c>
      <c r="F2" s="52">
        <f>2.3*H48</f>
        <v>8646927.6457000002</v>
      </c>
      <c r="G2" s="52"/>
      <c r="H2" s="52"/>
      <c r="I2" s="44">
        <v>1</v>
      </c>
      <c r="J2" s="45" t="s">
        <v>17</v>
      </c>
      <c r="K2" s="45" t="s">
        <v>18</v>
      </c>
      <c r="L2" s="31" t="s">
        <v>19</v>
      </c>
      <c r="M2" s="32"/>
      <c r="N2" s="32"/>
      <c r="O2" s="33" t="s">
        <v>20</v>
      </c>
      <c r="P2" s="31" t="s">
        <v>21</v>
      </c>
    </row>
    <row r="3" spans="1:16" ht="36" customHeight="1">
      <c r="A3" s="34">
        <v>2</v>
      </c>
      <c r="B3" s="34" t="s">
        <v>16</v>
      </c>
      <c r="C3" s="34" t="s">
        <v>22</v>
      </c>
      <c r="D3" s="34"/>
      <c r="E3" s="34" t="s">
        <v>23</v>
      </c>
      <c r="F3" s="53">
        <v>350000</v>
      </c>
      <c r="G3" s="53">
        <v>210000</v>
      </c>
      <c r="H3" s="53">
        <f>G3*I3</f>
        <v>210000</v>
      </c>
      <c r="I3" s="46">
        <v>1</v>
      </c>
      <c r="J3" s="47" t="s">
        <v>24</v>
      </c>
      <c r="K3" s="47" t="s">
        <v>25</v>
      </c>
      <c r="L3" s="34" t="s">
        <v>26</v>
      </c>
      <c r="M3" s="35"/>
      <c r="N3" s="35"/>
      <c r="O3" s="31" t="s">
        <v>27</v>
      </c>
      <c r="P3" s="34" t="s">
        <v>28</v>
      </c>
    </row>
    <row r="4" spans="1:16" ht="36" customHeight="1">
      <c r="A4" s="34">
        <v>3</v>
      </c>
      <c r="B4" s="34" t="s">
        <v>16</v>
      </c>
      <c r="C4" s="34" t="s">
        <v>22</v>
      </c>
      <c r="D4" s="34"/>
      <c r="E4" s="34" t="s">
        <v>29</v>
      </c>
      <c r="F4" s="53">
        <v>160000</v>
      </c>
      <c r="G4" s="53">
        <v>96000</v>
      </c>
      <c r="H4" s="53">
        <f t="shared" ref="H4:H47" si="0">G4*I4</f>
        <v>96000</v>
      </c>
      <c r="I4" s="46">
        <v>1</v>
      </c>
      <c r="J4" s="47" t="s">
        <v>24</v>
      </c>
      <c r="K4" s="47" t="s">
        <v>25</v>
      </c>
      <c r="L4" s="34" t="s">
        <v>30</v>
      </c>
      <c r="M4" s="35"/>
      <c r="N4" s="35"/>
      <c r="O4" s="31" t="s">
        <v>27</v>
      </c>
      <c r="P4" s="34" t="s">
        <v>28</v>
      </c>
    </row>
    <row r="5" spans="1:16" ht="36" customHeight="1">
      <c r="A5" s="34">
        <v>4</v>
      </c>
      <c r="B5" s="34" t="s">
        <v>16</v>
      </c>
      <c r="C5" s="34" t="s">
        <v>31</v>
      </c>
      <c r="D5" s="34" t="s">
        <v>276</v>
      </c>
      <c r="E5" s="34" t="s">
        <v>275</v>
      </c>
      <c r="F5" s="53">
        <f>1.35*N5</f>
        <v>185.89500000000001</v>
      </c>
      <c r="G5" s="53">
        <f>F5*580</f>
        <v>107819.1</v>
      </c>
      <c r="H5" s="53">
        <f t="shared" si="0"/>
        <v>107819.1</v>
      </c>
      <c r="I5" s="46">
        <v>1</v>
      </c>
      <c r="J5" s="47" t="s">
        <v>24</v>
      </c>
      <c r="K5" s="47" t="s">
        <v>32</v>
      </c>
      <c r="L5" s="36" t="s">
        <v>33</v>
      </c>
      <c r="M5" s="37">
        <v>459</v>
      </c>
      <c r="N5" s="37">
        <f>0.3*M5</f>
        <v>137.69999999999999</v>
      </c>
      <c r="O5" s="38" t="s">
        <v>34</v>
      </c>
      <c r="P5" s="34" t="s">
        <v>35</v>
      </c>
    </row>
    <row r="6" spans="1:16" ht="36" customHeight="1">
      <c r="A6" s="34">
        <v>5</v>
      </c>
      <c r="B6" s="34" t="s">
        <v>16</v>
      </c>
      <c r="C6" s="34" t="s">
        <v>31</v>
      </c>
      <c r="D6" s="34" t="s">
        <v>277</v>
      </c>
      <c r="E6" s="34" t="s">
        <v>278</v>
      </c>
      <c r="F6" s="53">
        <f>1.35*N6</f>
        <v>128.79</v>
      </c>
      <c r="G6" s="53">
        <f>F6*580</f>
        <v>74698.2</v>
      </c>
      <c r="H6" s="53">
        <f t="shared" si="0"/>
        <v>74698.2</v>
      </c>
      <c r="I6" s="46">
        <v>1</v>
      </c>
      <c r="J6" s="47" t="s">
        <v>24</v>
      </c>
      <c r="K6" s="47" t="s">
        <v>32</v>
      </c>
      <c r="L6" s="36" t="s">
        <v>36</v>
      </c>
      <c r="M6" s="37">
        <v>318</v>
      </c>
      <c r="N6" s="37">
        <f>0.3*M6</f>
        <v>95.399999999999991</v>
      </c>
      <c r="O6" s="38" t="s">
        <v>34</v>
      </c>
      <c r="P6" s="34" t="s">
        <v>37</v>
      </c>
    </row>
    <row r="7" spans="1:16" ht="36" customHeight="1">
      <c r="A7" s="34">
        <v>6</v>
      </c>
      <c r="B7" s="34" t="s">
        <v>16</v>
      </c>
      <c r="C7" s="34" t="s">
        <v>38</v>
      </c>
      <c r="D7" s="34"/>
      <c r="E7" s="34" t="s">
        <v>39</v>
      </c>
      <c r="F7" s="53">
        <v>6500</v>
      </c>
      <c r="G7" s="53">
        <f>F7</f>
        <v>6500</v>
      </c>
      <c r="H7" s="53">
        <f t="shared" si="0"/>
        <v>39000</v>
      </c>
      <c r="I7" s="46">
        <v>6</v>
      </c>
      <c r="J7" s="47" t="s">
        <v>24</v>
      </c>
      <c r="K7" s="47" t="s">
        <v>40</v>
      </c>
      <c r="L7" s="34" t="s">
        <v>41</v>
      </c>
      <c r="M7" s="35"/>
      <c r="N7" s="35"/>
      <c r="O7" s="39" t="s">
        <v>42</v>
      </c>
      <c r="P7" s="34" t="s">
        <v>43</v>
      </c>
    </row>
    <row r="8" spans="1:16" ht="36" customHeight="1">
      <c r="A8" s="34">
        <v>7</v>
      </c>
      <c r="B8" s="34" t="s">
        <v>16</v>
      </c>
      <c r="C8" s="34" t="s">
        <v>44</v>
      </c>
      <c r="D8" s="34"/>
      <c r="E8" s="34" t="s">
        <v>45</v>
      </c>
      <c r="F8" s="53">
        <v>100000</v>
      </c>
      <c r="G8" s="53">
        <v>100000</v>
      </c>
      <c r="H8" s="53">
        <f t="shared" si="0"/>
        <v>100000</v>
      </c>
      <c r="I8" s="46">
        <v>1</v>
      </c>
      <c r="J8" s="47" t="s">
        <v>24</v>
      </c>
      <c r="K8" s="47" t="s">
        <v>46</v>
      </c>
      <c r="L8" s="34" t="s">
        <v>47</v>
      </c>
      <c r="M8" s="35"/>
      <c r="N8" s="35"/>
      <c r="O8" s="31" t="s">
        <v>27</v>
      </c>
      <c r="P8" s="34" t="s">
        <v>48</v>
      </c>
    </row>
    <row r="9" spans="1:16" ht="36" customHeight="1">
      <c r="A9" s="34">
        <v>9</v>
      </c>
      <c r="B9" s="34" t="s">
        <v>16</v>
      </c>
      <c r="C9" s="34" t="s">
        <v>50</v>
      </c>
      <c r="D9" s="34" t="s">
        <v>51</v>
      </c>
      <c r="E9" s="34" t="s">
        <v>52</v>
      </c>
      <c r="F9" s="53">
        <f t="shared" ref="F9:F12" si="1">1.35*N9</f>
        <v>3.5761500000000002</v>
      </c>
      <c r="G9" s="53">
        <f t="shared" ref="G9:G12" si="2">F9*580</f>
        <v>2074.1669999999999</v>
      </c>
      <c r="H9" s="53">
        <f t="shared" si="0"/>
        <v>14519.169</v>
      </c>
      <c r="I9" s="46">
        <v>7</v>
      </c>
      <c r="J9" s="47" t="s">
        <v>24</v>
      </c>
      <c r="K9" s="47" t="s">
        <v>32</v>
      </c>
      <c r="L9" s="34" t="s">
        <v>53</v>
      </c>
      <c r="M9" s="35">
        <v>8.83</v>
      </c>
      <c r="N9" s="37">
        <f>0.3*M9</f>
        <v>2.649</v>
      </c>
      <c r="O9" s="31" t="s">
        <v>27</v>
      </c>
      <c r="P9" s="34" t="s">
        <v>54</v>
      </c>
    </row>
    <row r="10" spans="1:16" ht="36" customHeight="1">
      <c r="A10" s="34">
        <v>10</v>
      </c>
      <c r="B10" s="34" t="s">
        <v>16</v>
      </c>
      <c r="C10" s="34" t="s">
        <v>50</v>
      </c>
      <c r="D10" s="34" t="s">
        <v>55</v>
      </c>
      <c r="E10" s="34" t="s">
        <v>56</v>
      </c>
      <c r="F10" s="53">
        <f t="shared" si="1"/>
        <v>14.750100000000002</v>
      </c>
      <c r="G10" s="53">
        <f t="shared" si="2"/>
        <v>8555.0580000000009</v>
      </c>
      <c r="H10" s="53">
        <f t="shared" si="0"/>
        <v>17110.116000000002</v>
      </c>
      <c r="I10" s="46">
        <v>2</v>
      </c>
      <c r="J10" s="47" t="s">
        <v>24</v>
      </c>
      <c r="K10" s="47" t="s">
        <v>32</v>
      </c>
      <c r="L10" s="34" t="s">
        <v>57</v>
      </c>
      <c r="M10" s="35">
        <v>36.42</v>
      </c>
      <c r="N10" s="35">
        <v>10.926</v>
      </c>
      <c r="O10" s="40" t="s">
        <v>58</v>
      </c>
      <c r="P10" s="34" t="s">
        <v>59</v>
      </c>
    </row>
    <row r="11" spans="1:16" ht="36" customHeight="1">
      <c r="A11" s="34">
        <v>11</v>
      </c>
      <c r="B11" s="34" t="s">
        <v>16</v>
      </c>
      <c r="C11" s="34" t="s">
        <v>60</v>
      </c>
      <c r="D11" s="34" t="s">
        <v>288</v>
      </c>
      <c r="E11" s="34" t="s">
        <v>289</v>
      </c>
      <c r="F11" s="53">
        <f t="shared" si="1"/>
        <v>25.604099999999999</v>
      </c>
      <c r="G11" s="53">
        <f t="shared" si="2"/>
        <v>14850.377999999999</v>
      </c>
      <c r="H11" s="53">
        <f t="shared" si="0"/>
        <v>178204.53599999999</v>
      </c>
      <c r="I11" s="46">
        <v>12</v>
      </c>
      <c r="J11" s="47" t="s">
        <v>24</v>
      </c>
      <c r="K11" s="47" t="s">
        <v>32</v>
      </c>
      <c r="L11" s="36" t="s">
        <v>61</v>
      </c>
      <c r="M11" s="37">
        <v>63.22</v>
      </c>
      <c r="N11" s="37">
        <f>0.3*M11</f>
        <v>18.965999999999998</v>
      </c>
      <c r="O11" s="38" t="s">
        <v>34</v>
      </c>
      <c r="P11" s="34" t="s">
        <v>62</v>
      </c>
    </row>
    <row r="12" spans="1:16" ht="36" customHeight="1">
      <c r="A12" s="34">
        <v>12</v>
      </c>
      <c r="B12" s="34" t="s">
        <v>16</v>
      </c>
      <c r="C12" s="34" t="s">
        <v>50</v>
      </c>
      <c r="D12" s="34" t="s">
        <v>63</v>
      </c>
      <c r="E12" s="34" t="s">
        <v>64</v>
      </c>
      <c r="F12" s="53">
        <f t="shared" si="1"/>
        <v>2.9808000000000003</v>
      </c>
      <c r="G12" s="53">
        <f t="shared" si="2"/>
        <v>1728.8640000000003</v>
      </c>
      <c r="H12" s="53">
        <f t="shared" si="0"/>
        <v>53594.784000000007</v>
      </c>
      <c r="I12" s="46">
        <v>31</v>
      </c>
      <c r="J12" s="47" t="s">
        <v>24</v>
      </c>
      <c r="K12" s="47" t="s">
        <v>32</v>
      </c>
      <c r="L12" s="34" t="s">
        <v>65</v>
      </c>
      <c r="M12" s="35">
        <v>7.36</v>
      </c>
      <c r="N12" s="35">
        <v>2.2080000000000002</v>
      </c>
      <c r="O12" s="40" t="s">
        <v>58</v>
      </c>
      <c r="P12" s="34" t="s">
        <v>59</v>
      </c>
    </row>
    <row r="13" spans="1:16" ht="36" customHeight="1">
      <c r="A13" s="34">
        <v>13</v>
      </c>
      <c r="B13" s="34" t="s">
        <v>16</v>
      </c>
      <c r="C13" s="34" t="s">
        <v>66</v>
      </c>
      <c r="D13" s="34" t="s">
        <v>67</v>
      </c>
      <c r="E13" s="34" t="s">
        <v>68</v>
      </c>
      <c r="F13" s="53">
        <v>10000</v>
      </c>
      <c r="G13" s="53">
        <f>F13</f>
        <v>10000</v>
      </c>
      <c r="H13" s="53">
        <f t="shared" si="0"/>
        <v>10000</v>
      </c>
      <c r="I13" s="46">
        <v>1</v>
      </c>
      <c r="J13" s="47" t="s">
        <v>24</v>
      </c>
      <c r="K13" s="47" t="s">
        <v>69</v>
      </c>
      <c r="L13" s="34" t="s">
        <v>70</v>
      </c>
      <c r="M13" s="35"/>
      <c r="N13" s="35"/>
      <c r="O13" s="31" t="s">
        <v>27</v>
      </c>
      <c r="P13" s="34" t="s">
        <v>71</v>
      </c>
    </row>
    <row r="14" spans="1:16" ht="36" customHeight="1">
      <c r="A14" s="41">
        <v>14</v>
      </c>
      <c r="B14" s="41" t="s">
        <v>16</v>
      </c>
      <c r="C14" s="41" t="s">
        <v>72</v>
      </c>
      <c r="D14" s="41" t="s">
        <v>73</v>
      </c>
      <c r="E14" s="41" t="s">
        <v>74</v>
      </c>
      <c r="F14" s="54">
        <v>0</v>
      </c>
      <c r="G14" s="54">
        <v>0</v>
      </c>
      <c r="H14" s="53">
        <f t="shared" si="0"/>
        <v>0</v>
      </c>
      <c r="I14" s="48">
        <v>1</v>
      </c>
      <c r="J14" s="49" t="s">
        <v>24</v>
      </c>
      <c r="K14" s="49" t="s">
        <v>75</v>
      </c>
      <c r="L14" s="41" t="s">
        <v>76</v>
      </c>
      <c r="M14" s="42">
        <v>0</v>
      </c>
      <c r="N14" s="42">
        <v>0</v>
      </c>
      <c r="O14" s="43" t="s">
        <v>75</v>
      </c>
      <c r="P14" s="41" t="s">
        <v>77</v>
      </c>
    </row>
    <row r="15" spans="1:16" ht="36" customHeight="1">
      <c r="A15" s="41">
        <v>15</v>
      </c>
      <c r="B15" s="41" t="s">
        <v>16</v>
      </c>
      <c r="C15" s="41" t="s">
        <v>78</v>
      </c>
      <c r="D15" s="41" t="s">
        <v>79</v>
      </c>
      <c r="E15" s="41" t="s">
        <v>80</v>
      </c>
      <c r="F15" s="54">
        <v>0</v>
      </c>
      <c r="G15" s="54">
        <v>0</v>
      </c>
      <c r="H15" s="53">
        <f t="shared" si="0"/>
        <v>0</v>
      </c>
      <c r="I15" s="48">
        <v>1</v>
      </c>
      <c r="J15" s="49" t="s">
        <v>24</v>
      </c>
      <c r="K15" s="49" t="s">
        <v>75</v>
      </c>
      <c r="L15" s="41" t="s">
        <v>76</v>
      </c>
      <c r="M15" s="42">
        <v>0</v>
      </c>
      <c r="N15" s="42">
        <v>0</v>
      </c>
      <c r="O15" s="43" t="s">
        <v>75</v>
      </c>
      <c r="P15" s="41" t="s">
        <v>77</v>
      </c>
    </row>
    <row r="16" spans="1:16" ht="36" customHeight="1">
      <c r="A16" s="41">
        <v>16</v>
      </c>
      <c r="B16" s="41" t="s">
        <v>16</v>
      </c>
      <c r="C16" s="41" t="s">
        <v>81</v>
      </c>
      <c r="D16" s="41" t="s">
        <v>82</v>
      </c>
      <c r="E16" s="41" t="s">
        <v>83</v>
      </c>
      <c r="F16" s="54">
        <v>0</v>
      </c>
      <c r="G16" s="54">
        <v>0</v>
      </c>
      <c r="H16" s="53">
        <f t="shared" si="0"/>
        <v>0</v>
      </c>
      <c r="I16" s="48">
        <v>1</v>
      </c>
      <c r="J16" s="49" t="s">
        <v>24</v>
      </c>
      <c r="K16" s="49" t="s">
        <v>75</v>
      </c>
      <c r="L16" s="41" t="s">
        <v>76</v>
      </c>
      <c r="M16" s="42">
        <v>0</v>
      </c>
      <c r="N16" s="42">
        <v>0</v>
      </c>
      <c r="O16" s="43" t="s">
        <v>75</v>
      </c>
      <c r="P16" s="41" t="s">
        <v>77</v>
      </c>
    </row>
    <row r="17" spans="1:16" ht="36" customHeight="1">
      <c r="A17" s="41">
        <v>17</v>
      </c>
      <c r="B17" s="41" t="s">
        <v>16</v>
      </c>
      <c r="C17" s="41" t="s">
        <v>84</v>
      </c>
      <c r="D17" s="41" t="s">
        <v>85</v>
      </c>
      <c r="E17" s="41" t="s">
        <v>86</v>
      </c>
      <c r="F17" s="54">
        <v>0</v>
      </c>
      <c r="G17" s="54">
        <v>0</v>
      </c>
      <c r="H17" s="53">
        <f t="shared" si="0"/>
        <v>0</v>
      </c>
      <c r="I17" s="48">
        <v>1</v>
      </c>
      <c r="J17" s="49" t="s">
        <v>24</v>
      </c>
      <c r="K17" s="49" t="s">
        <v>75</v>
      </c>
      <c r="L17" s="41" t="s">
        <v>76</v>
      </c>
      <c r="M17" s="42">
        <v>0</v>
      </c>
      <c r="N17" s="42">
        <v>0</v>
      </c>
      <c r="O17" s="43" t="s">
        <v>75</v>
      </c>
      <c r="P17" s="41" t="s">
        <v>87</v>
      </c>
    </row>
    <row r="18" spans="1:16" ht="36" customHeight="1">
      <c r="A18" s="41">
        <v>18</v>
      </c>
      <c r="B18" s="41" t="s">
        <v>16</v>
      </c>
      <c r="C18" s="41" t="s">
        <v>84</v>
      </c>
      <c r="D18" s="41" t="s">
        <v>88</v>
      </c>
      <c r="E18" s="41" t="s">
        <v>89</v>
      </c>
      <c r="F18" s="54">
        <v>0</v>
      </c>
      <c r="G18" s="54">
        <v>0</v>
      </c>
      <c r="H18" s="53">
        <f t="shared" si="0"/>
        <v>0</v>
      </c>
      <c r="I18" s="48">
        <v>1</v>
      </c>
      <c r="J18" s="49" t="s">
        <v>24</v>
      </c>
      <c r="K18" s="49" t="s">
        <v>75</v>
      </c>
      <c r="L18" s="41" t="s">
        <v>76</v>
      </c>
      <c r="M18" s="42">
        <v>0</v>
      </c>
      <c r="N18" s="42">
        <v>0</v>
      </c>
      <c r="O18" s="43" t="s">
        <v>75</v>
      </c>
      <c r="P18" s="41" t="s">
        <v>87</v>
      </c>
    </row>
    <row r="19" spans="1:16" ht="36" customHeight="1">
      <c r="A19" s="34">
        <v>19</v>
      </c>
      <c r="B19" s="34" t="s">
        <v>16</v>
      </c>
      <c r="C19" s="34" t="s">
        <v>60</v>
      </c>
      <c r="D19" s="34" t="s">
        <v>290</v>
      </c>
      <c r="E19" s="34" t="s">
        <v>291</v>
      </c>
      <c r="F19" s="53">
        <f t="shared" ref="F19:F37" si="3">1.35*N19</f>
        <v>33.2667</v>
      </c>
      <c r="G19" s="53">
        <f t="shared" ref="G19:G37" si="4">F19*580</f>
        <v>19294.686000000002</v>
      </c>
      <c r="H19" s="53">
        <f t="shared" si="0"/>
        <v>96473.430000000008</v>
      </c>
      <c r="I19" s="46">
        <v>5</v>
      </c>
      <c r="J19" s="47" t="s">
        <v>24</v>
      </c>
      <c r="K19" s="47" t="s">
        <v>32</v>
      </c>
      <c r="L19" s="36" t="s">
        <v>90</v>
      </c>
      <c r="M19" s="37">
        <v>82.14</v>
      </c>
      <c r="N19" s="37">
        <f>0.3*M19</f>
        <v>24.641999999999999</v>
      </c>
      <c r="O19" s="38" t="s">
        <v>34</v>
      </c>
      <c r="P19" s="34" t="s">
        <v>59</v>
      </c>
    </row>
    <row r="20" spans="1:16" ht="36" customHeight="1">
      <c r="A20" s="34">
        <v>20</v>
      </c>
      <c r="B20" s="34" t="s">
        <v>16</v>
      </c>
      <c r="C20" s="34" t="s">
        <v>50</v>
      </c>
      <c r="D20" s="34" t="s">
        <v>91</v>
      </c>
      <c r="E20" s="34" t="s">
        <v>92</v>
      </c>
      <c r="F20" s="53">
        <f t="shared" si="3"/>
        <v>14.750100000000002</v>
      </c>
      <c r="G20" s="53">
        <f t="shared" si="4"/>
        <v>8555.0580000000009</v>
      </c>
      <c r="H20" s="53">
        <f t="shared" si="0"/>
        <v>8555.0580000000009</v>
      </c>
      <c r="I20" s="46">
        <v>1</v>
      </c>
      <c r="J20" s="47" t="s">
        <v>24</v>
      </c>
      <c r="K20" s="47" t="s">
        <v>32</v>
      </c>
      <c r="L20" s="34" t="s">
        <v>93</v>
      </c>
      <c r="M20" s="35">
        <v>36.42</v>
      </c>
      <c r="N20" s="35">
        <v>10.926</v>
      </c>
      <c r="O20" s="40" t="s">
        <v>58</v>
      </c>
      <c r="P20" s="34" t="s">
        <v>59</v>
      </c>
    </row>
    <row r="21" spans="1:16" ht="36" customHeight="1">
      <c r="A21" s="34">
        <v>21</v>
      </c>
      <c r="B21" s="34" t="s">
        <v>16</v>
      </c>
      <c r="C21" s="34" t="s">
        <v>94</v>
      </c>
      <c r="D21" s="34" t="s">
        <v>95</v>
      </c>
      <c r="E21" s="34" t="s">
        <v>96</v>
      </c>
      <c r="F21" s="53">
        <f t="shared" si="3"/>
        <v>35.490150000000007</v>
      </c>
      <c r="G21" s="53">
        <f t="shared" si="4"/>
        <v>20584.287000000004</v>
      </c>
      <c r="H21" s="53">
        <f t="shared" si="0"/>
        <v>905708.62800000014</v>
      </c>
      <c r="I21" s="46">
        <v>44</v>
      </c>
      <c r="J21" s="47" t="s">
        <v>24</v>
      </c>
      <c r="K21" s="47" t="s">
        <v>32</v>
      </c>
      <c r="L21" s="34" t="s">
        <v>97</v>
      </c>
      <c r="M21" s="35">
        <v>87.63</v>
      </c>
      <c r="N21" s="35">
        <v>26.289000000000001</v>
      </c>
      <c r="O21" s="40" t="s">
        <v>58</v>
      </c>
      <c r="P21" s="34" t="s">
        <v>59</v>
      </c>
    </row>
    <row r="22" spans="1:16" ht="36" customHeight="1">
      <c r="A22" s="34">
        <v>22</v>
      </c>
      <c r="B22" s="34" t="s">
        <v>16</v>
      </c>
      <c r="C22" s="34" t="s">
        <v>94</v>
      </c>
      <c r="D22" s="34" t="s">
        <v>98</v>
      </c>
      <c r="E22" s="34" t="s">
        <v>99</v>
      </c>
      <c r="F22" s="53">
        <f t="shared" si="3"/>
        <v>35.490150000000007</v>
      </c>
      <c r="G22" s="53">
        <f t="shared" si="4"/>
        <v>20584.287000000004</v>
      </c>
      <c r="H22" s="53">
        <f t="shared" si="0"/>
        <v>82337.148000000016</v>
      </c>
      <c r="I22" s="46">
        <v>4</v>
      </c>
      <c r="J22" s="47" t="s">
        <v>24</v>
      </c>
      <c r="K22" s="47" t="s">
        <v>32</v>
      </c>
      <c r="L22" s="34" t="s">
        <v>100</v>
      </c>
      <c r="M22" s="35">
        <v>87.63</v>
      </c>
      <c r="N22" s="35">
        <v>26.289000000000001</v>
      </c>
      <c r="O22" s="40" t="s">
        <v>58</v>
      </c>
      <c r="P22" s="34" t="s">
        <v>59</v>
      </c>
    </row>
    <row r="23" spans="1:16" ht="36" customHeight="1">
      <c r="A23" s="34">
        <v>23</v>
      </c>
      <c r="B23" s="34" t="s">
        <v>16</v>
      </c>
      <c r="C23" s="34" t="s">
        <v>101</v>
      </c>
      <c r="D23" s="34" t="s">
        <v>102</v>
      </c>
      <c r="E23" s="34" t="s">
        <v>103</v>
      </c>
      <c r="F23" s="53">
        <f t="shared" si="3"/>
        <v>30.73545</v>
      </c>
      <c r="G23" s="53">
        <f t="shared" si="4"/>
        <v>17826.561000000002</v>
      </c>
      <c r="H23" s="53">
        <f t="shared" si="0"/>
        <v>17826.561000000002</v>
      </c>
      <c r="I23" s="46">
        <v>1</v>
      </c>
      <c r="J23" s="47" t="s">
        <v>24</v>
      </c>
      <c r="K23" s="47" t="s">
        <v>32</v>
      </c>
      <c r="L23" s="34" t="s">
        <v>104</v>
      </c>
      <c r="M23" s="35">
        <v>75.89</v>
      </c>
      <c r="N23" s="35">
        <v>22.766999999999999</v>
      </c>
      <c r="O23" s="39" t="s">
        <v>42</v>
      </c>
      <c r="P23" s="34" t="s">
        <v>105</v>
      </c>
    </row>
    <row r="24" spans="1:16" ht="36" customHeight="1">
      <c r="A24" s="34">
        <v>24</v>
      </c>
      <c r="B24" s="34" t="s">
        <v>16</v>
      </c>
      <c r="C24" s="34" t="s">
        <v>101</v>
      </c>
      <c r="D24" s="34" t="s">
        <v>106</v>
      </c>
      <c r="E24" s="34" t="s">
        <v>107</v>
      </c>
      <c r="F24" s="53">
        <f t="shared" si="3"/>
        <v>27.6615</v>
      </c>
      <c r="G24" s="53">
        <f t="shared" si="4"/>
        <v>16043.67</v>
      </c>
      <c r="H24" s="53">
        <f t="shared" si="0"/>
        <v>32087.34</v>
      </c>
      <c r="I24" s="46">
        <v>2</v>
      </c>
      <c r="J24" s="47" t="s">
        <v>24</v>
      </c>
      <c r="K24" s="47" t="s">
        <v>32</v>
      </c>
      <c r="L24" s="34" t="s">
        <v>108</v>
      </c>
      <c r="M24" s="35">
        <v>68.3</v>
      </c>
      <c r="N24" s="35">
        <v>20.49</v>
      </c>
      <c r="O24" s="40" t="s">
        <v>58</v>
      </c>
      <c r="P24" s="34" t="s">
        <v>109</v>
      </c>
    </row>
    <row r="25" spans="1:16" ht="36" customHeight="1">
      <c r="A25" s="34">
        <v>25</v>
      </c>
      <c r="B25" s="34" t="s">
        <v>16</v>
      </c>
      <c r="C25" s="34" t="s">
        <v>101</v>
      </c>
      <c r="D25" s="34" t="s">
        <v>110</v>
      </c>
      <c r="E25" s="34" t="s">
        <v>111</v>
      </c>
      <c r="F25" s="53">
        <f t="shared" si="3"/>
        <v>25.324650000000002</v>
      </c>
      <c r="G25" s="53">
        <f t="shared" si="4"/>
        <v>14688.297</v>
      </c>
      <c r="H25" s="53">
        <f t="shared" si="0"/>
        <v>29376.594000000001</v>
      </c>
      <c r="I25" s="46">
        <v>2</v>
      </c>
      <c r="J25" s="47" t="s">
        <v>24</v>
      </c>
      <c r="K25" s="47" t="s">
        <v>32</v>
      </c>
      <c r="L25" s="34" t="s">
        <v>112</v>
      </c>
      <c r="M25" s="35">
        <v>62.53</v>
      </c>
      <c r="N25" s="35">
        <v>18.759</v>
      </c>
      <c r="O25" s="40" t="s">
        <v>58</v>
      </c>
      <c r="P25" s="34" t="s">
        <v>113</v>
      </c>
    </row>
    <row r="26" spans="1:16" ht="36" customHeight="1">
      <c r="A26" s="34">
        <v>26</v>
      </c>
      <c r="B26" s="34" t="s">
        <v>16</v>
      </c>
      <c r="C26" s="34" t="s">
        <v>114</v>
      </c>
      <c r="D26" s="34" t="s">
        <v>115</v>
      </c>
      <c r="E26" s="34" t="s">
        <v>116</v>
      </c>
      <c r="F26" s="53">
        <f t="shared" si="3"/>
        <v>7.7557500000000008</v>
      </c>
      <c r="G26" s="53">
        <f t="shared" si="4"/>
        <v>4498.335</v>
      </c>
      <c r="H26" s="53">
        <f t="shared" si="0"/>
        <v>22491.674999999999</v>
      </c>
      <c r="I26" s="46">
        <v>5</v>
      </c>
      <c r="J26" s="47" t="s">
        <v>24</v>
      </c>
      <c r="K26" s="47" t="s">
        <v>32</v>
      </c>
      <c r="L26" s="34" t="s">
        <v>117</v>
      </c>
      <c r="M26" s="35">
        <v>19.149999999999999</v>
      </c>
      <c r="N26" s="35">
        <v>5.7450000000000001</v>
      </c>
      <c r="O26" s="39" t="s">
        <v>42</v>
      </c>
      <c r="P26" s="34" t="s">
        <v>118</v>
      </c>
    </row>
    <row r="27" spans="1:16" ht="36" customHeight="1">
      <c r="A27" s="34">
        <v>27</v>
      </c>
      <c r="B27" s="34" t="s">
        <v>16</v>
      </c>
      <c r="C27" s="34" t="s">
        <v>284</v>
      </c>
      <c r="D27" s="34" t="s">
        <v>282</v>
      </c>
      <c r="E27" s="34" t="s">
        <v>283</v>
      </c>
      <c r="F27" s="53">
        <f t="shared" si="3"/>
        <v>23.514300000000002</v>
      </c>
      <c r="G27" s="53">
        <f t="shared" si="4"/>
        <v>13638.294000000002</v>
      </c>
      <c r="H27" s="53">
        <f t="shared" si="0"/>
        <v>27276.588000000003</v>
      </c>
      <c r="I27" s="46">
        <v>2</v>
      </c>
      <c r="J27" s="47" t="s">
        <v>24</v>
      </c>
      <c r="K27" s="47" t="s">
        <v>32</v>
      </c>
      <c r="L27" s="36" t="s">
        <v>120</v>
      </c>
      <c r="M27" s="37">
        <v>58.06</v>
      </c>
      <c r="N27" s="37">
        <f t="shared" ref="N27:N28" si="5">0.3*M27</f>
        <v>17.417999999999999</v>
      </c>
      <c r="O27" s="38" t="s">
        <v>34</v>
      </c>
      <c r="P27" s="34" t="s">
        <v>121</v>
      </c>
    </row>
    <row r="28" spans="1:16" ht="36" customHeight="1">
      <c r="A28" s="34">
        <v>27</v>
      </c>
      <c r="B28" s="34" t="s">
        <v>16</v>
      </c>
      <c r="C28" s="34" t="s">
        <v>119</v>
      </c>
      <c r="D28" s="34" t="s">
        <v>286</v>
      </c>
      <c r="E28" s="34" t="s">
        <v>285</v>
      </c>
      <c r="F28" s="53">
        <f t="shared" si="3"/>
        <v>37.750050000000002</v>
      </c>
      <c r="G28" s="53">
        <f t="shared" si="4"/>
        <v>21895.029000000002</v>
      </c>
      <c r="H28" s="53">
        <f t="shared" si="0"/>
        <v>43790.058000000005</v>
      </c>
      <c r="I28" s="46">
        <v>2</v>
      </c>
      <c r="J28" s="47" t="s">
        <v>24</v>
      </c>
      <c r="K28" s="47" t="s">
        <v>32</v>
      </c>
      <c r="L28" s="36" t="s">
        <v>120</v>
      </c>
      <c r="M28" s="37">
        <v>93.21</v>
      </c>
      <c r="N28" s="37">
        <f t="shared" si="5"/>
        <v>27.962999999999997</v>
      </c>
      <c r="O28" s="38" t="s">
        <v>34</v>
      </c>
      <c r="P28" s="34" t="s">
        <v>121</v>
      </c>
    </row>
    <row r="29" spans="1:16" ht="36" customHeight="1">
      <c r="A29" s="34">
        <v>28</v>
      </c>
      <c r="B29" s="34" t="s">
        <v>16</v>
      </c>
      <c r="C29" s="34" t="s">
        <v>119</v>
      </c>
      <c r="D29" s="34" t="s">
        <v>122</v>
      </c>
      <c r="E29" s="34" t="s">
        <v>123</v>
      </c>
      <c r="F29" s="53">
        <f t="shared" si="3"/>
        <v>18.787950000000002</v>
      </c>
      <c r="G29" s="53">
        <f t="shared" si="4"/>
        <v>10897.011</v>
      </c>
      <c r="H29" s="53">
        <f t="shared" si="0"/>
        <v>32691.033000000003</v>
      </c>
      <c r="I29" s="46">
        <v>3</v>
      </c>
      <c r="J29" s="47" t="s">
        <v>24</v>
      </c>
      <c r="K29" s="47" t="s">
        <v>32</v>
      </c>
      <c r="L29" s="34" t="s">
        <v>124</v>
      </c>
      <c r="M29" s="35">
        <v>46.39</v>
      </c>
      <c r="N29" s="35">
        <v>13.917</v>
      </c>
      <c r="O29" s="39" t="s">
        <v>42</v>
      </c>
      <c r="P29" s="34" t="s">
        <v>59</v>
      </c>
    </row>
    <row r="30" spans="1:16" ht="36" customHeight="1">
      <c r="A30" s="34">
        <v>29</v>
      </c>
      <c r="B30" s="34" t="s">
        <v>16</v>
      </c>
      <c r="C30" s="34" t="s">
        <v>119</v>
      </c>
      <c r="D30" s="34" t="s">
        <v>125</v>
      </c>
      <c r="E30" s="34" t="s">
        <v>126</v>
      </c>
      <c r="F30" s="53">
        <f t="shared" si="3"/>
        <v>15.35355</v>
      </c>
      <c r="G30" s="53">
        <f t="shared" si="4"/>
        <v>8905.0589999999993</v>
      </c>
      <c r="H30" s="53">
        <f t="shared" si="0"/>
        <v>17810.117999999999</v>
      </c>
      <c r="I30" s="46">
        <v>2</v>
      </c>
      <c r="J30" s="47" t="s">
        <v>24</v>
      </c>
      <c r="K30" s="47" t="s">
        <v>32</v>
      </c>
      <c r="L30" s="34" t="s">
        <v>127</v>
      </c>
      <c r="M30" s="35">
        <v>37.909999999999997</v>
      </c>
      <c r="N30" s="35">
        <v>11.372999999999999</v>
      </c>
      <c r="O30" s="40" t="s">
        <v>58</v>
      </c>
      <c r="P30" s="34" t="s">
        <v>59</v>
      </c>
    </row>
    <row r="31" spans="1:16" ht="36" customHeight="1">
      <c r="A31" s="34">
        <v>30</v>
      </c>
      <c r="B31" s="34" t="s">
        <v>16</v>
      </c>
      <c r="C31" s="34" t="s">
        <v>128</v>
      </c>
      <c r="D31" s="34" t="s">
        <v>129</v>
      </c>
      <c r="E31" s="34" t="s">
        <v>130</v>
      </c>
      <c r="F31" s="53">
        <f t="shared" si="3"/>
        <v>5.3176500000000004</v>
      </c>
      <c r="G31" s="53">
        <f t="shared" si="4"/>
        <v>3084.2370000000001</v>
      </c>
      <c r="H31" s="53">
        <f t="shared" si="0"/>
        <v>18505.421999999999</v>
      </c>
      <c r="I31" s="46">
        <v>6</v>
      </c>
      <c r="J31" s="47" t="s">
        <v>24</v>
      </c>
      <c r="K31" s="47" t="s">
        <v>32</v>
      </c>
      <c r="L31" s="34" t="s">
        <v>131</v>
      </c>
      <c r="M31" s="35">
        <v>13.13</v>
      </c>
      <c r="N31" s="35">
        <v>3.9390000000000001</v>
      </c>
      <c r="O31" s="40" t="s">
        <v>58</v>
      </c>
      <c r="P31" s="34" t="s">
        <v>59</v>
      </c>
    </row>
    <row r="32" spans="1:16" ht="36" customHeight="1">
      <c r="A32" s="34">
        <v>31</v>
      </c>
      <c r="B32" s="34" t="s">
        <v>16</v>
      </c>
      <c r="C32" s="34" t="s">
        <v>132</v>
      </c>
      <c r="D32" s="34" t="s">
        <v>133</v>
      </c>
      <c r="E32" s="34" t="s">
        <v>134</v>
      </c>
      <c r="F32" s="53">
        <f t="shared" si="3"/>
        <v>42.039000000000001</v>
      </c>
      <c r="G32" s="53">
        <f t="shared" si="4"/>
        <v>24382.620000000003</v>
      </c>
      <c r="H32" s="53">
        <f t="shared" si="0"/>
        <v>24382.620000000003</v>
      </c>
      <c r="I32" s="46">
        <v>1</v>
      </c>
      <c r="J32" s="47" t="s">
        <v>24</v>
      </c>
      <c r="K32" s="47" t="s">
        <v>32</v>
      </c>
      <c r="L32" s="34" t="s">
        <v>135</v>
      </c>
      <c r="M32" s="35">
        <v>103.8</v>
      </c>
      <c r="N32" s="35">
        <v>31.14</v>
      </c>
      <c r="O32" s="39" t="s">
        <v>42</v>
      </c>
      <c r="P32" s="34" t="s">
        <v>136</v>
      </c>
    </row>
    <row r="33" spans="1:16" ht="36" customHeight="1">
      <c r="A33" s="34">
        <v>32</v>
      </c>
      <c r="B33" s="34" t="s">
        <v>16</v>
      </c>
      <c r="C33" s="34" t="s">
        <v>137</v>
      </c>
      <c r="D33" s="34" t="s">
        <v>138</v>
      </c>
      <c r="E33" s="34" t="s">
        <v>139</v>
      </c>
      <c r="F33" s="53">
        <f t="shared" si="3"/>
        <v>4.1391</v>
      </c>
      <c r="G33" s="53">
        <f t="shared" si="4"/>
        <v>2400.6779999999999</v>
      </c>
      <c r="H33" s="53">
        <f t="shared" si="0"/>
        <v>7202.0339999999997</v>
      </c>
      <c r="I33" s="46">
        <v>3</v>
      </c>
      <c r="J33" s="47" t="s">
        <v>24</v>
      </c>
      <c r="K33" s="47" t="s">
        <v>32</v>
      </c>
      <c r="L33" s="34" t="s">
        <v>140</v>
      </c>
      <c r="M33" s="35">
        <v>10.220000000000001</v>
      </c>
      <c r="N33" s="35">
        <v>3.0659999999999998</v>
      </c>
      <c r="O33" s="39" t="s">
        <v>42</v>
      </c>
      <c r="P33" s="34" t="s">
        <v>141</v>
      </c>
    </row>
    <row r="34" spans="1:16" ht="36" customHeight="1">
      <c r="A34" s="34">
        <v>33</v>
      </c>
      <c r="B34" s="34" t="s">
        <v>16</v>
      </c>
      <c r="C34" s="34" t="s">
        <v>142</v>
      </c>
      <c r="D34" s="34" t="s">
        <v>143</v>
      </c>
      <c r="E34" s="34" t="s">
        <v>144</v>
      </c>
      <c r="F34" s="53">
        <f t="shared" si="3"/>
        <v>484.78500000000008</v>
      </c>
      <c r="G34" s="53">
        <f t="shared" si="4"/>
        <v>281175.30000000005</v>
      </c>
      <c r="H34" s="53">
        <f t="shared" si="0"/>
        <v>281175.30000000005</v>
      </c>
      <c r="I34" s="46">
        <v>1</v>
      </c>
      <c r="J34" s="47" t="s">
        <v>24</v>
      </c>
      <c r="K34" s="47" t="s">
        <v>32</v>
      </c>
      <c r="L34" s="34" t="s">
        <v>145</v>
      </c>
      <c r="M34" s="35">
        <v>1197</v>
      </c>
      <c r="N34" s="35">
        <v>359.1</v>
      </c>
      <c r="O34" s="31" t="s">
        <v>27</v>
      </c>
      <c r="P34" s="34" t="s">
        <v>59</v>
      </c>
    </row>
    <row r="35" spans="1:16" ht="36" customHeight="1">
      <c r="A35" s="34">
        <v>34</v>
      </c>
      <c r="B35" s="34" t="s">
        <v>16</v>
      </c>
      <c r="C35" s="34" t="s">
        <v>50</v>
      </c>
      <c r="D35" s="34" t="s">
        <v>146</v>
      </c>
      <c r="E35" s="34" t="s">
        <v>147</v>
      </c>
      <c r="F35" s="53">
        <f t="shared" si="3"/>
        <v>13.429800000000002</v>
      </c>
      <c r="G35" s="53">
        <f t="shared" si="4"/>
        <v>7789.2840000000015</v>
      </c>
      <c r="H35" s="53">
        <f t="shared" si="0"/>
        <v>23367.852000000006</v>
      </c>
      <c r="I35" s="46">
        <v>3</v>
      </c>
      <c r="J35" s="47" t="s">
        <v>24</v>
      </c>
      <c r="K35" s="47" t="s">
        <v>32</v>
      </c>
      <c r="L35" s="34" t="s">
        <v>148</v>
      </c>
      <c r="M35" s="35">
        <v>33.159999999999997</v>
      </c>
      <c r="N35" s="35">
        <v>9.9480000000000004</v>
      </c>
      <c r="O35" s="31" t="s">
        <v>27</v>
      </c>
      <c r="P35" s="34" t="s">
        <v>149</v>
      </c>
    </row>
    <row r="36" spans="1:16" ht="36" customHeight="1">
      <c r="A36" s="34">
        <v>35</v>
      </c>
      <c r="B36" s="34" t="s">
        <v>16</v>
      </c>
      <c r="C36" s="34" t="s">
        <v>50</v>
      </c>
      <c r="D36" s="34" t="s">
        <v>280</v>
      </c>
      <c r="E36" s="34" t="s">
        <v>281</v>
      </c>
      <c r="F36" s="53">
        <f t="shared" si="3"/>
        <v>25.80255</v>
      </c>
      <c r="G36" s="53">
        <f t="shared" si="4"/>
        <v>14965.478999999999</v>
      </c>
      <c r="H36" s="53">
        <f t="shared" si="0"/>
        <v>29930.957999999999</v>
      </c>
      <c r="I36" s="46">
        <v>2</v>
      </c>
      <c r="J36" s="47" t="s">
        <v>24</v>
      </c>
      <c r="K36" s="47" t="s">
        <v>32</v>
      </c>
      <c r="L36" s="36" t="s">
        <v>150</v>
      </c>
      <c r="M36" s="37">
        <v>63.71</v>
      </c>
      <c r="N36" s="37">
        <f>0.3*M36</f>
        <v>19.113</v>
      </c>
      <c r="O36" s="38" t="s">
        <v>34</v>
      </c>
      <c r="P36" s="34" t="s">
        <v>151</v>
      </c>
    </row>
    <row r="37" spans="1:16" ht="36" customHeight="1">
      <c r="A37" s="34">
        <v>36</v>
      </c>
      <c r="B37" s="34" t="s">
        <v>16</v>
      </c>
      <c r="C37" s="34" t="s">
        <v>152</v>
      </c>
      <c r="D37" s="34" t="s">
        <v>153</v>
      </c>
      <c r="E37" s="34" t="s">
        <v>154</v>
      </c>
      <c r="F37" s="53">
        <f t="shared" si="3"/>
        <v>545.13</v>
      </c>
      <c r="G37" s="53">
        <f t="shared" si="4"/>
        <v>316175.40000000002</v>
      </c>
      <c r="H37" s="53">
        <f t="shared" si="0"/>
        <v>316175.40000000002</v>
      </c>
      <c r="I37" s="46">
        <v>1</v>
      </c>
      <c r="J37" s="47" t="s">
        <v>24</v>
      </c>
      <c r="K37" s="47" t="s">
        <v>32</v>
      </c>
      <c r="L37" s="34" t="s">
        <v>155</v>
      </c>
      <c r="M37" s="35">
        <v>1346</v>
      </c>
      <c r="N37" s="35">
        <v>403.8</v>
      </c>
      <c r="O37" s="31" t="s">
        <v>27</v>
      </c>
      <c r="P37" s="34" t="s">
        <v>118</v>
      </c>
    </row>
    <row r="38" spans="1:16" ht="36" customHeight="1">
      <c r="A38" s="34">
        <v>37</v>
      </c>
      <c r="B38" s="34" t="s">
        <v>16</v>
      </c>
      <c r="C38" s="34" t="s">
        <v>156</v>
      </c>
      <c r="D38" s="34"/>
      <c r="E38" s="34" t="s">
        <v>157</v>
      </c>
      <c r="F38" s="53">
        <v>16500</v>
      </c>
      <c r="G38" s="53">
        <f>F38</f>
        <v>16500</v>
      </c>
      <c r="H38" s="53">
        <f t="shared" si="0"/>
        <v>16500</v>
      </c>
      <c r="I38" s="46">
        <v>1</v>
      </c>
      <c r="J38" s="47" t="s">
        <v>24</v>
      </c>
      <c r="K38" s="47" t="s">
        <v>287</v>
      </c>
      <c r="L38" s="36" t="s">
        <v>158</v>
      </c>
      <c r="M38" s="37"/>
      <c r="N38" s="37"/>
      <c r="O38" s="38" t="s">
        <v>34</v>
      </c>
      <c r="P38" s="34" t="s">
        <v>159</v>
      </c>
    </row>
    <row r="39" spans="1:16" ht="36" customHeight="1">
      <c r="A39" s="34">
        <v>38</v>
      </c>
      <c r="B39" s="34" t="s">
        <v>16</v>
      </c>
      <c r="C39" s="34" t="s">
        <v>38</v>
      </c>
      <c r="D39" s="34" t="s">
        <v>279</v>
      </c>
      <c r="E39" s="34" t="s">
        <v>160</v>
      </c>
      <c r="F39" s="53">
        <v>8000</v>
      </c>
      <c r="G39" s="53">
        <v>8000</v>
      </c>
      <c r="H39" s="53">
        <f t="shared" si="0"/>
        <v>48000</v>
      </c>
      <c r="I39" s="46">
        <v>6</v>
      </c>
      <c r="J39" s="47" t="s">
        <v>24</v>
      </c>
      <c r="K39" s="47" t="s">
        <v>40</v>
      </c>
      <c r="L39" s="34" t="s">
        <v>161</v>
      </c>
      <c r="M39" s="35"/>
      <c r="N39" s="35"/>
      <c r="O39" s="40" t="s">
        <v>58</v>
      </c>
      <c r="P39" s="34" t="s">
        <v>59</v>
      </c>
    </row>
    <row r="40" spans="1:16" ht="36" customHeight="1">
      <c r="A40" s="34">
        <v>39</v>
      </c>
      <c r="B40" s="34" t="s">
        <v>16</v>
      </c>
      <c r="C40" s="34" t="s">
        <v>49</v>
      </c>
      <c r="D40" s="34" t="s">
        <v>162</v>
      </c>
      <c r="E40" s="34" t="s">
        <v>163</v>
      </c>
      <c r="F40" s="53">
        <f t="shared" ref="F40:F45" si="6">1.35*N40</f>
        <v>195.65550000000002</v>
      </c>
      <c r="G40" s="53">
        <f t="shared" ref="G40:G45" si="7">F40*580</f>
        <v>113480.19000000002</v>
      </c>
      <c r="H40" s="53">
        <f t="shared" si="0"/>
        <v>226960.38000000003</v>
      </c>
      <c r="I40" s="46">
        <v>2</v>
      </c>
      <c r="J40" s="47" t="s">
        <v>24</v>
      </c>
      <c r="K40" s="47" t="s">
        <v>32</v>
      </c>
      <c r="L40" s="34" t="s">
        <v>164</v>
      </c>
      <c r="M40" s="35">
        <v>483.1</v>
      </c>
      <c r="N40" s="35">
        <v>144.93</v>
      </c>
      <c r="O40" s="31" t="s">
        <v>27</v>
      </c>
      <c r="P40" s="34" t="s">
        <v>118</v>
      </c>
    </row>
    <row r="41" spans="1:16" ht="36" customHeight="1">
      <c r="A41" s="34">
        <v>40</v>
      </c>
      <c r="B41" s="34" t="s">
        <v>16</v>
      </c>
      <c r="C41" s="34" t="s">
        <v>50</v>
      </c>
      <c r="D41" s="34" t="s">
        <v>165</v>
      </c>
      <c r="E41" s="34" t="s">
        <v>166</v>
      </c>
      <c r="F41" s="53">
        <f t="shared" si="6"/>
        <v>5.8846500000000006</v>
      </c>
      <c r="G41" s="53">
        <f t="shared" si="7"/>
        <v>3413.0970000000002</v>
      </c>
      <c r="H41" s="53">
        <f t="shared" si="0"/>
        <v>6826.1940000000004</v>
      </c>
      <c r="I41" s="46">
        <v>2</v>
      </c>
      <c r="J41" s="47" t="s">
        <v>24</v>
      </c>
      <c r="K41" s="47" t="s">
        <v>32</v>
      </c>
      <c r="L41" s="34" t="s">
        <v>167</v>
      </c>
      <c r="M41" s="35">
        <v>14.53</v>
      </c>
      <c r="N41" s="35">
        <v>4.359</v>
      </c>
      <c r="O41" s="40" t="s">
        <v>58</v>
      </c>
      <c r="P41" s="34" t="s">
        <v>59</v>
      </c>
    </row>
    <row r="42" spans="1:16" ht="36" customHeight="1">
      <c r="A42" s="34">
        <v>41</v>
      </c>
      <c r="B42" s="34" t="s">
        <v>16</v>
      </c>
      <c r="C42" s="34" t="s">
        <v>50</v>
      </c>
      <c r="D42" s="34" t="s">
        <v>168</v>
      </c>
      <c r="E42" s="34" t="s">
        <v>169</v>
      </c>
      <c r="F42" s="53">
        <f t="shared" si="6"/>
        <v>3.2764500000000001</v>
      </c>
      <c r="G42" s="53">
        <f t="shared" si="7"/>
        <v>1900.3410000000001</v>
      </c>
      <c r="H42" s="53">
        <f t="shared" si="0"/>
        <v>20903.751</v>
      </c>
      <c r="I42" s="46">
        <v>11</v>
      </c>
      <c r="J42" s="47" t="s">
        <v>24</v>
      </c>
      <c r="K42" s="47" t="s">
        <v>32</v>
      </c>
      <c r="L42" s="34" t="s">
        <v>170</v>
      </c>
      <c r="M42" s="35">
        <v>8.09</v>
      </c>
      <c r="N42" s="35">
        <v>2.427</v>
      </c>
      <c r="O42" s="40" t="s">
        <v>58</v>
      </c>
      <c r="P42" s="34" t="s">
        <v>59</v>
      </c>
    </row>
    <row r="43" spans="1:16" ht="36" customHeight="1">
      <c r="A43" s="34">
        <v>42</v>
      </c>
      <c r="B43" s="34" t="s">
        <v>16</v>
      </c>
      <c r="C43" s="34" t="s">
        <v>171</v>
      </c>
      <c r="D43" s="34" t="s">
        <v>172</v>
      </c>
      <c r="E43" s="34" t="s">
        <v>173</v>
      </c>
      <c r="F43" s="53">
        <f t="shared" si="6"/>
        <v>3.8961000000000006</v>
      </c>
      <c r="G43" s="53">
        <f t="shared" si="7"/>
        <v>2259.7380000000003</v>
      </c>
      <c r="H43" s="53">
        <f t="shared" si="0"/>
        <v>49714.236000000004</v>
      </c>
      <c r="I43" s="46">
        <v>22</v>
      </c>
      <c r="J43" s="47" t="s">
        <v>24</v>
      </c>
      <c r="K43" s="47" t="s">
        <v>32</v>
      </c>
      <c r="L43" s="34" t="s">
        <v>174</v>
      </c>
      <c r="M43" s="35">
        <v>9.6199999999999992</v>
      </c>
      <c r="N43" s="35">
        <v>2.8860000000000001</v>
      </c>
      <c r="O43" s="31" t="s">
        <v>27</v>
      </c>
      <c r="P43" s="34" t="s">
        <v>118</v>
      </c>
    </row>
    <row r="44" spans="1:16" ht="36" customHeight="1">
      <c r="A44" s="34">
        <v>43</v>
      </c>
      <c r="B44" s="34" t="s">
        <v>16</v>
      </c>
      <c r="C44" s="34" t="s">
        <v>175</v>
      </c>
      <c r="D44" s="34" t="s">
        <v>176</v>
      </c>
      <c r="E44" s="34" t="s">
        <v>177</v>
      </c>
      <c r="F44" s="53">
        <f t="shared" si="6"/>
        <v>3.8961000000000006</v>
      </c>
      <c r="G44" s="53">
        <f t="shared" si="7"/>
        <v>2259.7380000000003</v>
      </c>
      <c r="H44" s="53">
        <f t="shared" si="0"/>
        <v>2259.7380000000003</v>
      </c>
      <c r="I44" s="46">
        <v>1</v>
      </c>
      <c r="J44" s="47" t="s">
        <v>24</v>
      </c>
      <c r="K44" s="47" t="s">
        <v>32</v>
      </c>
      <c r="L44" s="34" t="s">
        <v>178</v>
      </c>
      <c r="M44" s="35">
        <v>9.6199999999999992</v>
      </c>
      <c r="N44" s="35">
        <v>2.8860000000000001</v>
      </c>
      <c r="O44" s="31" t="s">
        <v>27</v>
      </c>
      <c r="P44" s="34" t="s">
        <v>179</v>
      </c>
    </row>
    <row r="45" spans="1:16" ht="36" customHeight="1">
      <c r="A45" s="34">
        <v>44</v>
      </c>
      <c r="B45" s="34" t="s">
        <v>16</v>
      </c>
      <c r="C45" s="34" t="s">
        <v>171</v>
      </c>
      <c r="D45" s="34" t="s">
        <v>180</v>
      </c>
      <c r="E45" s="34" t="s">
        <v>181</v>
      </c>
      <c r="F45" s="53">
        <f t="shared" si="6"/>
        <v>3.8961000000000006</v>
      </c>
      <c r="G45" s="53">
        <f t="shared" si="7"/>
        <v>2259.7380000000003</v>
      </c>
      <c r="H45" s="53">
        <f t="shared" si="0"/>
        <v>2259.7380000000003</v>
      </c>
      <c r="I45" s="46">
        <v>1</v>
      </c>
      <c r="J45" s="47" t="s">
        <v>24</v>
      </c>
      <c r="K45" s="47" t="s">
        <v>32</v>
      </c>
      <c r="L45" s="34" t="s">
        <v>178</v>
      </c>
      <c r="M45" s="35">
        <v>9.6199999999999992</v>
      </c>
      <c r="N45" s="35">
        <v>2.8860000000000001</v>
      </c>
      <c r="O45" s="31" t="s">
        <v>27</v>
      </c>
      <c r="P45" s="34" t="s">
        <v>179</v>
      </c>
    </row>
    <row r="46" spans="1:16" ht="36" customHeight="1">
      <c r="A46" s="34">
        <v>45</v>
      </c>
      <c r="B46" s="34" t="s">
        <v>16</v>
      </c>
      <c r="C46" s="34" t="s">
        <v>182</v>
      </c>
      <c r="D46" s="34" t="s">
        <v>182</v>
      </c>
      <c r="E46" s="34" t="s">
        <v>183</v>
      </c>
      <c r="F46" s="53">
        <v>234000</v>
      </c>
      <c r="G46" s="53">
        <v>234000</v>
      </c>
      <c r="H46" s="53">
        <f t="shared" si="0"/>
        <v>234000</v>
      </c>
      <c r="I46" s="46">
        <v>1</v>
      </c>
      <c r="J46" s="47" t="s">
        <v>17</v>
      </c>
      <c r="K46" s="47" t="s">
        <v>18</v>
      </c>
      <c r="L46" s="34" t="s">
        <v>184</v>
      </c>
      <c r="M46" s="35"/>
      <c r="N46" s="35"/>
      <c r="O46" s="31" t="s">
        <v>27</v>
      </c>
      <c r="P46" s="34" t="s">
        <v>179</v>
      </c>
    </row>
    <row r="47" spans="1:16" ht="36" customHeight="1">
      <c r="A47" s="34">
        <v>46</v>
      </c>
      <c r="B47" s="34" t="s">
        <v>16</v>
      </c>
      <c r="C47" s="34" t="s">
        <v>185</v>
      </c>
      <c r="D47" s="34" t="s">
        <v>185</v>
      </c>
      <c r="E47" s="34" t="s">
        <v>186</v>
      </c>
      <c r="F47" s="53">
        <v>234000</v>
      </c>
      <c r="G47" s="53">
        <v>234000</v>
      </c>
      <c r="H47" s="53">
        <f t="shared" si="0"/>
        <v>234000</v>
      </c>
      <c r="I47" s="46">
        <v>1</v>
      </c>
      <c r="J47" s="47" t="s">
        <v>17</v>
      </c>
      <c r="K47" s="47" t="s">
        <v>18</v>
      </c>
      <c r="L47" s="34" t="s">
        <v>187</v>
      </c>
      <c r="M47" s="35"/>
      <c r="N47" s="35"/>
      <c r="O47" s="31" t="s">
        <v>27</v>
      </c>
      <c r="P47" s="34" t="s">
        <v>179</v>
      </c>
    </row>
    <row r="48" spans="1:16">
      <c r="H48" s="55">
        <f>SUM(H3:H47)</f>
        <v>3759533.7590000001</v>
      </c>
    </row>
  </sheetData>
  <autoFilter ref="A1:P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.25"/>
  <cols>
    <col min="1" max="1" width="8" customWidth="1"/>
    <col min="2" max="2" width="22" customWidth="1"/>
    <col min="3" max="3" width="42" customWidth="1"/>
    <col min="4" max="5" width="10" customWidth="1"/>
    <col min="6" max="6" width="20" customWidth="1"/>
    <col min="7" max="7" width="24" customWidth="1"/>
    <col min="8" max="8" width="50" customWidth="1"/>
    <col min="9" max="9" width="28" customWidth="1"/>
  </cols>
  <sheetData>
    <row r="1" spans="1:9" ht="38.1" customHeight="1">
      <c r="A1" s="16" t="s">
        <v>188</v>
      </c>
      <c r="B1" s="17" t="s">
        <v>189</v>
      </c>
      <c r="C1" s="17" t="s">
        <v>190</v>
      </c>
      <c r="D1" s="17" t="s">
        <v>191</v>
      </c>
      <c r="E1" s="17" t="s">
        <v>192</v>
      </c>
      <c r="F1" s="17" t="s">
        <v>193</v>
      </c>
      <c r="G1" s="17" t="s">
        <v>194</v>
      </c>
      <c r="H1" s="17" t="s">
        <v>195</v>
      </c>
      <c r="I1" s="18" t="s">
        <v>15</v>
      </c>
    </row>
    <row r="2" spans="1:9" ht="38.1" customHeight="1">
      <c r="A2" s="19">
        <v>1</v>
      </c>
      <c r="B2" s="20" t="s">
        <v>73</v>
      </c>
      <c r="C2" s="20" t="s">
        <v>74</v>
      </c>
      <c r="D2" s="20">
        <v>1</v>
      </c>
      <c r="E2" s="20" t="s">
        <v>24</v>
      </c>
      <c r="F2" s="20" t="s">
        <v>196</v>
      </c>
      <c r="G2" s="20" t="s">
        <v>197</v>
      </c>
      <c r="H2" s="20" t="s">
        <v>198</v>
      </c>
      <c r="I2" s="21" t="s">
        <v>77</v>
      </c>
    </row>
    <row r="3" spans="1:9" ht="38.1" customHeight="1">
      <c r="A3" s="13">
        <v>2</v>
      </c>
      <c r="B3" s="14" t="s">
        <v>79</v>
      </c>
      <c r="C3" s="14" t="s">
        <v>80</v>
      </c>
      <c r="D3" s="14">
        <v>1</v>
      </c>
      <c r="E3" s="14" t="s">
        <v>24</v>
      </c>
      <c r="F3" s="14" t="s">
        <v>196</v>
      </c>
      <c r="G3" s="14" t="s">
        <v>197</v>
      </c>
      <c r="H3" s="14" t="s">
        <v>198</v>
      </c>
      <c r="I3" s="15" t="s">
        <v>77</v>
      </c>
    </row>
    <row r="4" spans="1:9" ht="38.1" customHeight="1">
      <c r="A4" s="13">
        <v>3</v>
      </c>
      <c r="B4" s="14" t="s">
        <v>82</v>
      </c>
      <c r="C4" s="14" t="s">
        <v>83</v>
      </c>
      <c r="D4" s="14">
        <v>1</v>
      </c>
      <c r="E4" s="14" t="s">
        <v>24</v>
      </c>
      <c r="F4" s="14" t="s">
        <v>196</v>
      </c>
      <c r="G4" s="14" t="s">
        <v>197</v>
      </c>
      <c r="H4" s="14" t="s">
        <v>198</v>
      </c>
      <c r="I4" s="15" t="s">
        <v>77</v>
      </c>
    </row>
    <row r="5" spans="1:9" ht="38.1" customHeight="1">
      <c r="A5" s="13">
        <v>4</v>
      </c>
      <c r="B5" s="14" t="s">
        <v>85</v>
      </c>
      <c r="C5" s="14" t="s">
        <v>86</v>
      </c>
      <c r="D5" s="14">
        <v>1</v>
      </c>
      <c r="E5" s="14" t="s">
        <v>24</v>
      </c>
      <c r="F5" s="14" t="s">
        <v>196</v>
      </c>
      <c r="G5" s="14" t="s">
        <v>197</v>
      </c>
      <c r="H5" s="14" t="s">
        <v>199</v>
      </c>
      <c r="I5" s="15" t="s">
        <v>118</v>
      </c>
    </row>
    <row r="6" spans="1:9" ht="38.1" customHeight="1">
      <c r="A6" s="13">
        <v>5</v>
      </c>
      <c r="B6" s="14" t="s">
        <v>88</v>
      </c>
      <c r="C6" s="14" t="s">
        <v>89</v>
      </c>
      <c r="D6" s="14">
        <v>1</v>
      </c>
      <c r="E6" s="14" t="s">
        <v>24</v>
      </c>
      <c r="F6" s="14" t="s">
        <v>196</v>
      </c>
      <c r="G6" s="14" t="s">
        <v>197</v>
      </c>
      <c r="H6" s="14" t="s">
        <v>200</v>
      </c>
      <c r="I6" s="15" t="s">
        <v>118</v>
      </c>
    </row>
    <row r="7" spans="1:9" ht="38.1" customHeight="1">
      <c r="A7" s="22">
        <v>6</v>
      </c>
      <c r="B7" s="23" t="s">
        <v>67</v>
      </c>
      <c r="C7" s="23" t="s">
        <v>201</v>
      </c>
      <c r="D7" s="23">
        <v>1</v>
      </c>
      <c r="E7" s="23" t="s">
        <v>24</v>
      </c>
      <c r="F7" s="23" t="s">
        <v>18</v>
      </c>
      <c r="G7" s="23" t="s">
        <v>202</v>
      </c>
      <c r="H7" s="23" t="s">
        <v>203</v>
      </c>
      <c r="I7" s="2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25"/>
  <cols>
    <col min="1" max="1" width="7" customWidth="1"/>
    <col min="2" max="2" width="26" customWidth="1"/>
    <col min="3" max="4" width="42" customWidth="1"/>
    <col min="5" max="5" width="50" customWidth="1"/>
    <col min="6" max="6" width="12" customWidth="1"/>
    <col min="7" max="7" width="20" customWidth="1"/>
    <col min="8" max="8" width="30" customWidth="1"/>
  </cols>
  <sheetData>
    <row r="1" spans="1:8" ht="48" customHeight="1">
      <c r="A1" s="25" t="s">
        <v>204</v>
      </c>
      <c r="B1" s="26" t="s">
        <v>205</v>
      </c>
      <c r="C1" s="26" t="s">
        <v>206</v>
      </c>
      <c r="D1" s="26" t="s">
        <v>207</v>
      </c>
      <c r="E1" s="26" t="s">
        <v>208</v>
      </c>
      <c r="F1" s="26" t="s">
        <v>209</v>
      </c>
      <c r="G1" s="26" t="s">
        <v>210</v>
      </c>
      <c r="H1" s="27" t="s">
        <v>15</v>
      </c>
    </row>
    <row r="2" spans="1:8" ht="48" customHeight="1">
      <c r="A2" s="2">
        <v>1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  <c r="G2" s="28" t="s">
        <v>42</v>
      </c>
      <c r="H2" s="4" t="s">
        <v>77</v>
      </c>
    </row>
    <row r="3" spans="1:8" ht="48" customHeight="1">
      <c r="A3" s="5">
        <v>2</v>
      </c>
      <c r="B3" s="1" t="s">
        <v>216</v>
      </c>
      <c r="C3" s="1" t="s">
        <v>217</v>
      </c>
      <c r="D3" s="1" t="s">
        <v>218</v>
      </c>
      <c r="E3" s="1" t="s">
        <v>219</v>
      </c>
      <c r="F3" s="1" t="s">
        <v>220</v>
      </c>
      <c r="G3" s="10" t="s">
        <v>27</v>
      </c>
      <c r="H3" s="6" t="s">
        <v>59</v>
      </c>
    </row>
    <row r="4" spans="1:8" ht="48" customHeight="1">
      <c r="A4" s="5">
        <v>3</v>
      </c>
      <c r="B4" s="1" t="s">
        <v>221</v>
      </c>
      <c r="C4" s="1" t="s">
        <v>222</v>
      </c>
      <c r="D4" s="1" t="s">
        <v>223</v>
      </c>
      <c r="E4" s="1" t="s">
        <v>224</v>
      </c>
      <c r="F4" s="11" t="s">
        <v>225</v>
      </c>
      <c r="G4" s="11" t="s">
        <v>34</v>
      </c>
      <c r="H4" s="6" t="s">
        <v>59</v>
      </c>
    </row>
    <row r="5" spans="1:8" ht="48" customHeight="1">
      <c r="A5" s="5">
        <v>4</v>
      </c>
      <c r="B5" s="1" t="s">
        <v>226</v>
      </c>
      <c r="C5" s="1" t="s">
        <v>227</v>
      </c>
      <c r="D5" s="1" t="s">
        <v>228</v>
      </c>
      <c r="E5" s="1" t="s">
        <v>229</v>
      </c>
      <c r="F5" s="11" t="s">
        <v>225</v>
      </c>
      <c r="G5" s="11" t="s">
        <v>34</v>
      </c>
      <c r="H5" s="6" t="s">
        <v>59</v>
      </c>
    </row>
    <row r="6" spans="1:8" ht="48" customHeight="1">
      <c r="A6" s="5">
        <v>5</v>
      </c>
      <c r="B6" s="1" t="s">
        <v>230</v>
      </c>
      <c r="C6" s="1" t="s">
        <v>231</v>
      </c>
      <c r="D6" s="1" t="s">
        <v>232</v>
      </c>
      <c r="E6" s="1" t="s">
        <v>233</v>
      </c>
      <c r="F6" s="11" t="s">
        <v>225</v>
      </c>
      <c r="G6" s="12" t="s">
        <v>42</v>
      </c>
      <c r="H6" s="6" t="s">
        <v>59</v>
      </c>
    </row>
    <row r="7" spans="1:8" ht="48" customHeight="1">
      <c r="A7" s="5">
        <v>6</v>
      </c>
      <c r="B7" s="1" t="s">
        <v>234</v>
      </c>
      <c r="C7" s="1" t="s">
        <v>235</v>
      </c>
      <c r="D7" s="1" t="s">
        <v>236</v>
      </c>
      <c r="E7" s="1" t="s">
        <v>237</v>
      </c>
      <c r="F7" s="11" t="s">
        <v>225</v>
      </c>
      <c r="G7" s="11" t="s">
        <v>34</v>
      </c>
      <c r="H7" s="6" t="s">
        <v>59</v>
      </c>
    </row>
    <row r="8" spans="1:8" ht="48" customHeight="1">
      <c r="A8" s="5">
        <v>7</v>
      </c>
      <c r="B8" s="1" t="s">
        <v>238</v>
      </c>
      <c r="C8" s="1" t="s">
        <v>239</v>
      </c>
      <c r="D8" s="1" t="s">
        <v>240</v>
      </c>
      <c r="E8" s="1" t="s">
        <v>241</v>
      </c>
      <c r="F8" s="11" t="s">
        <v>225</v>
      </c>
      <c r="G8" s="11" t="s">
        <v>34</v>
      </c>
      <c r="H8" s="6" t="s">
        <v>59</v>
      </c>
    </row>
    <row r="9" spans="1:8" ht="48" customHeight="1">
      <c r="A9" s="5">
        <v>8</v>
      </c>
      <c r="B9" s="1" t="s">
        <v>242</v>
      </c>
      <c r="C9" s="1" t="s">
        <v>243</v>
      </c>
      <c r="D9" s="1" t="s">
        <v>244</v>
      </c>
      <c r="E9" s="1" t="s">
        <v>245</v>
      </c>
      <c r="F9" s="11" t="s">
        <v>225</v>
      </c>
      <c r="G9" s="11" t="s">
        <v>34</v>
      </c>
      <c r="H9" s="6" t="s">
        <v>59</v>
      </c>
    </row>
    <row r="10" spans="1:8" ht="48" customHeight="1">
      <c r="A10" s="5">
        <v>9</v>
      </c>
      <c r="B10" s="1" t="s">
        <v>246</v>
      </c>
      <c r="C10" s="1" t="s">
        <v>247</v>
      </c>
      <c r="D10" s="1" t="s">
        <v>248</v>
      </c>
      <c r="E10" s="1" t="s">
        <v>249</v>
      </c>
      <c r="F10" s="1" t="s">
        <v>215</v>
      </c>
      <c r="G10" s="12" t="s">
        <v>42</v>
      </c>
      <c r="H10" s="6" t="s">
        <v>59</v>
      </c>
    </row>
    <row r="11" spans="1:8" ht="48" customHeight="1">
      <c r="A11" s="5">
        <v>10</v>
      </c>
      <c r="B11" s="1" t="s">
        <v>250</v>
      </c>
      <c r="C11" s="1" t="s">
        <v>251</v>
      </c>
      <c r="D11" s="1" t="s">
        <v>252</v>
      </c>
      <c r="E11" s="1" t="s">
        <v>253</v>
      </c>
      <c r="F11" s="11" t="s">
        <v>225</v>
      </c>
      <c r="G11" s="11" t="s">
        <v>34</v>
      </c>
      <c r="H11" s="6" t="s">
        <v>59</v>
      </c>
    </row>
    <row r="12" spans="1:8" ht="48" customHeight="1">
      <c r="A12" s="5">
        <v>11</v>
      </c>
      <c r="B12" s="1" t="s">
        <v>254</v>
      </c>
      <c r="C12" s="1" t="s">
        <v>255</v>
      </c>
      <c r="D12" s="1" t="s">
        <v>256</v>
      </c>
      <c r="E12" s="1" t="s">
        <v>257</v>
      </c>
      <c r="F12" s="1" t="s">
        <v>215</v>
      </c>
      <c r="G12" s="12" t="s">
        <v>42</v>
      </c>
      <c r="H12" s="6" t="s">
        <v>59</v>
      </c>
    </row>
    <row r="13" spans="1:8" ht="48" customHeight="1">
      <c r="A13" s="5">
        <v>12</v>
      </c>
      <c r="B13" s="1" t="s">
        <v>258</v>
      </c>
      <c r="C13" s="1" t="s">
        <v>259</v>
      </c>
      <c r="D13" s="1" t="s">
        <v>260</v>
      </c>
      <c r="E13" s="1" t="s">
        <v>261</v>
      </c>
      <c r="F13" s="11" t="s">
        <v>225</v>
      </c>
      <c r="G13" s="11" t="s">
        <v>34</v>
      </c>
      <c r="H13" s="6" t="s">
        <v>59</v>
      </c>
    </row>
    <row r="14" spans="1:8" ht="48" customHeight="1">
      <c r="A14" s="5">
        <v>13</v>
      </c>
      <c r="B14" s="1" t="s">
        <v>262</v>
      </c>
      <c r="C14" s="1" t="s">
        <v>263</v>
      </c>
      <c r="D14" s="1" t="s">
        <v>264</v>
      </c>
      <c r="E14" s="1" t="s">
        <v>265</v>
      </c>
      <c r="F14" s="1" t="s">
        <v>220</v>
      </c>
      <c r="G14" s="12" t="s">
        <v>42</v>
      </c>
      <c r="H14" s="6" t="s">
        <v>54</v>
      </c>
    </row>
    <row r="15" spans="1:8" ht="48" customHeight="1">
      <c r="A15" s="5">
        <v>14</v>
      </c>
      <c r="B15" s="1" t="s">
        <v>266</v>
      </c>
      <c r="C15" s="1" t="s">
        <v>267</v>
      </c>
      <c r="D15" s="1" t="s">
        <v>268</v>
      </c>
      <c r="E15" s="1" t="s">
        <v>269</v>
      </c>
      <c r="F15" s="1" t="s">
        <v>215</v>
      </c>
      <c r="G15" s="10" t="s">
        <v>27</v>
      </c>
      <c r="H15" s="6" t="s">
        <v>118</v>
      </c>
    </row>
    <row r="16" spans="1:8" ht="48" customHeight="1">
      <c r="A16" s="7">
        <v>15</v>
      </c>
      <c r="B16" s="8" t="s">
        <v>270</v>
      </c>
      <c r="C16" s="8" t="s">
        <v>271</v>
      </c>
      <c r="D16" s="8" t="s">
        <v>272</v>
      </c>
      <c r="E16" s="8" t="s">
        <v>273</v>
      </c>
      <c r="F16" s="29" t="s">
        <v>225</v>
      </c>
      <c r="G16" s="29" t="s">
        <v>20</v>
      </c>
      <c r="H16" s="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BOM_REVIZE</vt:lpstr>
      <vt:lpstr>MUSTERI_TEMIN_KNX</vt:lpstr>
      <vt:lpstr>KONTROL_RISK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2026-07-20T12:19:40Z</dcterms:modified>
</cp:coreProperties>
</file>