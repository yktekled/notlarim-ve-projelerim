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7 germes aeroport freedom\260717 freedom yeni proje\"/>
    </mc:Choice>
  </mc:AlternateContent>
  <xr:revisionPtr revIDLastSave="0" documentId="13_ncr:1_{7ED3A467-E4CE-42CF-8387-0574E73B6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REVIZE" sheetId="1" r:id="rId1"/>
  </sheets>
  <definedNames>
    <definedName name="_xlnm._FilterDatabase" localSheetId="0">BOM_REVIZE!$A$1:$H$46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7" i="1" s="1"/>
</calcChain>
</file>

<file path=xl/sharedStrings.xml><?xml version="1.0" encoding="utf-8"?>
<sst xmlns="http://schemas.openxmlformats.org/spreadsheetml/2006/main" count="182" uniqueCount="102">
  <si>
    <t>sira no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</si>
  <si>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</si>
  <si>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</si>
  <si>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</si>
  <si>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</si>
  <si>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</si>
  <si>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</si>
  <si>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</si>
  <si>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TAV-FR-E-EAP-009-R000 / Freedom Lounge / Rev.16.07.2026</t>
  </si>
  <si>
    <t>комплект</t>
  </si>
  <si>
    <t>TEKLED</t>
  </si>
  <si>
    <t>1800x700+700x450+100 mm baza</t>
  </si>
  <si>
    <t>шт.</t>
  </si>
  <si>
    <t>TEKSAN F</t>
  </si>
  <si>
    <t>1800x600x450+100 mm baza</t>
  </si>
  <si>
    <t>ABB</t>
  </si>
  <si>
    <t>Akım trafosu 250/5A, Class 0.5, 5VA</t>
  </si>
  <si>
    <t>PYS</t>
  </si>
  <si>
    <t>3 faz, akım trafolu x/5A sayaç - RK mevzuatına uygun</t>
  </si>
  <si>
    <t>SAIMAN</t>
  </si>
  <si>
    <t>2CDS211001R0065</t>
  </si>
  <si>
    <t>SH201-B6, 1P, 6A, B eğrisi, 6kA</t>
  </si>
  <si>
    <t>2CDS213001R0254</t>
  </si>
  <si>
    <t>SH203-C25, 3P, 25A</t>
  </si>
  <si>
    <t>2CDS211001R0105</t>
  </si>
  <si>
    <t>SH201-B10, 1P, 10A</t>
  </si>
  <si>
    <t>MDR-60-12</t>
  </si>
  <si>
    <t>MEAN WELL MDR-60-12, 12VDC / 5A</t>
  </si>
  <si>
    <t>MEAN WELL</t>
  </si>
  <si>
    <t>TXA112</t>
  </si>
  <si>
    <t>KNX Bus Power Supply 30VDC, 640mA</t>
  </si>
  <si>
    <t>MÜŞTERİ TEMİNİ</t>
  </si>
  <si>
    <t>TYFS130</t>
  </si>
  <si>
    <t>KNX Line Coupler Secure</t>
  </si>
  <si>
    <t>TYFS121</t>
  </si>
  <si>
    <t>KNX/IP Secure Router</t>
  </si>
  <si>
    <t>2CDG110264R0021</t>
  </si>
  <si>
    <t>SA/S12.16.2.12, 12 çıkışlı KNX modül</t>
  </si>
  <si>
    <t>2CDG110267R0021</t>
  </si>
  <si>
    <t>SA/S8.16.5.12, 8 çıkışlı KNX modül</t>
  </si>
  <si>
    <t>2CDS213001R0164</t>
  </si>
  <si>
    <t>SH203-C16, 3P, 16A</t>
  </si>
  <si>
    <t>2CSR255080R1164</t>
  </si>
  <si>
    <t>DS201 C16, 30mA RCBO</t>
  </si>
  <si>
    <t>2CSR255140R1254</t>
  </si>
  <si>
    <t>DS201 C25, 30mA RCBO</t>
  </si>
  <si>
    <t>1SAM250000R1011</t>
  </si>
  <si>
    <t>MS116-16, ayar 10-16A</t>
  </si>
  <si>
    <t>1SAM250000R1012</t>
  </si>
  <si>
    <t>MS116-12, ayar 9-13A</t>
  </si>
  <si>
    <t>1SAM250000R1004</t>
  </si>
  <si>
    <t>MS116-0.63, ayar 0.40-0.63A</t>
  </si>
  <si>
    <t>1SAM201903R1001</t>
  </si>
  <si>
    <t>SK1-11 yardımcı kontak</t>
  </si>
  <si>
    <t>1SBL177001R1310</t>
  </si>
  <si>
    <t>AF16-30-10</t>
  </si>
  <si>
    <t>1SBL137001R1310</t>
  </si>
  <si>
    <t>AF09-30-10</t>
  </si>
  <si>
    <t>1SFA619210R1026</t>
  </si>
  <si>
    <t>C3SS1-10B-20, 1-0-2 seçici</t>
  </si>
  <si>
    <t>1SEP101890R0002</t>
  </si>
  <si>
    <t>XLP 00-6BC, SPD yedek sigorta altlığı/ayırıcı</t>
  </si>
  <si>
    <t>1SCA022627R1630</t>
  </si>
  <si>
    <t>OFAF00H125, NH00 125A</t>
  </si>
  <si>
    <t>2CTB812111R2300</t>
  </si>
  <si>
    <t>OVR T1-T2 3N 100-255 P TS</t>
  </si>
  <si>
    <t>2CDS211103R0404</t>
  </si>
  <si>
    <t>SH201-C40 NA / 2 kutuplu C40 koruma</t>
  </si>
  <si>
    <t>1SCA151421R1001</t>
  </si>
  <si>
    <t>OTM63F2C20D230C</t>
  </si>
  <si>
    <t>2P, 40A, 1-0-2 manuel bypass/değiştirme şalteri</t>
  </si>
  <si>
    <t>40/5A akım trafosu</t>
  </si>
  <si>
    <t>2TAZ662012R2000</t>
  </si>
  <si>
    <t>M1M 20 Modbus (UMDP1 için önerilen alternatif)</t>
  </si>
  <si>
    <t>2CDS251001R0024</t>
  </si>
  <si>
    <t>S201-C2, 1P, 2A</t>
  </si>
  <si>
    <t>2CDS211001R0164</t>
  </si>
  <si>
    <t>SH201-C16, 1P, 16A</t>
  </si>
  <si>
    <t>1SFA619403R5232</t>
  </si>
  <si>
    <t>CL2-523G yeşil sinyal lambası</t>
  </si>
  <si>
    <t>1SFA619403R5233</t>
  </si>
  <si>
    <t>CL2-523Y sarı sinyal lambası</t>
  </si>
  <si>
    <t>1SFA619403R5231</t>
  </si>
  <si>
    <t>CL2-523R kırmızı sinyal lambası</t>
  </si>
  <si>
    <t>монтажный материал</t>
  </si>
  <si>
    <t>Montaj malzemesi</t>
  </si>
  <si>
    <t>XT3N 250, TMD, In=250A  - EMDP1 ana giriş</t>
  </si>
  <si>
    <t xml:space="preserve"> 1SDA068059R1 </t>
  </si>
  <si>
    <t xml:space="preserve"> 1SDA067418R1 </t>
  </si>
  <si>
    <t>XT1N 160, TMD, In=160A  - mekanik bölüm beslemesi</t>
  </si>
  <si>
    <t>40/5</t>
  </si>
  <si>
    <t xml:space="preserve"> 2CDS272001R0404</t>
  </si>
  <si>
    <t>S 202 M-C 40</t>
  </si>
  <si>
    <t xml:space="preserve"> 1SAE231111R0640 </t>
  </si>
  <si>
    <t xml:space="preserve">ESB25-40N </t>
  </si>
  <si>
    <t xml:space="preserve"> AF26-40-00</t>
  </si>
  <si>
    <t xml:space="preserve"> 1SBL237201R1300</t>
  </si>
  <si>
    <t>metop</t>
  </si>
  <si>
    <t>2CSF202102R1250</t>
  </si>
  <si>
    <t>FH202 A-25/0.03</t>
  </si>
  <si>
    <t xml:space="preserve"> 2CSF204102R1250</t>
  </si>
  <si>
    <t xml:space="preserve">FH204 A-25/0.03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</si>
</sst>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##"/>
  </numFmts>
  <fonts count="5">
    <font>
      <sz val="11"/>
      <name val="Carlito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8"/>
      <name val="Carlito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3" fontId="0" fillId="0" borderId="0" xfId="0" applyNumberFormat="1"/>
    <xf numFmtId="3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F43" sqref="F43"/>
    </sheetView>
  </sheetViews>
  <sheetFormatPr defaultRowHeight="14.25"/>
  <cols>
    <col min="1" max="1" width="8" customWidth="1"/>
    <col min="2" max="2" width="16.375" customWidth="1"/>
    <col min="3" max="3" width="42" customWidth="1"/>
    <col min="4" max="4" width="6.625" style="11" customWidth="1"/>
    <col min="5" max="5" width="6.5" style="11" customWidth="1"/>
    <col min="6" max="6" width="10" style="11" customWidth="1"/>
    <col min="7" max="7" width="8.75" style="16" customWidth="1"/>
    <col min="8" max="8" width="20.625" style="16" customWidth="1"/>
  </cols>
  <sheetData>
    <row r="1" spans="1:8" ht="60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2" t="s">
        <v>3</v>
      </c>
      <c r="H1" s="12" t="s">
        <v>4</v>
      </c>
    </row>
    <row r="2" spans="1:8" ht="36" customHeight="1">
      <c r="A2" s="2">
        <v>1</v>
      </c>
      <c r="B2" s="2"/>
      <c r="C2" s="2" t="s">
        <v>8</v>
      </c>
      <c r="D2" s="5">
        <v>1</v>
      </c>
      <c r="E2" s="6" t="s">
        <v>9</v>
      </c>
      <c r="F2" s="6" t="s">
        <v>10</v>
      </c>
      <c r="G2" s="13">
        <v>6081829.3519899994</v>
      </c>
      <c r="H2" s="13">
        <f>G2*D2</f>
        <v>6081829.3519899994</v>
      </c>
    </row>
    <row r="3" spans="1:8" ht="36" customHeight="1">
      <c r="A3" s="3">
        <v>2</v>
      </c>
      <c r="B3" s="3"/>
      <c r="C3" s="3" t="s">
        <v>11</v>
      </c>
      <c r="D3" s="7">
        <v>1</v>
      </c>
      <c r="E3" s="8" t="s">
        <v>12</v>
      </c>
      <c r="F3" s="8" t="s">
        <v>13</v>
      </c>
      <c r="G3" s="14"/>
      <c r="H3" s="14"/>
    </row>
    <row r="4" spans="1:8" ht="36" customHeight="1">
      <c r="A4" s="3">
        <v>3</v>
      </c>
      <c r="B4" s="3"/>
      <c r="C4" s="3" t="s">
        <v>14</v>
      </c>
      <c r="D4" s="7">
        <v>1</v>
      </c>
      <c r="E4" s="8" t="s">
        <v>12</v>
      </c>
      <c r="F4" s="8" t="s">
        <v>13</v>
      </c>
      <c r="G4" s="14"/>
      <c r="H4" s="14"/>
    </row>
    <row r="5" spans="1:8" ht="36" customHeight="1">
      <c r="A5" s="3">
        <v>4</v>
      </c>
      <c r="B5" s="3" t="s">
        <v>87</v>
      </c>
      <c r="C5" s="3" t="s">
        <v>86</v>
      </c>
      <c r="D5" s="7">
        <v>1</v>
      </c>
      <c r="E5" s="8" t="s">
        <v>12</v>
      </c>
      <c r="F5" s="8" t="s">
        <v>15</v>
      </c>
      <c r="G5" s="14"/>
      <c r="H5" s="14"/>
    </row>
    <row r="6" spans="1:8" ht="36" customHeight="1">
      <c r="A6" s="3">
        <v>5</v>
      </c>
      <c r="B6" s="3" t="s">
        <v>88</v>
      </c>
      <c r="C6" s="3" t="s">
        <v>89</v>
      </c>
      <c r="D6" s="7">
        <v>1</v>
      </c>
      <c r="E6" s="8" t="s">
        <v>12</v>
      </c>
      <c r="F6" s="8" t="s">
        <v>15</v>
      </c>
      <c r="G6" s="14"/>
      <c r="H6" s="14"/>
    </row>
    <row r="7" spans="1:8" ht="36" customHeight="1">
      <c r="A7" s="3">
        <v>6</v>
      </c>
      <c r="B7" s="3"/>
      <c r="C7" s="3" t="s">
        <v>16</v>
      </c>
      <c r="D7" s="7">
        <v>6</v>
      </c>
      <c r="E7" s="8" t="s">
        <v>12</v>
      </c>
      <c r="F7" s="8" t="s">
        <v>17</v>
      </c>
      <c r="G7" s="14"/>
      <c r="H7" s="14"/>
    </row>
    <row r="8" spans="1:8" ht="36" customHeight="1">
      <c r="A8" s="3">
        <v>7</v>
      </c>
      <c r="B8" s="3"/>
      <c r="C8" s="3" t="s">
        <v>18</v>
      </c>
      <c r="D8" s="7">
        <v>1</v>
      </c>
      <c r="E8" s="8" t="s">
        <v>12</v>
      </c>
      <c r="F8" s="8" t="s">
        <v>19</v>
      </c>
      <c r="G8" s="14"/>
      <c r="H8" s="14"/>
    </row>
    <row r="9" spans="1:8" ht="36" customHeight="1">
      <c r="A9" s="3">
        <v>9</v>
      </c>
      <c r="B9" s="3" t="s">
        <v>20</v>
      </c>
      <c r="C9" s="3" t="s">
        <v>21</v>
      </c>
      <c r="D9" s="7">
        <v>7</v>
      </c>
      <c r="E9" s="8" t="s">
        <v>12</v>
      </c>
      <c r="F9" s="8" t="s">
        <v>15</v>
      </c>
      <c r="G9" s="14"/>
      <c r="H9" s="14"/>
    </row>
    <row r="10" spans="1:8" ht="36" customHeight="1">
      <c r="A10" s="3">
        <v>10</v>
      </c>
      <c r="B10" s="3" t="s">
        <v>22</v>
      </c>
      <c r="C10" s="3" t="s">
        <v>23</v>
      </c>
      <c r="D10" s="7">
        <v>2</v>
      </c>
      <c r="E10" s="8" t="s">
        <v>12</v>
      </c>
      <c r="F10" s="8" t="s">
        <v>15</v>
      </c>
      <c r="G10" s="14"/>
      <c r="H10" s="14"/>
    </row>
    <row r="11" spans="1:8" ht="36" customHeight="1">
      <c r="A11" s="3">
        <v>11</v>
      </c>
      <c r="B11" s="3" t="s">
        <v>98</v>
      </c>
      <c r="C11" s="3" t="s">
        <v>99</v>
      </c>
      <c r="D11" s="7">
        <v>12</v>
      </c>
      <c r="E11" s="8" t="s">
        <v>12</v>
      </c>
      <c r="F11" s="8" t="s">
        <v>15</v>
      </c>
      <c r="G11" s="14"/>
      <c r="H11" s="14"/>
    </row>
    <row r="12" spans="1:8" ht="36" customHeight="1">
      <c r="A12" s="3">
        <v>12</v>
      </c>
      <c r="B12" s="3" t="s">
        <v>24</v>
      </c>
      <c r="C12" s="3" t="s">
        <v>25</v>
      </c>
      <c r="D12" s="7">
        <v>31</v>
      </c>
      <c r="E12" s="8" t="s">
        <v>12</v>
      </c>
      <c r="F12" s="8" t="s">
        <v>15</v>
      </c>
      <c r="G12" s="14"/>
      <c r="H12" s="14"/>
    </row>
    <row r="13" spans="1:8" ht="36" customHeight="1">
      <c r="A13" s="3">
        <v>13</v>
      </c>
      <c r="B13" s="3" t="s">
        <v>26</v>
      </c>
      <c r="C13" s="3" t="s">
        <v>27</v>
      </c>
      <c r="D13" s="7">
        <v>1</v>
      </c>
      <c r="E13" s="8" t="s">
        <v>12</v>
      </c>
      <c r="F13" s="8" t="s">
        <v>28</v>
      </c>
      <c r="G13" s="14"/>
      <c r="H13" s="14"/>
    </row>
    <row r="14" spans="1:8" ht="36" customHeight="1">
      <c r="A14" s="4">
        <v>14</v>
      </c>
      <c r="B14" s="4" t="s">
        <v>29</v>
      </c>
      <c r="C14" s="4" t="s">
        <v>30</v>
      </c>
      <c r="D14" s="9">
        <v>1</v>
      </c>
      <c r="E14" s="10" t="s">
        <v>12</v>
      </c>
      <c r="F14" s="10" t="s">
        <v>31</v>
      </c>
      <c r="G14" s="15"/>
      <c r="H14" s="14"/>
    </row>
    <row r="15" spans="1:8" ht="36" customHeight="1">
      <c r="A15" s="4">
        <v>15</v>
      </c>
      <c r="B15" s="4" t="s">
        <v>32</v>
      </c>
      <c r="C15" s="4" t="s">
        <v>33</v>
      </c>
      <c r="D15" s="9">
        <v>1</v>
      </c>
      <c r="E15" s="10" t="s">
        <v>12</v>
      </c>
      <c r="F15" s="10" t="s">
        <v>31</v>
      </c>
      <c r="G15" s="15"/>
      <c r="H15" s="14"/>
    </row>
    <row r="16" spans="1:8" ht="36" customHeight="1">
      <c r="A16" s="4">
        <v>16</v>
      </c>
      <c r="B16" s="4" t="s">
        <v>34</v>
      </c>
      <c r="C16" s="4" t="s">
        <v>35</v>
      </c>
      <c r="D16" s="9">
        <v>1</v>
      </c>
      <c r="E16" s="10" t="s">
        <v>12</v>
      </c>
      <c r="F16" s="10" t="s">
        <v>31</v>
      </c>
      <c r="G16" s="15"/>
      <c r="H16" s="14"/>
    </row>
    <row r="17" spans="1:8" ht="36" customHeight="1">
      <c r="A17" s="4">
        <v>17</v>
      </c>
      <c r="B17" s="4" t="s">
        <v>36</v>
      </c>
      <c r="C17" s="4" t="s">
        <v>37</v>
      </c>
      <c r="D17" s="9">
        <v>1</v>
      </c>
      <c r="E17" s="10" t="s">
        <v>12</v>
      </c>
      <c r="F17" s="10" t="s">
        <v>31</v>
      </c>
      <c r="G17" s="15"/>
      <c r="H17" s="14"/>
    </row>
    <row r="18" spans="1:8" ht="36" customHeight="1">
      <c r="A18" s="4">
        <v>18</v>
      </c>
      <c r="B18" s="4" t="s">
        <v>38</v>
      </c>
      <c r="C18" s="4" t="s">
        <v>39</v>
      </c>
      <c r="D18" s="9">
        <v>1</v>
      </c>
      <c r="E18" s="10" t="s">
        <v>12</v>
      </c>
      <c r="F18" s="10" t="s">
        <v>31</v>
      </c>
      <c r="G18" s="15"/>
      <c r="H18" s="14"/>
    </row>
    <row r="19" spans="1:8" ht="36" customHeight="1">
      <c r="A19" s="3">
        <v>19</v>
      </c>
      <c r="B19" s="3" t="s">
        <v>100</v>
      </c>
      <c r="C19" s="3" t="s">
        <v>101</v>
      </c>
      <c r="D19" s="7">
        <v>5</v>
      </c>
      <c r="E19" s="8" t="s">
        <v>12</v>
      </c>
      <c r="F19" s="8" t="s">
        <v>15</v>
      </c>
      <c r="G19" s="14"/>
      <c r="H19" s="14"/>
    </row>
    <row r="20" spans="1:8" ht="36" customHeight="1">
      <c r="A20" s="3">
        <v>20</v>
      </c>
      <c r="B20" s="3" t="s">
        <v>40</v>
      </c>
      <c r="C20" s="3" t="s">
        <v>41</v>
      </c>
      <c r="D20" s="7">
        <v>1</v>
      </c>
      <c r="E20" s="8" t="s">
        <v>12</v>
      </c>
      <c r="F20" s="8" t="s">
        <v>15</v>
      </c>
      <c r="G20" s="14"/>
      <c r="H20" s="14"/>
    </row>
    <row r="21" spans="1:8" ht="36" customHeight="1">
      <c r="A21" s="3">
        <v>21</v>
      </c>
      <c r="B21" s="3" t="s">
        <v>42</v>
      </c>
      <c r="C21" s="3" t="s">
        <v>43</v>
      </c>
      <c r="D21" s="7">
        <v>44</v>
      </c>
      <c r="E21" s="8" t="s">
        <v>12</v>
      </c>
      <c r="F21" s="8" t="s">
        <v>15</v>
      </c>
      <c r="G21" s="14"/>
      <c r="H21" s="14"/>
    </row>
    <row r="22" spans="1:8" ht="36" customHeight="1">
      <c r="A22" s="3">
        <v>22</v>
      </c>
      <c r="B22" s="3" t="s">
        <v>44</v>
      </c>
      <c r="C22" s="3" t="s">
        <v>45</v>
      </c>
      <c r="D22" s="7">
        <v>4</v>
      </c>
      <c r="E22" s="8" t="s">
        <v>12</v>
      </c>
      <c r="F22" s="8" t="s">
        <v>15</v>
      </c>
      <c r="G22" s="14"/>
      <c r="H22" s="14"/>
    </row>
    <row r="23" spans="1:8" ht="36" customHeight="1">
      <c r="A23" s="3">
        <v>23</v>
      </c>
      <c r="B23" s="3" t="s">
        <v>46</v>
      </c>
      <c r="C23" s="3" t="s">
        <v>47</v>
      </c>
      <c r="D23" s="7">
        <v>1</v>
      </c>
      <c r="E23" s="8" t="s">
        <v>12</v>
      </c>
      <c r="F23" s="8" t="s">
        <v>15</v>
      </c>
      <c r="G23" s="14"/>
      <c r="H23" s="14"/>
    </row>
    <row r="24" spans="1:8" ht="36" customHeight="1">
      <c r="A24" s="3">
        <v>24</v>
      </c>
      <c r="B24" s="3" t="s">
        <v>48</v>
      </c>
      <c r="C24" s="3" t="s">
        <v>49</v>
      </c>
      <c r="D24" s="7">
        <v>2</v>
      </c>
      <c r="E24" s="8" t="s">
        <v>12</v>
      </c>
      <c r="F24" s="8" t="s">
        <v>15</v>
      </c>
      <c r="G24" s="14"/>
      <c r="H24" s="14"/>
    </row>
    <row r="25" spans="1:8" ht="36" customHeight="1">
      <c r="A25" s="3">
        <v>25</v>
      </c>
      <c r="B25" s="3" t="s">
        <v>50</v>
      </c>
      <c r="C25" s="3" t="s">
        <v>51</v>
      </c>
      <c r="D25" s="7">
        <v>2</v>
      </c>
      <c r="E25" s="8" t="s">
        <v>12</v>
      </c>
      <c r="F25" s="8" t="s">
        <v>15</v>
      </c>
      <c r="G25" s="14"/>
      <c r="H25" s="14"/>
    </row>
    <row r="26" spans="1:8" ht="36" customHeight="1">
      <c r="A26" s="3">
        <v>26</v>
      </c>
      <c r="B26" s="3" t="s">
        <v>52</v>
      </c>
      <c r="C26" s="3" t="s">
        <v>53</v>
      </c>
      <c r="D26" s="7">
        <v>5</v>
      </c>
      <c r="E26" s="8" t="s">
        <v>12</v>
      </c>
      <c r="F26" s="8" t="s">
        <v>15</v>
      </c>
      <c r="G26" s="14"/>
      <c r="H26" s="14"/>
    </row>
    <row r="27" spans="1:8" ht="36" customHeight="1">
      <c r="A27" s="3">
        <v>27</v>
      </c>
      <c r="B27" s="3" t="s">
        <v>93</v>
      </c>
      <c r="C27" s="3" t="s">
        <v>94</v>
      </c>
      <c r="D27" s="7">
        <v>2</v>
      </c>
      <c r="E27" s="8" t="s">
        <v>12</v>
      </c>
      <c r="F27" s="8" t="s">
        <v>15</v>
      </c>
      <c r="G27" s="14"/>
      <c r="H27" s="14"/>
    </row>
    <row r="28" spans="1:8" ht="36" customHeight="1">
      <c r="A28" s="3">
        <v>27</v>
      </c>
      <c r="B28" s="3" t="s">
        <v>96</v>
      </c>
      <c r="C28" s="3" t="s">
        <v>95</v>
      </c>
      <c r="D28" s="7">
        <v>2</v>
      </c>
      <c r="E28" s="8" t="s">
        <v>12</v>
      </c>
      <c r="F28" s="8" t="s">
        <v>15</v>
      </c>
      <c r="G28" s="14"/>
      <c r="H28" s="14"/>
    </row>
    <row r="29" spans="1:8" ht="36" customHeight="1">
      <c r="A29" s="3">
        <v>28</v>
      </c>
      <c r="B29" s="3" t="s">
        <v>54</v>
      </c>
      <c r="C29" s="3" t="s">
        <v>55</v>
      </c>
      <c r="D29" s="7">
        <v>3</v>
      </c>
      <c r="E29" s="8" t="s">
        <v>12</v>
      </c>
      <c r="F29" s="8" t="s">
        <v>15</v>
      </c>
      <c r="G29" s="14"/>
      <c r="H29" s="14"/>
    </row>
    <row r="30" spans="1:8" ht="36" customHeight="1">
      <c r="A30" s="3">
        <v>29</v>
      </c>
      <c r="B30" s="3" t="s">
        <v>56</v>
      </c>
      <c r="C30" s="3" t="s">
        <v>57</v>
      </c>
      <c r="D30" s="7">
        <v>2</v>
      </c>
      <c r="E30" s="8" t="s">
        <v>12</v>
      </c>
      <c r="F30" s="8" t="s">
        <v>15</v>
      </c>
      <c r="G30" s="14"/>
      <c r="H30" s="14"/>
    </row>
    <row r="31" spans="1:8" ht="36" customHeight="1">
      <c r="A31" s="3">
        <v>30</v>
      </c>
      <c r="B31" s="3" t="s">
        <v>58</v>
      </c>
      <c r="C31" s="3" t="s">
        <v>59</v>
      </c>
      <c r="D31" s="7">
        <v>6</v>
      </c>
      <c r="E31" s="8" t="s">
        <v>12</v>
      </c>
      <c r="F31" s="8" t="s">
        <v>15</v>
      </c>
      <c r="G31" s="14"/>
      <c r="H31" s="14"/>
    </row>
    <row r="32" spans="1:8" ht="36" customHeight="1">
      <c r="A32" s="3">
        <v>31</v>
      </c>
      <c r="B32" s="3" t="s">
        <v>60</v>
      </c>
      <c r="C32" s="3" t="s">
        <v>61</v>
      </c>
      <c r="D32" s="7">
        <v>1</v>
      </c>
      <c r="E32" s="8" t="s">
        <v>12</v>
      </c>
      <c r="F32" s="8" t="s">
        <v>15</v>
      </c>
      <c r="G32" s="14"/>
      <c r="H32" s="14"/>
    </row>
    <row r="33" spans="1:8" ht="36" customHeight="1">
      <c r="A33" s="3">
        <v>32</v>
      </c>
      <c r="B33" s="3" t="s">
        <v>62</v>
      </c>
      <c r="C33" s="3" t="s">
        <v>63</v>
      </c>
      <c r="D33" s="7">
        <v>3</v>
      </c>
      <c r="E33" s="8" t="s">
        <v>12</v>
      </c>
      <c r="F33" s="8" t="s">
        <v>15</v>
      </c>
      <c r="G33" s="14"/>
      <c r="H33" s="14"/>
    </row>
    <row r="34" spans="1:8" ht="36" customHeight="1">
      <c r="A34" s="3">
        <v>33</v>
      </c>
      <c r="B34" s="3" t="s">
        <v>64</v>
      </c>
      <c r="C34" s="3" t="s">
        <v>65</v>
      </c>
      <c r="D34" s="7">
        <v>1</v>
      </c>
      <c r="E34" s="8" t="s">
        <v>12</v>
      </c>
      <c r="F34" s="8" t="s">
        <v>15</v>
      </c>
      <c r="G34" s="14"/>
      <c r="H34" s="14"/>
    </row>
    <row r="35" spans="1:8" ht="36" customHeight="1">
      <c r="A35" s="3">
        <v>34</v>
      </c>
      <c r="B35" s="3" t="s">
        <v>66</v>
      </c>
      <c r="C35" s="3" t="s">
        <v>67</v>
      </c>
      <c r="D35" s="7">
        <v>3</v>
      </c>
      <c r="E35" s="8" t="s">
        <v>12</v>
      </c>
      <c r="F35" s="8" t="s">
        <v>15</v>
      </c>
      <c r="G35" s="14"/>
      <c r="H35" s="14"/>
    </row>
    <row r="36" spans="1:8" ht="36" customHeight="1">
      <c r="A36" s="3">
        <v>35</v>
      </c>
      <c r="B36" s="3" t="s">
        <v>91</v>
      </c>
      <c r="C36" s="3" t="s">
        <v>92</v>
      </c>
      <c r="D36" s="7">
        <v>2</v>
      </c>
      <c r="E36" s="8" t="s">
        <v>12</v>
      </c>
      <c r="F36" s="8" t="s">
        <v>15</v>
      </c>
      <c r="G36" s="14"/>
      <c r="H36" s="14"/>
    </row>
    <row r="37" spans="1:8" ht="36" customHeight="1">
      <c r="A37" s="3">
        <v>36</v>
      </c>
      <c r="B37" s="3" t="s">
        <v>68</v>
      </c>
      <c r="C37" s="3" t="s">
        <v>69</v>
      </c>
      <c r="D37" s="7">
        <v>1</v>
      </c>
      <c r="E37" s="8" t="s">
        <v>12</v>
      </c>
      <c r="F37" s="8" t="s">
        <v>15</v>
      </c>
      <c r="G37" s="14"/>
      <c r="H37" s="14"/>
    </row>
    <row r="38" spans="1:8" ht="36" customHeight="1">
      <c r="A38" s="3">
        <v>37</v>
      </c>
      <c r="B38" s="3"/>
      <c r="C38" s="3" t="s">
        <v>70</v>
      </c>
      <c r="D38" s="7">
        <v>1</v>
      </c>
      <c r="E38" s="8" t="s">
        <v>12</v>
      </c>
      <c r="F38" s="8" t="s">
        <v>97</v>
      </c>
      <c r="G38" s="14"/>
      <c r="H38" s="14"/>
    </row>
    <row r="39" spans="1:8" ht="36" customHeight="1">
      <c r="A39" s="3">
        <v>38</v>
      </c>
      <c r="B39" s="3" t="s">
        <v>90</v>
      </c>
      <c r="C39" s="3" t="s">
        <v>71</v>
      </c>
      <c r="D39" s="7">
        <v>6</v>
      </c>
      <c r="E39" s="8" t="s">
        <v>12</v>
      </c>
      <c r="F39" s="8" t="s">
        <v>17</v>
      </c>
      <c r="G39" s="14"/>
      <c r="H39" s="14"/>
    </row>
    <row r="40" spans="1:8" ht="36" customHeight="1">
      <c r="A40" s="3">
        <v>39</v>
      </c>
      <c r="B40" s="3" t="s">
        <v>72</v>
      </c>
      <c r="C40" s="3" t="s">
        <v>73</v>
      </c>
      <c r="D40" s="7">
        <v>2</v>
      </c>
      <c r="E40" s="8" t="s">
        <v>12</v>
      </c>
      <c r="F40" s="8" t="s">
        <v>15</v>
      </c>
      <c r="G40" s="14"/>
      <c r="H40" s="14"/>
    </row>
    <row r="41" spans="1:8" ht="36" customHeight="1">
      <c r="A41" s="3">
        <v>40</v>
      </c>
      <c r="B41" s="3" t="s">
        <v>74</v>
      </c>
      <c r="C41" s="3" t="s">
        <v>75</v>
      </c>
      <c r="D41" s="7">
        <v>2</v>
      </c>
      <c r="E41" s="8" t="s">
        <v>12</v>
      </c>
      <c r="F41" s="8" t="s">
        <v>15</v>
      </c>
      <c r="G41" s="14"/>
      <c r="H41" s="14"/>
    </row>
    <row r="42" spans="1:8" ht="36" customHeight="1">
      <c r="A42" s="3">
        <v>41</v>
      </c>
      <c r="B42" s="3" t="s">
        <v>76</v>
      </c>
      <c r="C42" s="3" t="s">
        <v>77</v>
      </c>
      <c r="D42" s="7">
        <v>11</v>
      </c>
      <c r="E42" s="8" t="s">
        <v>12</v>
      </c>
      <c r="F42" s="8" t="s">
        <v>15</v>
      </c>
      <c r="G42" s="14"/>
      <c r="H42" s="14"/>
    </row>
    <row r="43" spans="1:8" ht="36" customHeight="1">
      <c r="A43" s="3">
        <v>42</v>
      </c>
      <c r="B43" s="3" t="s">
        <v>78</v>
      </c>
      <c r="C43" s="3" t="s">
        <v>79</v>
      </c>
      <c r="D43" s="7">
        <v>22</v>
      </c>
      <c r="E43" s="8" t="s">
        <v>12</v>
      </c>
      <c r="F43" s="8" t="s">
        <v>15</v>
      </c>
      <c r="G43" s="14"/>
      <c r="H43" s="14"/>
    </row>
    <row r="44" spans="1:8" ht="36" customHeight="1">
      <c r="A44" s="3">
        <v>43</v>
      </c>
      <c r="B44" s="3" t="s">
        <v>80</v>
      </c>
      <c r="C44" s="3" t="s">
        <v>81</v>
      </c>
      <c r="D44" s="7">
        <v>1</v>
      </c>
      <c r="E44" s="8" t="s">
        <v>12</v>
      </c>
      <c r="F44" s="8" t="s">
        <v>15</v>
      </c>
      <c r="G44" s="14"/>
      <c r="H44" s="14"/>
    </row>
    <row r="45" spans="1:8" ht="36" customHeight="1">
      <c r="A45" s="3">
        <v>44</v>
      </c>
      <c r="B45" s="3" t="s">
        <v>82</v>
      </c>
      <c r="C45" s="3" t="s">
        <v>83</v>
      </c>
      <c r="D45" s="7">
        <v>1</v>
      </c>
      <c r="E45" s="8" t="s">
        <v>12</v>
      </c>
      <c r="F45" s="8" t="s">
        <v>15</v>
      </c>
      <c r="G45" s="14"/>
      <c r="H45" s="14"/>
    </row>
    <row r="46" spans="1:8" ht="36" customHeight="1">
      <c r="A46" s="3">
        <v>45</v>
      </c>
      <c r="B46" s="3" t="s">
        <v>84</v>
      </c>
      <c r="C46" s="3" t="s">
        <v>85</v>
      </c>
      <c r="D46" s="7">
        <v>1</v>
      </c>
      <c r="E46" s="8" t="s">
        <v>9</v>
      </c>
      <c r="F46" s="8" t="s">
        <v>10</v>
      </c>
      <c r="G46" s="14"/>
      <c r="H46" s="14"/>
    </row>
    <row r="47" spans="1:8" ht="23.25">
      <c r="H47" s="17">
        <f>SUM(H2:H46)</f>
        <v>6081829.3519899994</v>
      </c>
    </row>
  </sheetData>
  <autoFilter ref="A1:H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BOM_REVIZE</vt:lpstr>
      <vt:lpstr>BOM_REVIZE!_VeritabaniniFiltrele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2026-07-20T12:24:30Z</dcterms:modified>
</cp:coreProperties>
</file>