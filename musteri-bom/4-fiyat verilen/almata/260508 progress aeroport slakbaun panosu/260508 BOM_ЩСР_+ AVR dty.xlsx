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ive'ım\2-calisilan\proje\260508 progress aeroport slakbaun panosu\"/>
    </mc:Choice>
  </mc:AlternateContent>
  <xr:revisionPtr revIDLastSave="0" documentId="13_ncr:1_{9CF777C6-B591-4690-8568-D4BF67318D34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fiyat burda" sheetId="1" r:id="rId1"/>
  </sheets>
  <definedNames>
    <definedName name="_xlnm._FilterDatabase" localSheetId="0" hidden="1">'fiyat burda'!$A$1:$N$30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F2" i="1"/>
  <c r="F17" i="1"/>
  <c r="G3" i="1"/>
  <c r="G18" i="1"/>
  <c r="H20" i="1"/>
  <c r="H21" i="1"/>
  <c r="H22" i="1"/>
  <c r="H23" i="1"/>
  <c r="H24" i="1"/>
  <c r="H25" i="1"/>
  <c r="H26" i="1"/>
  <c r="H27" i="1"/>
  <c r="H28" i="1"/>
  <c r="H29" i="1"/>
  <c r="H30" i="1"/>
  <c r="H18" i="1"/>
  <c r="G30" i="1"/>
  <c r="G20" i="1"/>
  <c r="G21" i="1"/>
  <c r="G22" i="1"/>
  <c r="G23" i="1"/>
  <c r="G24" i="1"/>
  <c r="G25" i="1"/>
  <c r="G26" i="1"/>
  <c r="G27" i="1"/>
  <c r="G28" i="1"/>
  <c r="G29" i="1"/>
  <c r="B17" i="1"/>
  <c r="B18" i="1" s="1"/>
  <c r="B19" i="1" s="1"/>
  <c r="B20" i="1" s="1"/>
  <c r="L33" i="1"/>
  <c r="A33" i="1"/>
  <c r="I32" i="1"/>
  <c r="H32" i="1" s="1"/>
  <c r="F31" i="1" s="1"/>
  <c r="G31" i="1" s="1"/>
  <c r="H31" i="1" s="1"/>
  <c r="A32" i="1"/>
  <c r="A31" i="1"/>
  <c r="G19" i="1"/>
  <c r="H19" i="1" s="1"/>
  <c r="H33" i="1" l="1"/>
  <c r="B31" i="1"/>
  <c r="B32" i="1"/>
  <c r="B21" i="1"/>
  <c r="B22" i="1" s="1"/>
  <c r="B23" i="1" s="1"/>
  <c r="B24" i="1" s="1"/>
  <c r="B25" i="1" s="1"/>
  <c r="B26" i="1" s="1"/>
  <c r="B27" i="1" s="1"/>
  <c r="B28" i="1" s="1"/>
  <c r="B29" i="1" s="1"/>
  <c r="B30" i="1" l="1"/>
  <c r="I15" i="1" l="1"/>
  <c r="G11" i="1"/>
  <c r="A8" i="1"/>
  <c r="A9" i="1"/>
  <c r="A10" i="1"/>
  <c r="A11" i="1"/>
  <c r="A12" i="1"/>
  <c r="A13" i="1"/>
  <c r="A14" i="1"/>
  <c r="A15" i="1"/>
  <c r="A16" i="1"/>
  <c r="L16" i="1" l="1"/>
  <c r="H15" i="1"/>
  <c r="F14" i="1" s="1"/>
  <c r="G14" i="1" s="1"/>
  <c r="H14" i="1" s="1"/>
  <c r="H13" i="1"/>
  <c r="H12" i="1"/>
  <c r="H11" i="1"/>
  <c r="H10" i="1"/>
  <c r="H9" i="1"/>
  <c r="H8" i="1"/>
  <c r="H7" i="1"/>
  <c r="A7" i="1"/>
  <c r="H6" i="1"/>
  <c r="A6" i="1"/>
  <c r="H5" i="1"/>
  <c r="A5" i="1"/>
  <c r="H4" i="1"/>
  <c r="A4" i="1"/>
  <c r="H3" i="1"/>
  <c r="A3" i="1"/>
  <c r="B2" i="1"/>
  <c r="B7" i="1" l="1"/>
  <c r="B8" i="1"/>
  <c r="B15" i="1"/>
  <c r="B4" i="1"/>
  <c r="B3" i="1"/>
  <c r="B14" i="1"/>
  <c r="B11" i="1"/>
  <c r="H16" i="1"/>
  <c r="B6" i="1"/>
  <c r="B10" i="1"/>
  <c r="B13" i="1"/>
  <c r="B5" i="1"/>
  <c r="B9" i="1"/>
  <c r="B12" i="1"/>
</calcChain>
</file>

<file path=xl/sharedStrings.xml><?xml version="1.0" encoding="utf-8"?>
<sst xmlns="http://schemas.openxmlformats.org/spreadsheetml/2006/main" count="164" uniqueCount="92">
  <si>
    <t>Артикул</t>
  </si>
  <si>
    <t>Номенклатура</t>
  </si>
  <si>
    <t>Цена,тг abbler euro</t>
  </si>
  <si>
    <t>Цена,тг</t>
  </si>
  <si>
    <t>СУММ.</t>
  </si>
  <si>
    <t>Кол- во</t>
  </si>
  <si>
    <t>Ед.изм</t>
  </si>
  <si>
    <t>завод из готовитель</t>
  </si>
  <si>
    <t>malz</t>
  </si>
  <si>
    <t>комплект</t>
  </si>
  <si>
    <t>sira no</t>
  </si>
  <si>
    <t>Наименование1</t>
  </si>
  <si>
    <t>malzeme</t>
  </si>
  <si>
    <t>mal grup</t>
  </si>
  <si>
    <t>srk euro bz kdv</t>
  </si>
  <si>
    <t>oguzhan byden</t>
  </si>
  <si>
    <t>korpus</t>
  </si>
  <si>
    <t xml:space="preserve"> ШТ. </t>
  </si>
  <si>
    <t>TMŞ</t>
  </si>
  <si>
    <t>OTO</t>
  </si>
  <si>
    <t>DİN RAİL</t>
  </si>
  <si>
    <t>pys</t>
  </si>
  <si>
    <t>A.T</t>
  </si>
  <si>
    <t>ЩСР — ЩУРн-54з-1 36 УХЛ3 IP31 (Чиллерная)</t>
  </si>
  <si>
    <t>Schneider Electric</t>
  </si>
  <si>
    <t>IEK</t>
  </si>
  <si>
    <t>LV431400 / NSX400F</t>
  </si>
  <si>
    <t>NSX400F 3P 400A — вводной автомат, Compact NSX</t>
  </si>
  <si>
    <t>COMPACT</t>
  </si>
  <si>
    <t>TOП-0,66</t>
  </si>
  <si>
    <t>Трансформатор тока ТОП-0,66  400/5А</t>
  </si>
  <si>
    <t>Sayaç</t>
  </si>
  <si>
    <t>CAP4-Э720</t>
  </si>
  <si>
    <t>CAP4-Э720 TX PLC IP P 5(10)А — мультиметр</t>
  </si>
  <si>
    <t>УЗО+OTO</t>
  </si>
  <si>
    <t>A9D31616</t>
  </si>
  <si>
    <t>iDPN H C16A 30мА 1P+N — УЗО+авт. (Acti 9)</t>
  </si>
  <si>
    <t>LV431311 / NSX315F</t>
  </si>
  <si>
    <t>NSX315F 3P 315A — Compact NSX</t>
  </si>
  <si>
    <t>A9N21321 / iC60N</t>
  </si>
  <si>
    <t>iC60N 3P C32A — Acti 9</t>
  </si>
  <si>
    <t>A9F74110</t>
  </si>
  <si>
    <t>iC60N 1P B10A — Acti 9</t>
  </si>
  <si>
    <t>A9N21340 / iC60N</t>
  </si>
  <si>
    <t>iC60N 3P C40A — Acti 9</t>
  </si>
  <si>
    <t>A9F74132</t>
  </si>
  <si>
    <t>iC60N 1P C32A — Acti 9</t>
  </si>
  <si>
    <t>A9F74316</t>
  </si>
  <si>
    <t>iC60N 3P C16A — Acti 9</t>
  </si>
  <si>
    <t>монтажный мат.</t>
  </si>
  <si>
    <t>монтажный материал</t>
  </si>
  <si>
    <t>монтажная работа</t>
  </si>
  <si>
    <t>Toplam ЩСР — ЩУРн-54з-1 36 УХЛ3 IP31 (Чиллерная)</t>
  </si>
  <si>
    <t>saiman</t>
  </si>
  <si>
    <t>e</t>
  </si>
  <si>
    <t>1700*800*450</t>
  </si>
  <si>
    <t>m</t>
  </si>
  <si>
    <t>компл.</t>
  </si>
  <si>
    <t xml:space="preserve"> </t>
  </si>
  <si>
    <t>KORPUS</t>
  </si>
  <si>
    <t>KONT.</t>
  </si>
  <si>
    <t>F.İ.R</t>
  </si>
  <si>
    <t>FINDER ROLE</t>
  </si>
  <si>
    <t>Промежуточное реле NJX-13FW/4ZS/ 4 конт. с инд. LED 3А 240В AC</t>
  </si>
  <si>
    <t xml:space="preserve">FINDER ROLE TABAN </t>
  </si>
  <si>
    <t xml:space="preserve">Колодка CZY14A-E для реле JZX-22F(B)/4Z,NJX-13FW(B)/4ZS 4 контакта (Chint  </t>
  </si>
  <si>
    <t>ZAMAN SAATİ</t>
  </si>
  <si>
    <t>Реле времени NTE8-120B (задержка времени включения)  12-120с, 1НО, AC230В (R)</t>
  </si>
  <si>
    <t>KABLO KANALI</t>
  </si>
  <si>
    <t>Кабель.канал перф. 40х40 ИМПАКТ</t>
  </si>
  <si>
    <t>TOPRAK</t>
  </si>
  <si>
    <t>Шина "N" нулевая 6х9мм 14/2 (крепеж по краям)</t>
  </si>
  <si>
    <t>NÖTR</t>
  </si>
  <si>
    <t>Шина N "ноль" на двух угловых изол ШНИ-6х9-12-У2-С</t>
  </si>
  <si>
    <t>KABLO</t>
  </si>
  <si>
    <t>ПВ3- 6 белый</t>
  </si>
  <si>
    <t>KABLO YÜZSÜĞÜ</t>
  </si>
  <si>
    <t>Наконечник НШВИ 6,0-12 изолированный 79449</t>
  </si>
  <si>
    <t>KLEMENS</t>
  </si>
  <si>
    <t>ЗНИ 6мм ² серый</t>
  </si>
  <si>
    <t>шт</t>
  </si>
  <si>
    <t>Teksan</t>
  </si>
  <si>
    <t>Teksan F</t>
  </si>
  <si>
    <t>(CHINT)</t>
  </si>
  <si>
    <t>(PYS)</t>
  </si>
  <si>
    <t>719-15425</t>
  </si>
  <si>
    <t>Мет.Корпус ЩМП-2 (500x400x220)  IP54</t>
  </si>
  <si>
    <t>Автоматический выключатель SE EZ9F34332 EASY 9 3П 32А С 4.5кА 400В</t>
  </si>
  <si>
    <t>Контактор SE LC1E40M5 40А 1НО+1НЗ 220В 50ГЦ</t>
  </si>
  <si>
    <t>Реле мультифункциональное SE RM35TF30 контроля фаз</t>
  </si>
  <si>
    <t>АВР-PRS-К-2-1-32</t>
  </si>
  <si>
    <t>Toplam  АВР-PRS-К-2-1-32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</si>
</sst>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\-??_-;_-@_-"/>
    <numFmt numFmtId="165" formatCode="_-* #,##0.00_-;\-* #,##0.00_-;_-* \-??_-;_-@_-"/>
  </numFmts>
  <fonts count="14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62"/>
      <scheme val="minor"/>
    </font>
    <font>
      <sz val="8"/>
      <color theme="1"/>
      <name val="Calibri"/>
      <family val="2"/>
      <charset val="204"/>
    </font>
    <font>
      <sz val="8"/>
      <color rgb="FF000000"/>
      <name val="Calibri"/>
      <family val="2"/>
      <charset val="204"/>
    </font>
    <font>
      <sz val="8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</font>
    <font>
      <b/>
      <sz val="10"/>
      <color rgb="FF000000"/>
      <name val="Calibri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8"/>
      <name val="Calibri"/>
      <family val="2"/>
      <charset val="204"/>
      <scheme val="minor"/>
    </font>
    <font>
      <b/>
      <sz val="9"/>
      <color theme="1"/>
      <name val="Calibri"/>
      <family val="2"/>
    </font>
    <font>
      <b/>
      <sz val="8"/>
      <color theme="1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D966"/>
        <bgColor rgb="FFFFFF99"/>
      </patternFill>
    </fill>
    <fill>
      <patternFill patternType="solid">
        <fgColor theme="0"/>
        <bgColor rgb="FFFFFF99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rgb="FFFFFF99"/>
      </patternFill>
    </fill>
    <fill>
      <patternFill patternType="solid">
        <fgColor rgb="FFFFFF00"/>
        <bgColor rgb="FFFFFF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165" fontId="2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</cellStyleXfs>
  <cellXfs count="27">
    <xf numFmtId="0" fontId="0" fillId="0" borderId="0" xfId="0"/>
    <xf numFmtId="0" fontId="5" fillId="0" borderId="0" xfId="0" applyFont="1"/>
    <xf numFmtId="0" fontId="4" fillId="6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1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wrapText="1"/>
    </xf>
    <xf numFmtId="0" fontId="9" fillId="2" borderId="1" xfId="1" applyNumberFormat="1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0" fillId="0" borderId="0" xfId="0" applyFont="1"/>
    <xf numFmtId="164" fontId="12" fillId="2" borderId="1" xfId="1" applyNumberFormat="1" applyFont="1" applyFill="1" applyBorder="1" applyAlignment="1">
      <alignment horizontal="center" vertical="center"/>
    </xf>
    <xf numFmtId="0" fontId="9" fillId="2" borderId="0" xfId="1" applyNumberFormat="1" applyFont="1" applyFill="1" applyAlignment="1">
      <alignment horizontal="center" vertical="center" wrapText="1"/>
    </xf>
    <xf numFmtId="0" fontId="11" fillId="5" borderId="0" xfId="0" applyFont="1" applyFill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164" fontId="4" fillId="6" borderId="1" xfId="0" applyNumberFormat="1" applyFont="1" applyFill="1" applyBorder="1" applyAlignment="1">
      <alignment horizontal="center" vertical="center" wrapText="1"/>
    </xf>
    <xf numFmtId="3" fontId="12" fillId="2" borderId="1" xfId="1" applyNumberFormat="1" applyFont="1" applyFill="1" applyBorder="1" applyAlignment="1">
      <alignment horizontal="center" vertical="center" wrapText="1"/>
    </xf>
    <xf numFmtId="3" fontId="4" fillId="4" borderId="1" xfId="0" applyNumberFormat="1" applyFont="1" applyFill="1" applyBorder="1" applyAlignment="1">
      <alignment horizontal="center" vertical="center" wrapText="1"/>
    </xf>
    <xf numFmtId="3" fontId="6" fillId="5" borderId="1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0" fontId="4" fillId="7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 wrapText="1"/>
    </xf>
    <xf numFmtId="0" fontId="2" fillId="0" borderId="0" xfId="0" applyFont="1"/>
  </cellXfs>
  <cellStyles count="7">
    <cellStyle name="Normal" xfId="0" builtinId="0"/>
    <cellStyle name="Normal 2" xfId="4" xr:uid="{00000000-0005-0000-0000-000004000000}"/>
    <cellStyle name="Virgül" xfId="1" builtinId="3"/>
    <cellStyle name="Обычный 2" xfId="2" xr:uid="{00000000-0005-0000-0000-000002000000}"/>
    <cellStyle name="Обычный 2 2" xfId="3" xr:uid="{00000000-0005-0000-0000-000003000000}"/>
    <cellStyle name="Обычный 2 2 2" xfId="6" xr:uid="{00000000-0005-0000-0000-000006000000}"/>
    <cellStyle name="Обычный 2 3" xfId="5" xr:uid="{00000000-0005-0000-0000-000005000000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workbookViewId="0">
      <pane ySplit="1" topLeftCell="A5" activePane="bottomLeft" state="frozen"/>
      <selection pane="bottomLeft" activeCell="C36" sqref="C36"/>
    </sheetView>
  </sheetViews>
  <sheetFormatPr defaultColWidth="9.140625" defaultRowHeight="27.75" customHeight="1" x14ac:dyDescent="0.2"/>
  <cols>
    <col min="1" max="1" width="9.28515625" style="1" bestFit="1" customWidth="1"/>
    <col min="2" max="2" width="21" style="1" customWidth="1"/>
    <col min="3" max="3" width="9.140625" style="1" customWidth="1"/>
    <col min="4" max="4" width="15.42578125" style="1" bestFit="1" customWidth="1"/>
    <col min="5" max="5" width="59.7109375" style="1" customWidth="1"/>
    <col min="6" max="6" width="27.28515625" style="1" customWidth="1"/>
    <col min="7" max="7" width="17.28515625" style="1" customWidth="1"/>
    <col min="8" max="8" width="17.28515625" style="21" customWidth="1"/>
    <col min="9" max="9" width="10.7109375" style="1" bestFit="1" customWidth="1"/>
    <col min="10" max="10" width="9.140625" style="1" customWidth="1"/>
    <col min="11" max="12" width="13.42578125" style="12" customWidth="1"/>
    <col min="13" max="13" width="21.140625" style="1" customWidth="1"/>
    <col min="14" max="14" width="14.42578125" style="1" customWidth="1"/>
    <col min="15" max="15" width="9.140625" style="1" customWidth="1"/>
    <col min="16" max="16384" width="9.140625" style="1"/>
  </cols>
  <sheetData>
    <row r="1" spans="1:15" s="8" customFormat="1" ht="48.75" customHeight="1" x14ac:dyDescent="0.2">
      <c r="A1" s="6" t="s">
        <v>10</v>
      </c>
      <c r="B1" s="6" t="s">
        <v>11</v>
      </c>
      <c r="C1" s="6" t="s">
        <v>12</v>
      </c>
      <c r="D1" s="6" t="s">
        <v>0</v>
      </c>
      <c r="E1" s="6" t="s">
        <v>1</v>
      </c>
      <c r="F1" s="13" t="s">
        <v>2</v>
      </c>
      <c r="G1" s="13" t="s">
        <v>3</v>
      </c>
      <c r="H1" s="18" t="s">
        <v>4</v>
      </c>
      <c r="I1" s="7" t="s">
        <v>5</v>
      </c>
      <c r="J1" s="7" t="s">
        <v>6</v>
      </c>
      <c r="K1" s="9" t="s">
        <v>7</v>
      </c>
      <c r="L1" s="14" t="s">
        <v>8</v>
      </c>
      <c r="M1" s="8" t="s">
        <v>13</v>
      </c>
      <c r="N1" s="8" t="s">
        <v>14</v>
      </c>
      <c r="O1" s="8" t="s">
        <v>15</v>
      </c>
    </row>
    <row r="2" spans="1:15" ht="27.75" customHeight="1" x14ac:dyDescent="0.2">
      <c r="A2" s="2">
        <f t="shared" ref="A2:A16" si="0">ROW(A1)</f>
        <v>1</v>
      </c>
      <c r="B2" s="3" t="str">
        <f>E2</f>
        <v>ЩСР — ЩУРн-54з-1 36 УХЛ3 IP31 (Чиллерная)</v>
      </c>
      <c r="C2" s="2"/>
      <c r="D2" s="2"/>
      <c r="E2" s="2" t="s">
        <v>23</v>
      </c>
      <c r="F2" s="2">
        <f>2.3*H16</f>
        <v>753158</v>
      </c>
      <c r="G2" s="2"/>
      <c r="H2" s="2"/>
      <c r="I2" s="23">
        <v>1</v>
      </c>
      <c r="J2" s="17" t="s">
        <v>9</v>
      </c>
      <c r="K2" s="10" t="s">
        <v>24</v>
      </c>
    </row>
    <row r="3" spans="1:15" ht="27.75" customHeight="1" x14ac:dyDescent="0.25">
      <c r="A3" s="4">
        <f t="shared" si="0"/>
        <v>2</v>
      </c>
      <c r="B3" s="4" t="str">
        <f>B2</f>
        <v>ЩСР — ЩУРн-54з-1 36 УХЛ3 IP31 (Чиллерная)</v>
      </c>
      <c r="C3" s="5" t="s">
        <v>16</v>
      </c>
      <c r="D3" s="4"/>
      <c r="E3" s="4" t="s">
        <v>55</v>
      </c>
      <c r="F3" s="4">
        <v>175000</v>
      </c>
      <c r="G3" s="4">
        <f>0.8*F3</f>
        <v>140000</v>
      </c>
      <c r="H3" s="19">
        <f t="shared" ref="H3:H15" si="1">G3*I3</f>
        <v>140000</v>
      </c>
      <c r="I3" s="24">
        <v>1</v>
      </c>
      <c r="J3" s="25" t="s">
        <v>17</v>
      </c>
      <c r="K3" s="11" t="s">
        <v>25</v>
      </c>
      <c r="L3" s="15"/>
      <c r="M3" s="26"/>
      <c r="N3" s="26"/>
      <c r="O3" s="26"/>
    </row>
    <row r="4" spans="1:15" ht="27.75" customHeight="1" x14ac:dyDescent="0.25">
      <c r="A4" s="4">
        <f t="shared" si="0"/>
        <v>3</v>
      </c>
      <c r="B4" s="4" t="str">
        <f>B2</f>
        <v>ЩСР — ЩУРн-54з-1 36 УХЛ3 IP31 (Чиллерная)</v>
      </c>
      <c r="C4" s="5" t="s">
        <v>18</v>
      </c>
      <c r="D4" s="4" t="s">
        <v>26</v>
      </c>
      <c r="E4" s="4" t="s">
        <v>27</v>
      </c>
      <c r="F4" s="4"/>
      <c r="G4" s="4"/>
      <c r="H4" s="19">
        <f t="shared" si="1"/>
        <v>0</v>
      </c>
      <c r="I4" s="24">
        <v>1</v>
      </c>
      <c r="J4" s="25" t="s">
        <v>17</v>
      </c>
      <c r="K4" s="11" t="s">
        <v>24</v>
      </c>
      <c r="L4" s="15" t="s">
        <v>54</v>
      </c>
      <c r="M4" s="26" t="s">
        <v>28</v>
      </c>
      <c r="N4" s="26"/>
      <c r="O4" s="26"/>
    </row>
    <row r="5" spans="1:15" ht="27.75" customHeight="1" x14ac:dyDescent="0.25">
      <c r="A5" s="4">
        <f t="shared" si="0"/>
        <v>4</v>
      </c>
      <c r="B5" s="4" t="str">
        <f>B2</f>
        <v>ЩСР — ЩУРн-54з-1 36 УХЛ3 IP31 (Чиллерная)</v>
      </c>
      <c r="C5" s="5" t="s">
        <v>22</v>
      </c>
      <c r="D5" s="4" t="s">
        <v>29</v>
      </c>
      <c r="E5" s="22" t="s">
        <v>30</v>
      </c>
      <c r="F5" s="4"/>
      <c r="G5" s="4"/>
      <c r="H5" s="19">
        <f t="shared" si="1"/>
        <v>0</v>
      </c>
      <c r="I5" s="24">
        <v>1</v>
      </c>
      <c r="J5" s="25" t="s">
        <v>17</v>
      </c>
      <c r="K5" s="11" t="s">
        <v>21</v>
      </c>
      <c r="L5" s="15" t="s">
        <v>54</v>
      </c>
      <c r="M5" s="26"/>
      <c r="N5" s="26"/>
      <c r="O5" s="26"/>
    </row>
    <row r="6" spans="1:15" ht="27.75" customHeight="1" x14ac:dyDescent="0.25">
      <c r="A6" s="4">
        <f t="shared" si="0"/>
        <v>5</v>
      </c>
      <c r="B6" s="4" t="str">
        <f>B2</f>
        <v>ЩСР — ЩУРн-54з-1 36 УХЛ3 IP31 (Чиллерная)</v>
      </c>
      <c r="C6" s="5" t="s">
        <v>31</v>
      </c>
      <c r="D6" s="4" t="s">
        <v>32</v>
      </c>
      <c r="E6" s="22" t="s">
        <v>33</v>
      </c>
      <c r="F6" s="4"/>
      <c r="G6" s="4"/>
      <c r="H6" s="19">
        <f t="shared" si="1"/>
        <v>0</v>
      </c>
      <c r="I6" s="24">
        <v>1</v>
      </c>
      <c r="J6" s="25" t="s">
        <v>17</v>
      </c>
      <c r="K6" s="11" t="s">
        <v>53</v>
      </c>
      <c r="L6" s="15" t="s">
        <v>54</v>
      </c>
      <c r="M6" s="26"/>
      <c r="N6" s="26"/>
      <c r="O6" s="26"/>
    </row>
    <row r="7" spans="1:15" ht="27.75" customHeight="1" x14ac:dyDescent="0.25">
      <c r="A7" s="4">
        <f t="shared" si="0"/>
        <v>6</v>
      </c>
      <c r="B7" s="4" t="str">
        <f>B2</f>
        <v>ЩСР — ЩУРн-54з-1 36 УХЛ3 IP31 (Чиллерная)</v>
      </c>
      <c r="C7" s="5" t="s">
        <v>34</v>
      </c>
      <c r="D7" s="4" t="s">
        <v>35</v>
      </c>
      <c r="E7" s="4" t="s">
        <v>36</v>
      </c>
      <c r="F7" s="4"/>
      <c r="G7" s="4"/>
      <c r="H7" s="19">
        <f t="shared" si="1"/>
        <v>0</v>
      </c>
      <c r="I7" s="24">
        <v>4</v>
      </c>
      <c r="J7" s="25" t="s">
        <v>17</v>
      </c>
      <c r="K7" s="11" t="s">
        <v>24</v>
      </c>
      <c r="L7" s="15">
        <v>1</v>
      </c>
      <c r="M7" s="26" t="s">
        <v>20</v>
      </c>
      <c r="N7" s="26"/>
      <c r="O7" s="26"/>
    </row>
    <row r="8" spans="1:15" ht="27.75" customHeight="1" x14ac:dyDescent="0.25">
      <c r="A8" s="4">
        <f t="shared" si="0"/>
        <v>7</v>
      </c>
      <c r="B8" s="4" t="str">
        <f>B2</f>
        <v>ЩСР — ЩУРн-54з-1 36 УХЛ3 IP31 (Чиллерная)</v>
      </c>
      <c r="C8" s="5" t="s">
        <v>18</v>
      </c>
      <c r="D8" s="4" t="s">
        <v>37</v>
      </c>
      <c r="E8" s="4" t="s">
        <v>38</v>
      </c>
      <c r="F8" s="4"/>
      <c r="G8" s="4"/>
      <c r="H8" s="19">
        <f t="shared" si="1"/>
        <v>0</v>
      </c>
      <c r="I8" s="24">
        <v>1</v>
      </c>
      <c r="J8" s="25" t="s">
        <v>17</v>
      </c>
      <c r="K8" s="11" t="s">
        <v>24</v>
      </c>
      <c r="L8" s="15" t="s">
        <v>54</v>
      </c>
      <c r="M8" s="26" t="s">
        <v>28</v>
      </c>
      <c r="N8" s="26"/>
      <c r="O8" s="26"/>
    </row>
    <row r="9" spans="1:15" ht="27.75" customHeight="1" x14ac:dyDescent="0.25">
      <c r="A9" s="4">
        <f t="shared" si="0"/>
        <v>8</v>
      </c>
      <c r="B9" s="4" t="str">
        <f>B2</f>
        <v>ЩСР — ЩУРн-54з-1 36 УХЛ3 IP31 (Чиллерная)</v>
      </c>
      <c r="C9" s="5" t="s">
        <v>19</v>
      </c>
      <c r="D9" s="4" t="s">
        <v>39</v>
      </c>
      <c r="E9" s="4" t="s">
        <v>40</v>
      </c>
      <c r="F9" s="4"/>
      <c r="G9" s="4"/>
      <c r="H9" s="19">
        <f t="shared" si="1"/>
        <v>0</v>
      </c>
      <c r="I9" s="24">
        <v>2</v>
      </c>
      <c r="J9" s="25" t="s">
        <v>17</v>
      </c>
      <c r="K9" s="11" t="s">
        <v>24</v>
      </c>
      <c r="L9" s="15" t="s">
        <v>54</v>
      </c>
      <c r="M9" s="26" t="s">
        <v>20</v>
      </c>
      <c r="N9" s="26"/>
      <c r="O9" s="26"/>
    </row>
    <row r="10" spans="1:15" ht="27.75" customHeight="1" x14ac:dyDescent="0.25">
      <c r="A10" s="4">
        <f t="shared" si="0"/>
        <v>9</v>
      </c>
      <c r="B10" s="4" t="str">
        <f>B2</f>
        <v>ЩСР — ЩУРн-54з-1 36 УХЛ3 IP31 (Чиллерная)</v>
      </c>
      <c r="C10" s="5" t="s">
        <v>19</v>
      </c>
      <c r="D10" s="4" t="s">
        <v>41</v>
      </c>
      <c r="E10" s="4" t="s">
        <v>42</v>
      </c>
      <c r="F10" s="4"/>
      <c r="G10" s="4"/>
      <c r="H10" s="19">
        <f t="shared" si="1"/>
        <v>0</v>
      </c>
      <c r="I10" s="24">
        <v>1</v>
      </c>
      <c r="J10" s="25" t="s">
        <v>17</v>
      </c>
      <c r="K10" s="11" t="s">
        <v>24</v>
      </c>
      <c r="L10" s="15" t="s">
        <v>54</v>
      </c>
      <c r="M10" s="26" t="s">
        <v>20</v>
      </c>
      <c r="N10" s="26"/>
      <c r="O10" s="26"/>
    </row>
    <row r="11" spans="1:15" ht="27.75" customHeight="1" x14ac:dyDescent="0.25">
      <c r="A11" s="4">
        <f t="shared" si="0"/>
        <v>10</v>
      </c>
      <c r="B11" s="4" t="str">
        <f>B2</f>
        <v>ЩСР — ЩУРн-54з-1 36 УХЛ3 IP31 (Чиллерная)</v>
      </c>
      <c r="C11" s="5" t="s">
        <v>19</v>
      </c>
      <c r="D11" s="4" t="s">
        <v>43</v>
      </c>
      <c r="E11" s="4" t="s">
        <v>44</v>
      </c>
      <c r="F11" s="4">
        <v>7460</v>
      </c>
      <c r="G11" s="4">
        <f>F11</f>
        <v>7460</v>
      </c>
      <c r="H11" s="19">
        <f t="shared" si="1"/>
        <v>7460</v>
      </c>
      <c r="I11" s="24">
        <v>1</v>
      </c>
      <c r="J11" s="25" t="s">
        <v>17</v>
      </c>
      <c r="K11" s="11" t="s">
        <v>24</v>
      </c>
      <c r="L11" s="15"/>
      <c r="M11" s="26" t="s">
        <v>20</v>
      </c>
      <c r="N11" s="26"/>
      <c r="O11" s="26"/>
    </row>
    <row r="12" spans="1:15" ht="27.75" customHeight="1" x14ac:dyDescent="0.25">
      <c r="A12" s="4">
        <f t="shared" si="0"/>
        <v>11</v>
      </c>
      <c r="B12" s="4" t="str">
        <f>B2</f>
        <v>ЩСР — ЩУРн-54з-1 36 УХЛ3 IP31 (Чиллерная)</v>
      </c>
      <c r="C12" s="5" t="s">
        <v>19</v>
      </c>
      <c r="D12" s="4" t="s">
        <v>45</v>
      </c>
      <c r="E12" s="4" t="s">
        <v>46</v>
      </c>
      <c r="F12" s="4"/>
      <c r="G12" s="4"/>
      <c r="H12" s="19">
        <f t="shared" si="1"/>
        <v>0</v>
      </c>
      <c r="I12" s="24">
        <v>1</v>
      </c>
      <c r="J12" s="25" t="s">
        <v>17</v>
      </c>
      <c r="K12" s="11" t="s">
        <v>24</v>
      </c>
      <c r="L12" s="15" t="s">
        <v>54</v>
      </c>
      <c r="M12" s="26" t="s">
        <v>20</v>
      </c>
      <c r="N12" s="26"/>
      <c r="O12" s="26"/>
    </row>
    <row r="13" spans="1:15" ht="27.75" customHeight="1" x14ac:dyDescent="0.25">
      <c r="A13" s="4">
        <f t="shared" si="0"/>
        <v>12</v>
      </c>
      <c r="B13" s="4" t="str">
        <f>B2</f>
        <v>ЩСР — ЩУРн-54з-1 36 УХЛ3 IP31 (Чиллерная)</v>
      </c>
      <c r="C13" s="5" t="s">
        <v>19</v>
      </c>
      <c r="D13" s="4" t="s">
        <v>47</v>
      </c>
      <c r="E13" s="4" t="s">
        <v>48</v>
      </c>
      <c r="F13" s="4"/>
      <c r="G13" s="4"/>
      <c r="H13" s="19">
        <f t="shared" si="1"/>
        <v>0</v>
      </c>
      <c r="I13" s="24">
        <v>1</v>
      </c>
      <c r="J13" s="25" t="s">
        <v>17</v>
      </c>
      <c r="K13" s="11" t="s">
        <v>24</v>
      </c>
      <c r="L13" s="15" t="s">
        <v>54</v>
      </c>
      <c r="M13" s="26" t="s">
        <v>20</v>
      </c>
      <c r="N13" s="26"/>
      <c r="O13" s="26"/>
    </row>
    <row r="14" spans="1:15" ht="27.75" customHeight="1" x14ac:dyDescent="0.25">
      <c r="A14" s="4">
        <f t="shared" si="0"/>
        <v>13</v>
      </c>
      <c r="B14" s="4" t="str">
        <f>B2</f>
        <v>ЩСР — ЩУРн-54з-1 36 УХЛ3 IP31 (Чиллерная)</v>
      </c>
      <c r="C14" s="5" t="s">
        <v>49</v>
      </c>
      <c r="D14" s="4" t="s">
        <v>50</v>
      </c>
      <c r="E14" s="4"/>
      <c r="F14" s="19">
        <f>H15</f>
        <v>90000</v>
      </c>
      <c r="G14" s="19">
        <f>F14</f>
        <v>90000</v>
      </c>
      <c r="H14" s="19">
        <f t="shared" si="1"/>
        <v>90000</v>
      </c>
      <c r="I14" s="24">
        <v>1</v>
      </c>
      <c r="J14" s="25" t="s">
        <v>17</v>
      </c>
      <c r="K14" s="11" t="s">
        <v>50</v>
      </c>
      <c r="L14" s="15"/>
      <c r="M14" s="26"/>
      <c r="N14" s="26"/>
      <c r="O14" s="26"/>
    </row>
    <row r="15" spans="1:15" ht="27.75" customHeight="1" x14ac:dyDescent="0.25">
      <c r="A15" s="4">
        <f t="shared" si="0"/>
        <v>14</v>
      </c>
      <c r="B15" s="4" t="str">
        <f>B2</f>
        <v>ЩСР — ЩУРн-54з-1 36 УХЛ3 IP31 (Чиллерная)</v>
      </c>
      <c r="C15" s="5" t="s">
        <v>51</v>
      </c>
      <c r="D15" s="4" t="s">
        <v>51</v>
      </c>
      <c r="E15" s="4"/>
      <c r="F15" s="4">
        <v>15</v>
      </c>
      <c r="G15" s="4">
        <v>100</v>
      </c>
      <c r="H15" s="19">
        <f t="shared" si="1"/>
        <v>90000</v>
      </c>
      <c r="I15" s="24">
        <f>F15*60</f>
        <v>900</v>
      </c>
      <c r="J15" s="25" t="s">
        <v>17</v>
      </c>
      <c r="K15" s="11" t="s">
        <v>51</v>
      </c>
      <c r="L15" s="15"/>
      <c r="M15" s="26"/>
      <c r="N15" s="26"/>
      <c r="O15" s="26"/>
    </row>
    <row r="16" spans="1:15" ht="27.75" customHeight="1" x14ac:dyDescent="0.25">
      <c r="A16" s="4">
        <f t="shared" si="0"/>
        <v>15</v>
      </c>
      <c r="B16" s="16" t="s">
        <v>52</v>
      </c>
      <c r="H16" s="20">
        <f>SUBTOTAL(9,H3:H15)</f>
        <v>327460</v>
      </c>
      <c r="L16">
        <f>SUBTOTAL(9,L3:L15)</f>
        <v>1</v>
      </c>
    </row>
    <row r="17" spans="1:15" ht="27.75" customHeight="1" x14ac:dyDescent="0.2">
      <c r="A17" s="2"/>
      <c r="B17" s="3" t="str">
        <f>E17</f>
        <v>АВР-PRS-К-2-1-32</v>
      </c>
      <c r="C17" s="2" t="s">
        <v>57</v>
      </c>
      <c r="D17" s="2" t="s">
        <v>58</v>
      </c>
      <c r="E17" s="2" t="s">
        <v>90</v>
      </c>
      <c r="F17" s="2">
        <f>2.3*H33</f>
        <v>311042.8</v>
      </c>
      <c r="G17" s="2"/>
      <c r="H17" s="2"/>
      <c r="I17" s="23">
        <v>1</v>
      </c>
      <c r="J17" s="17" t="s">
        <v>57</v>
      </c>
      <c r="K17" s="10" t="s">
        <v>81</v>
      </c>
    </row>
    <row r="18" spans="1:15" ht="27.75" customHeight="1" x14ac:dyDescent="0.25">
      <c r="A18" s="4"/>
      <c r="B18" s="4" t="str">
        <f t="shared" ref="B18:B30" si="2">B17</f>
        <v>АВР-PRS-К-2-1-32</v>
      </c>
      <c r="C18" s="5" t="s">
        <v>59</v>
      </c>
      <c r="D18" s="4" t="s">
        <v>85</v>
      </c>
      <c r="E18" s="4" t="s">
        <v>86</v>
      </c>
      <c r="F18" s="4">
        <v>18500</v>
      </c>
      <c r="G18" s="4">
        <f>0.8*F18</f>
        <v>14800</v>
      </c>
      <c r="H18" s="19">
        <f t="shared" ref="H18:H30" si="3">G18*I18</f>
        <v>14800</v>
      </c>
      <c r="I18" s="24">
        <v>1</v>
      </c>
      <c r="J18" s="25" t="s">
        <v>80</v>
      </c>
      <c r="K18" s="11" t="s">
        <v>82</v>
      </c>
      <c r="L18" s="15"/>
      <c r="M18" s="26"/>
      <c r="N18" s="26"/>
      <c r="O18" s="26"/>
    </row>
    <row r="19" spans="1:15" ht="27.75" customHeight="1" x14ac:dyDescent="0.25">
      <c r="A19" s="4"/>
      <c r="B19" s="4" t="str">
        <f t="shared" si="2"/>
        <v>АВР-PRS-К-2-1-32</v>
      </c>
      <c r="C19" s="5" t="s">
        <v>19</v>
      </c>
      <c r="D19" s="4">
        <v>41976</v>
      </c>
      <c r="E19" s="4" t="s">
        <v>87</v>
      </c>
      <c r="F19" s="4">
        <v>6500</v>
      </c>
      <c r="G19" s="4">
        <f>F19</f>
        <v>6500</v>
      </c>
      <c r="H19" s="19">
        <f t="shared" si="3"/>
        <v>13000</v>
      </c>
      <c r="I19" s="24">
        <v>2</v>
      </c>
      <c r="J19" s="25" t="s">
        <v>80</v>
      </c>
      <c r="K19" s="11" t="s">
        <v>24</v>
      </c>
      <c r="L19" s="15"/>
      <c r="M19" s="26"/>
      <c r="N19" s="26"/>
      <c r="O19" s="26"/>
    </row>
    <row r="20" spans="1:15" ht="27.75" customHeight="1" x14ac:dyDescent="0.25">
      <c r="A20" s="4"/>
      <c r="B20" s="4" t="str">
        <f t="shared" si="2"/>
        <v>АВР-PRS-К-2-1-32</v>
      </c>
      <c r="C20" s="5" t="s">
        <v>60</v>
      </c>
      <c r="D20" s="4">
        <v>41995</v>
      </c>
      <c r="E20" s="4" t="s">
        <v>88</v>
      </c>
      <c r="F20" s="4">
        <v>24000</v>
      </c>
      <c r="G20" s="4">
        <f t="shared" ref="G20:G30" si="4">F20</f>
        <v>24000</v>
      </c>
      <c r="H20" s="19">
        <f t="shared" si="3"/>
        <v>48000</v>
      </c>
      <c r="I20" s="24">
        <v>2</v>
      </c>
      <c r="J20" s="25" t="s">
        <v>80</v>
      </c>
      <c r="K20" s="11" t="s">
        <v>24</v>
      </c>
      <c r="L20" s="15"/>
      <c r="M20" s="26"/>
      <c r="N20" s="26"/>
      <c r="O20" s="26"/>
    </row>
    <row r="21" spans="1:15" ht="27.75" customHeight="1" x14ac:dyDescent="0.25">
      <c r="A21" s="4"/>
      <c r="B21" s="4" t="str">
        <f t="shared" si="2"/>
        <v>АВР-PRS-К-2-1-32</v>
      </c>
      <c r="C21" s="5" t="s">
        <v>61</v>
      </c>
      <c r="D21" s="4">
        <v>64561</v>
      </c>
      <c r="E21" s="4" t="s">
        <v>89</v>
      </c>
      <c r="F21" s="4">
        <v>30000</v>
      </c>
      <c r="G21" s="4">
        <f t="shared" si="4"/>
        <v>30000</v>
      </c>
      <c r="H21" s="19">
        <f t="shared" si="3"/>
        <v>60000</v>
      </c>
      <c r="I21" s="24">
        <v>2</v>
      </c>
      <c r="J21" s="25" t="s">
        <v>80</v>
      </c>
      <c r="K21" s="11" t="s">
        <v>83</v>
      </c>
      <c r="L21" s="15"/>
      <c r="M21" s="26"/>
      <c r="N21" s="26"/>
      <c r="O21" s="26"/>
    </row>
    <row r="22" spans="1:15" ht="27.75" customHeight="1" x14ac:dyDescent="0.25">
      <c r="A22" s="4"/>
      <c r="B22" s="4" t="str">
        <f t="shared" si="2"/>
        <v>АВР-PRS-К-2-1-32</v>
      </c>
      <c r="C22" s="5" t="s">
        <v>62</v>
      </c>
      <c r="D22" s="4">
        <v>286150</v>
      </c>
      <c r="E22" s="4" t="s">
        <v>63</v>
      </c>
      <c r="F22" s="4">
        <v>1502</v>
      </c>
      <c r="G22" s="4">
        <f t="shared" si="4"/>
        <v>1502</v>
      </c>
      <c r="H22" s="19">
        <f t="shared" si="3"/>
        <v>1502</v>
      </c>
      <c r="I22" s="24">
        <v>1</v>
      </c>
      <c r="J22" s="25" t="s">
        <v>80</v>
      </c>
      <c r="K22" s="11" t="s">
        <v>83</v>
      </c>
      <c r="L22" s="15"/>
      <c r="M22" s="26"/>
      <c r="N22" s="26"/>
      <c r="O22" s="26"/>
    </row>
    <row r="23" spans="1:15" ht="27.75" customHeight="1" x14ac:dyDescent="0.25">
      <c r="A23" s="4"/>
      <c r="B23" s="4" t="str">
        <f t="shared" si="2"/>
        <v>АВР-PRS-К-2-1-32</v>
      </c>
      <c r="C23" s="5" t="s">
        <v>64</v>
      </c>
      <c r="D23" s="4">
        <v>285963</v>
      </c>
      <c r="E23" s="4" t="s">
        <v>65</v>
      </c>
      <c r="F23" s="4">
        <v>1098</v>
      </c>
      <c r="G23" s="4">
        <f t="shared" si="4"/>
        <v>1098</v>
      </c>
      <c r="H23" s="19">
        <f t="shared" si="3"/>
        <v>1098</v>
      </c>
      <c r="I23" s="24">
        <v>1</v>
      </c>
      <c r="J23" s="25" t="s">
        <v>80</v>
      </c>
      <c r="K23" s="11" t="s">
        <v>83</v>
      </c>
      <c r="L23" s="15"/>
      <c r="M23" s="26"/>
      <c r="N23" s="26"/>
      <c r="O23" s="26"/>
    </row>
    <row r="24" spans="1:15" ht="27.75" customHeight="1" x14ac:dyDescent="0.25">
      <c r="A24" s="4"/>
      <c r="B24" s="4" t="str">
        <f t="shared" si="2"/>
        <v>АВР-PRS-К-2-1-32</v>
      </c>
      <c r="C24" s="5" t="s">
        <v>66</v>
      </c>
      <c r="D24" s="4">
        <v>258459</v>
      </c>
      <c r="E24" s="4" t="s">
        <v>67</v>
      </c>
      <c r="F24" s="4">
        <v>6028</v>
      </c>
      <c r="G24" s="4">
        <f t="shared" si="4"/>
        <v>6028</v>
      </c>
      <c r="H24" s="19">
        <f t="shared" si="3"/>
        <v>12056</v>
      </c>
      <c r="I24" s="24">
        <v>2</v>
      </c>
      <c r="J24" s="25" t="s">
        <v>80</v>
      </c>
      <c r="K24" s="11" t="s">
        <v>83</v>
      </c>
      <c r="L24" s="15"/>
      <c r="M24" s="26"/>
      <c r="N24" s="26"/>
      <c r="O24" s="26"/>
    </row>
    <row r="25" spans="1:15" ht="27.75" customHeight="1" x14ac:dyDescent="0.25">
      <c r="A25" s="4"/>
      <c r="B25" s="4" t="str">
        <f t="shared" si="2"/>
        <v>АВР-PRS-К-2-1-32</v>
      </c>
      <c r="C25" s="5" t="s">
        <v>68</v>
      </c>
      <c r="D25" s="4">
        <v>280100020</v>
      </c>
      <c r="E25" s="4" t="s">
        <v>69</v>
      </c>
      <c r="F25" s="4">
        <v>1438</v>
      </c>
      <c r="G25" s="4">
        <f t="shared" si="4"/>
        <v>1438</v>
      </c>
      <c r="H25" s="19">
        <f t="shared" si="3"/>
        <v>4314</v>
      </c>
      <c r="I25" s="24">
        <v>3</v>
      </c>
      <c r="J25" s="25" t="s">
        <v>56</v>
      </c>
      <c r="K25" s="11" t="s">
        <v>84</v>
      </c>
      <c r="L25" s="15"/>
      <c r="M25" s="26"/>
      <c r="N25" s="26"/>
      <c r="O25" s="26"/>
    </row>
    <row r="26" spans="1:15" ht="27.75" customHeight="1" x14ac:dyDescent="0.25">
      <c r="A26" s="4"/>
      <c r="B26" s="4" t="str">
        <f t="shared" si="2"/>
        <v>АВР-PRS-К-2-1-32</v>
      </c>
      <c r="C26" s="5" t="s">
        <v>70</v>
      </c>
      <c r="D26" s="4">
        <v>130200007</v>
      </c>
      <c r="E26" s="4" t="s">
        <v>71</v>
      </c>
      <c r="F26" s="4">
        <v>652</v>
      </c>
      <c r="G26" s="4">
        <f t="shared" si="4"/>
        <v>652</v>
      </c>
      <c r="H26" s="19">
        <f t="shared" si="3"/>
        <v>652</v>
      </c>
      <c r="I26" s="24">
        <v>1</v>
      </c>
      <c r="J26" s="25" t="s">
        <v>80</v>
      </c>
      <c r="K26" s="11" t="s">
        <v>84</v>
      </c>
      <c r="L26" s="15"/>
      <c r="M26" s="26"/>
      <c r="N26" s="26"/>
      <c r="O26" s="26"/>
    </row>
    <row r="27" spans="1:15" ht="27.75" customHeight="1" x14ac:dyDescent="0.25">
      <c r="A27" s="4"/>
      <c r="B27" s="4" t="str">
        <f t="shared" si="2"/>
        <v>АВР-PRS-К-2-1-32</v>
      </c>
      <c r="C27" s="5" t="s">
        <v>72</v>
      </c>
      <c r="D27" s="4">
        <v>130200095</v>
      </c>
      <c r="E27" s="4" t="s">
        <v>73</v>
      </c>
      <c r="F27" s="4">
        <v>657</v>
      </c>
      <c r="G27" s="4">
        <f t="shared" si="4"/>
        <v>657</v>
      </c>
      <c r="H27" s="19">
        <f t="shared" si="3"/>
        <v>657</v>
      </c>
      <c r="I27" s="24">
        <v>1</v>
      </c>
      <c r="J27" s="25" t="s">
        <v>80</v>
      </c>
      <c r="K27" s="11" t="s">
        <v>84</v>
      </c>
      <c r="L27" s="15"/>
      <c r="M27" s="26"/>
      <c r="N27" s="26"/>
      <c r="O27" s="26"/>
    </row>
    <row r="28" spans="1:15" ht="27.75" customHeight="1" x14ac:dyDescent="0.25">
      <c r="A28" s="4"/>
      <c r="B28" s="4" t="str">
        <f t="shared" si="2"/>
        <v>АВР-PRS-К-2-1-32</v>
      </c>
      <c r="C28" s="5" t="s">
        <v>74</v>
      </c>
      <c r="D28" s="4">
        <v>100300031</v>
      </c>
      <c r="E28" s="4" t="s">
        <v>75</v>
      </c>
      <c r="F28" s="4">
        <v>352</v>
      </c>
      <c r="G28" s="4">
        <f t="shared" si="4"/>
        <v>352</v>
      </c>
      <c r="H28" s="19">
        <f t="shared" si="3"/>
        <v>5280</v>
      </c>
      <c r="I28" s="24">
        <v>15</v>
      </c>
      <c r="J28" s="25" t="s">
        <v>56</v>
      </c>
      <c r="K28" s="11" t="s">
        <v>84</v>
      </c>
      <c r="L28" s="15"/>
      <c r="M28" s="26"/>
      <c r="N28" s="26"/>
      <c r="O28" s="26"/>
    </row>
    <row r="29" spans="1:15" ht="27.75" customHeight="1" x14ac:dyDescent="0.25">
      <c r="A29" s="4"/>
      <c r="B29" s="4" t="str">
        <f t="shared" si="2"/>
        <v>АВР-PRS-К-2-1-32</v>
      </c>
      <c r="C29" s="5" t="s">
        <v>76</v>
      </c>
      <c r="D29" s="4">
        <v>311100826</v>
      </c>
      <c r="E29" s="4" t="s">
        <v>77</v>
      </c>
      <c r="F29" s="4">
        <v>10</v>
      </c>
      <c r="G29" s="4">
        <f t="shared" si="4"/>
        <v>10</v>
      </c>
      <c r="H29" s="19">
        <f t="shared" si="3"/>
        <v>300</v>
      </c>
      <c r="I29" s="24">
        <v>30</v>
      </c>
      <c r="J29" s="25" t="s">
        <v>80</v>
      </c>
      <c r="K29" s="11" t="s">
        <v>84</v>
      </c>
      <c r="L29" s="15"/>
      <c r="M29" s="26"/>
      <c r="N29" s="26"/>
      <c r="O29" s="26"/>
    </row>
    <row r="30" spans="1:15" ht="27.75" customHeight="1" x14ac:dyDescent="0.25">
      <c r="A30" s="4"/>
      <c r="B30" s="4" t="str">
        <f t="shared" si="2"/>
        <v>АВР-PRS-К-2-1-32</v>
      </c>
      <c r="C30" s="5" t="s">
        <v>78</v>
      </c>
      <c r="D30" s="4">
        <v>130300042</v>
      </c>
      <c r="E30" s="4" t="s">
        <v>79</v>
      </c>
      <c r="F30" s="4">
        <v>153</v>
      </c>
      <c r="G30" s="4">
        <f t="shared" si="4"/>
        <v>153</v>
      </c>
      <c r="H30" s="19">
        <f t="shared" si="3"/>
        <v>1377</v>
      </c>
      <c r="I30" s="24">
        <v>9</v>
      </c>
      <c r="J30" s="25" t="s">
        <v>80</v>
      </c>
      <c r="K30" s="11" t="s">
        <v>84</v>
      </c>
      <c r="L30" s="15"/>
      <c r="M30" s="26"/>
      <c r="N30" s="26"/>
      <c r="O30" s="26"/>
    </row>
    <row r="31" spans="1:15" ht="27.75" customHeight="1" x14ac:dyDescent="0.25">
      <c r="A31" s="4" t="e">
        <f>ROW(#REF!)</f>
        <v>#REF!</v>
      </c>
      <c r="B31" s="4" t="str">
        <f>B20</f>
        <v>АВР-PRS-К-2-1-32</v>
      </c>
      <c r="C31" s="5" t="s">
        <v>49</v>
      </c>
      <c r="D31" s="4" t="s">
        <v>50</v>
      </c>
      <c r="E31" s="4"/>
      <c r="F31" s="19">
        <f>H32</f>
        <v>24000</v>
      </c>
      <c r="G31" s="19">
        <f>F31</f>
        <v>24000</v>
      </c>
      <c r="H31" s="19">
        <f t="shared" ref="H31:H32" si="5">G31*I31</f>
        <v>24000</v>
      </c>
      <c r="I31" s="24">
        <v>1</v>
      </c>
      <c r="J31" s="25" t="s">
        <v>17</v>
      </c>
      <c r="K31" s="11" t="s">
        <v>50</v>
      </c>
      <c r="L31" s="15"/>
      <c r="M31" s="26"/>
      <c r="N31" s="26"/>
      <c r="O31" s="26"/>
    </row>
    <row r="32" spans="1:15" ht="27.75" customHeight="1" x14ac:dyDescent="0.25">
      <c r="A32" s="4">
        <f t="shared" ref="A32:A33" si="6">ROW(A31)</f>
        <v>31</v>
      </c>
      <c r="B32" s="4" t="str">
        <f>B20</f>
        <v>АВР-PRS-К-2-1-32</v>
      </c>
      <c r="C32" s="5" t="s">
        <v>51</v>
      </c>
      <c r="D32" s="4" t="s">
        <v>51</v>
      </c>
      <c r="E32" s="4"/>
      <c r="F32" s="4">
        <v>4</v>
      </c>
      <c r="G32" s="4">
        <v>100</v>
      </c>
      <c r="H32" s="19">
        <f t="shared" si="5"/>
        <v>24000</v>
      </c>
      <c r="I32" s="24">
        <f>F32*60</f>
        <v>240</v>
      </c>
      <c r="J32" s="25" t="s">
        <v>17</v>
      </c>
      <c r="K32" s="11" t="s">
        <v>51</v>
      </c>
      <c r="L32" s="15"/>
      <c r="M32" s="26"/>
      <c r="N32" s="26"/>
      <c r="O32" s="26"/>
    </row>
    <row r="33" spans="1:12" ht="27.75" customHeight="1" x14ac:dyDescent="0.25">
      <c r="A33" s="4">
        <f t="shared" si="6"/>
        <v>32</v>
      </c>
      <c r="B33" s="16" t="s">
        <v>91</v>
      </c>
      <c r="H33" s="20">
        <f>SUBTOTAL(9,H21:H32)</f>
        <v>135236</v>
      </c>
      <c r="L33">
        <f>SUBTOTAL(9,L21:L32)</f>
        <v>0</v>
      </c>
    </row>
  </sheetData>
  <autoFilter ref="A1:N30" xr:uid="{00000000-0009-0000-0000-000000000000}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fiyat burda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Kaplan</dc:creator>
  <cp:lastModifiedBy>YUSUF KAPLAN</cp:lastModifiedBy>
  <cp:revision>3</cp:revision>
  <dcterms:created xsi:type="dcterms:W3CDTF">2015-06-05T18:19:34Z</dcterms:created>
  <dcterms:modified xsi:type="dcterms:W3CDTF">2026-05-08T12:38:01Z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