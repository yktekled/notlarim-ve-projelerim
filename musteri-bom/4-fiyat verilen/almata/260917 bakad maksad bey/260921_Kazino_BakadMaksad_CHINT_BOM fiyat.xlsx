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7 bakad maksad bey\"/>
    </mc:Choice>
  </mc:AlternateContent>
  <xr:revisionPtr revIDLastSave="0" documentId="13_ncr:1_{413187F7-7C9F-43A9-9A54-12DE34E0D39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RA_DERATING">#REF!</definedName>
    <definedName name="BARA_ESIK_A">#REF!</definedName>
    <definedName name="BARA_FIRE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ECERLILIK">#REF!</definedName>
    <definedName name="GUN_SAAT">#REF!</definedName>
    <definedName name="ICERIK_AD">#REF!</definedName>
    <definedName name="ICERIK_IZI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TEKLIF!$A$1:$F$39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4" l="1"/>
  <c r="F15" i="4"/>
  <c r="F9" i="4"/>
  <c r="F31" i="4"/>
  <c r="F27" i="4"/>
  <c r="F25" i="4"/>
  <c r="F20" i="4"/>
  <c r="F19" i="4"/>
  <c r="F13" i="4"/>
  <c r="F12" i="4"/>
  <c r="F30" i="4" l="1"/>
  <c r="F28" i="4"/>
  <c r="F21" i="4"/>
  <c r="F23" i="4"/>
  <c r="F24" i="4"/>
  <c r="F18" i="4"/>
  <c r="F16" i="4"/>
  <c r="F22" i="4"/>
  <c r="F10" i="4"/>
  <c r="F26" i="4"/>
  <c r="F29" i="4"/>
  <c r="F14" i="4"/>
  <c r="F17" i="4"/>
  <c r="F32" i="4" l="1"/>
  <c r="F33" i="4" l="1"/>
  <c r="F34" i="4"/>
</calcChain>
</file>

<file path=xl/sharedStrings.xml><?xml version="1.0" encoding="utf-8"?>
<sst xmlns="http://schemas.openxmlformats.org/spreadsheetml/2006/main" count="64" uniqueCount="42">
  <si>
    <t>Наименование</t>
  </si>
  <si>
    <t>Ед.изм</t>
  </si>
  <si>
    <t>ЩО.п (260921 bakad)</t>
  </si>
  <si>
    <t>ЩАО.п (260921 bakad)</t>
  </si>
  <si>
    <t>ЩО.1 (260921 bakad)</t>
  </si>
  <si>
    <t>ЩАО.1 (260921 bakad)</t>
  </si>
  <si>
    <t>ЩО.2 (260921 bakad)</t>
  </si>
  <si>
    <t>ЩАО.2 (260921 bakad)</t>
  </si>
  <si>
    <t>1ЩР-1 (260921 bakad)</t>
  </si>
  <si>
    <t>ЩР.п (260921 bakad)</t>
  </si>
  <si>
    <t>1ЩР-2 ИБП (260921 bakad)</t>
  </si>
  <si>
    <t>1ЩР-3 (260921 bakad)</t>
  </si>
  <si>
    <t>2ЩР-1 (260921 bakad)</t>
  </si>
  <si>
    <t>2ЩР-2 (ИБП) (260921 bakad)</t>
  </si>
  <si>
    <t>ЩС-Тх.п2 (260921 bakad)</t>
  </si>
  <si>
    <t>1ЩР-Б (260921 bakad)</t>
  </si>
  <si>
    <t>2ЩР-Б (260921 bakad)</t>
  </si>
  <si>
    <t>2ЩС-Тх.1 (260921 bakad)</t>
  </si>
  <si>
    <t>ЩС.VRF.к (260921 bakad)</t>
  </si>
  <si>
    <t>ЩУВ-П (260921 bakad)</t>
  </si>
  <si>
    <t>ЩС.В3 (260921 bakad)</t>
  </si>
  <si>
    <t>ЩУВ1 (260921 bakad)</t>
  </si>
  <si>
    <t>ЩУВ.п (260921 bakad)</t>
  </si>
  <si>
    <t>ЩУВ.кр (260921 bakad)</t>
  </si>
  <si>
    <t>ЩС.ПУ (260921 bakad)</t>
  </si>
  <si>
    <t>Maksad bey (BAKAD)</t>
  </si>
  <si>
    <t>Казино — распределительные щиты (Dagitim panolari_r0)</t>
  </si>
  <si>
    <t>YSF HICH</t>
  </si>
  <si>
    <t>НДС</t>
  </si>
  <si>
    <t>Заказчик:</t>
  </si>
  <si>
    <t>Объект:</t>
  </si>
  <si>
    <t>№</t>
  </si>
  <si>
    <t>Кол-во</t>
  </si>
  <si>
    <t>Цена за ед., тг (без НДС)</t>
  </si>
  <si>
    <t>компл.</t>
  </si>
  <si>
    <t>Итого с НДС</t>
  </si>
  <si>
    <t>Срок изготовления:</t>
  </si>
  <si>
    <t>Условия оплаты:</t>
  </si>
  <si>
    <t>Срок действия, дн.:</t>
  </si>
  <si>
    <t>КОММЕРЧЕСКОЕ ПРЕДЛОЖЕНИЕ № 9890900050 от 00.mm.2026</t>
  </si>
  <si>
    <t>Сумма, тг (c НДС)</t>
  </si>
  <si>
    <t>Итого c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</si>
</sst>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1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3" fontId="2" fillId="0" borderId="1" xfId="0" applyNumberFormat="1" applyFont="1" applyBorder="1"/>
    <xf numFmtId="3" fontId="1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tabSelected="1" topLeftCell="A12" zoomScaleNormal="100" workbookViewId="0">
      <selection activeCell="I30" sqref="I30"/>
    </sheetView>
  </sheetViews>
  <sheetFormatPr defaultColWidth="8.7109375" defaultRowHeight="15" x14ac:dyDescent="0.25"/>
  <cols>
    <col min="1" max="1" width="26" customWidth="1"/>
    <col min="2" max="2" width="60" customWidth="1"/>
    <col min="3" max="4" width="8" style="11" customWidth="1"/>
    <col min="5" max="5" width="16" customWidth="1"/>
    <col min="6" max="6" width="18" customWidth="1"/>
  </cols>
  <sheetData>
    <row r="1" spans="1:6" ht="15.75" x14ac:dyDescent="0.25">
      <c r="A1" s="5" t="s">
        <v>27</v>
      </c>
    </row>
    <row r="3" spans="1:6" ht="15.75" x14ac:dyDescent="0.25">
      <c r="A3" s="5" t="s">
        <v>39</v>
      </c>
    </row>
    <row r="5" spans="1:6" x14ac:dyDescent="0.25">
      <c r="A5" s="2" t="s">
        <v>29</v>
      </c>
      <c r="B5" s="3" t="s">
        <v>25</v>
      </c>
    </row>
    <row r="6" spans="1:6" x14ac:dyDescent="0.25">
      <c r="A6" s="2" t="s">
        <v>30</v>
      </c>
      <c r="B6" s="3" t="s">
        <v>26</v>
      </c>
    </row>
    <row r="8" spans="1:6" s="9" customFormat="1" ht="25.5" x14ac:dyDescent="0.25">
      <c r="A8" s="8" t="s">
        <v>31</v>
      </c>
      <c r="B8" s="8" t="s">
        <v>0</v>
      </c>
      <c r="C8" s="8" t="s">
        <v>32</v>
      </c>
      <c r="D8" s="8" t="s">
        <v>1</v>
      </c>
      <c r="E8" s="8" t="s">
        <v>33</v>
      </c>
      <c r="F8" s="8" t="s">
        <v>40</v>
      </c>
    </row>
    <row r="9" spans="1:6" x14ac:dyDescent="0.25">
      <c r="A9" s="10">
        <v>1</v>
      </c>
      <c r="B9" s="4" t="s">
        <v>2</v>
      </c>
      <c r="C9" s="12">
        <v>1</v>
      </c>
      <c r="D9" s="12" t="s">
        <v>34</v>
      </c>
      <c r="E9" s="6">
        <v>92000</v>
      </c>
      <c r="F9" s="6">
        <f t="shared" ref="F9:F31" si="0">IF(E9="","",C9*E9)</f>
        <v>92000</v>
      </c>
    </row>
    <row r="10" spans="1:6" x14ac:dyDescent="0.25">
      <c r="A10" s="10">
        <v>2</v>
      </c>
      <c r="B10" s="4" t="s">
        <v>3</v>
      </c>
      <c r="C10" s="12">
        <v>1</v>
      </c>
      <c r="D10" s="12" t="s">
        <v>34</v>
      </c>
      <c r="E10" s="6">
        <v>117000</v>
      </c>
      <c r="F10" s="6">
        <f t="shared" si="0"/>
        <v>117000</v>
      </c>
    </row>
    <row r="11" spans="1:6" x14ac:dyDescent="0.25">
      <c r="A11" s="10">
        <v>3</v>
      </c>
      <c r="B11" s="4" t="s">
        <v>4</v>
      </c>
      <c r="C11" s="12">
        <v>1</v>
      </c>
      <c r="D11" s="12" t="s">
        <v>34</v>
      </c>
      <c r="E11" s="6">
        <v>76000</v>
      </c>
      <c r="F11" s="6">
        <f t="shared" si="0"/>
        <v>76000</v>
      </c>
    </row>
    <row r="12" spans="1:6" x14ac:dyDescent="0.25">
      <c r="A12" s="10">
        <v>4</v>
      </c>
      <c r="B12" s="4" t="s">
        <v>5</v>
      </c>
      <c r="C12" s="12">
        <v>1</v>
      </c>
      <c r="D12" s="12" t="s">
        <v>34</v>
      </c>
      <c r="E12" s="6">
        <v>89000</v>
      </c>
      <c r="F12" s="6">
        <f t="shared" si="0"/>
        <v>89000</v>
      </c>
    </row>
    <row r="13" spans="1:6" x14ac:dyDescent="0.25">
      <c r="A13" s="10">
        <v>5</v>
      </c>
      <c r="B13" s="4" t="s">
        <v>6</v>
      </c>
      <c r="C13" s="12">
        <v>1</v>
      </c>
      <c r="D13" s="12" t="s">
        <v>34</v>
      </c>
      <c r="E13" s="6">
        <v>78000</v>
      </c>
      <c r="F13" s="6">
        <f t="shared" si="0"/>
        <v>78000</v>
      </c>
    </row>
    <row r="14" spans="1:6" x14ac:dyDescent="0.25">
      <c r="A14" s="10">
        <v>6</v>
      </c>
      <c r="B14" s="4" t="s">
        <v>7</v>
      </c>
      <c r="C14" s="12">
        <v>1</v>
      </c>
      <c r="D14" s="12" t="s">
        <v>34</v>
      </c>
      <c r="E14" s="6">
        <v>89000</v>
      </c>
      <c r="F14" s="6">
        <f t="shared" si="0"/>
        <v>89000</v>
      </c>
    </row>
    <row r="15" spans="1:6" x14ac:dyDescent="0.25">
      <c r="A15" s="10">
        <v>7</v>
      </c>
      <c r="B15" s="4" t="s">
        <v>8</v>
      </c>
      <c r="C15" s="12">
        <v>1</v>
      </c>
      <c r="D15" s="12" t="s">
        <v>34</v>
      </c>
      <c r="E15" s="6">
        <v>208000</v>
      </c>
      <c r="F15" s="6">
        <f t="shared" si="0"/>
        <v>208000</v>
      </c>
    </row>
    <row r="16" spans="1:6" x14ac:dyDescent="0.25">
      <c r="A16" s="10">
        <v>8</v>
      </c>
      <c r="B16" s="4" t="s">
        <v>9</v>
      </c>
      <c r="C16" s="12">
        <v>1</v>
      </c>
      <c r="D16" s="12" t="s">
        <v>34</v>
      </c>
      <c r="E16" s="6">
        <v>217000</v>
      </c>
      <c r="F16" s="6">
        <f t="shared" si="0"/>
        <v>217000</v>
      </c>
    </row>
    <row r="17" spans="1:6" x14ac:dyDescent="0.25">
      <c r="A17" s="10">
        <v>9</v>
      </c>
      <c r="B17" s="4" t="s">
        <v>10</v>
      </c>
      <c r="C17" s="12">
        <v>1</v>
      </c>
      <c r="D17" s="12" t="s">
        <v>34</v>
      </c>
      <c r="E17" s="6">
        <v>393000</v>
      </c>
      <c r="F17" s="6">
        <f t="shared" si="0"/>
        <v>393000</v>
      </c>
    </row>
    <row r="18" spans="1:6" x14ac:dyDescent="0.25">
      <c r="A18" s="10">
        <v>10</v>
      </c>
      <c r="B18" s="4" t="s">
        <v>11</v>
      </c>
      <c r="C18" s="12">
        <v>1</v>
      </c>
      <c r="D18" s="12" t="s">
        <v>34</v>
      </c>
      <c r="E18" s="6">
        <v>175000</v>
      </c>
      <c r="F18" s="6">
        <f t="shared" si="0"/>
        <v>175000</v>
      </c>
    </row>
    <row r="19" spans="1:6" x14ac:dyDescent="0.25">
      <c r="A19" s="10">
        <v>11</v>
      </c>
      <c r="B19" s="4" t="s">
        <v>12</v>
      </c>
      <c r="C19" s="12">
        <v>1</v>
      </c>
      <c r="D19" s="12" t="s">
        <v>34</v>
      </c>
      <c r="E19" s="6">
        <v>142000</v>
      </c>
      <c r="F19" s="6">
        <f t="shared" si="0"/>
        <v>142000</v>
      </c>
    </row>
    <row r="20" spans="1:6" x14ac:dyDescent="0.25">
      <c r="A20" s="10">
        <v>12</v>
      </c>
      <c r="B20" s="4" t="s">
        <v>13</v>
      </c>
      <c r="C20" s="12">
        <v>1</v>
      </c>
      <c r="D20" s="12" t="s">
        <v>34</v>
      </c>
      <c r="E20" s="6">
        <v>245000</v>
      </c>
      <c r="F20" s="6">
        <f t="shared" si="0"/>
        <v>245000</v>
      </c>
    </row>
    <row r="21" spans="1:6" x14ac:dyDescent="0.25">
      <c r="A21" s="10">
        <v>13</v>
      </c>
      <c r="B21" s="4" t="s">
        <v>14</v>
      </c>
      <c r="C21" s="12">
        <v>1</v>
      </c>
      <c r="D21" s="12" t="s">
        <v>34</v>
      </c>
      <c r="E21" s="6">
        <v>615000</v>
      </c>
      <c r="F21" s="6">
        <f t="shared" si="0"/>
        <v>615000</v>
      </c>
    </row>
    <row r="22" spans="1:6" x14ac:dyDescent="0.25">
      <c r="A22" s="10">
        <v>14</v>
      </c>
      <c r="B22" s="4" t="s">
        <v>15</v>
      </c>
      <c r="C22" s="12">
        <v>1</v>
      </c>
      <c r="D22" s="12" t="s">
        <v>34</v>
      </c>
      <c r="E22" s="6">
        <v>90000</v>
      </c>
      <c r="F22" s="6">
        <f t="shared" si="0"/>
        <v>90000</v>
      </c>
    </row>
    <row r="23" spans="1:6" x14ac:dyDescent="0.25">
      <c r="A23" s="10">
        <v>15</v>
      </c>
      <c r="B23" s="4" t="s">
        <v>16</v>
      </c>
      <c r="C23" s="12">
        <v>1</v>
      </c>
      <c r="D23" s="12" t="s">
        <v>34</v>
      </c>
      <c r="E23" s="6">
        <v>97000</v>
      </c>
      <c r="F23" s="6">
        <f t="shared" si="0"/>
        <v>97000</v>
      </c>
    </row>
    <row r="24" spans="1:6" x14ac:dyDescent="0.25">
      <c r="A24" s="10">
        <v>16</v>
      </c>
      <c r="B24" s="4" t="s">
        <v>17</v>
      </c>
      <c r="C24" s="12">
        <v>1</v>
      </c>
      <c r="D24" s="12" t="s">
        <v>34</v>
      </c>
      <c r="E24" s="6">
        <v>291000</v>
      </c>
      <c r="F24" s="6">
        <f t="shared" si="0"/>
        <v>291000</v>
      </c>
    </row>
    <row r="25" spans="1:6" x14ac:dyDescent="0.25">
      <c r="A25" s="10">
        <v>17</v>
      </c>
      <c r="B25" s="4" t="s">
        <v>18</v>
      </c>
      <c r="C25" s="12">
        <v>1</v>
      </c>
      <c r="D25" s="12" t="s">
        <v>34</v>
      </c>
      <c r="E25" s="6">
        <v>534000</v>
      </c>
      <c r="F25" s="6">
        <f t="shared" si="0"/>
        <v>534000</v>
      </c>
    </row>
    <row r="26" spans="1:6" x14ac:dyDescent="0.25">
      <c r="A26" s="10">
        <v>18</v>
      </c>
      <c r="B26" s="4" t="s">
        <v>19</v>
      </c>
      <c r="C26" s="12">
        <v>1</v>
      </c>
      <c r="D26" s="12" t="s">
        <v>34</v>
      </c>
      <c r="E26" s="6">
        <v>83000</v>
      </c>
      <c r="F26" s="6">
        <f t="shared" si="0"/>
        <v>83000</v>
      </c>
    </row>
    <row r="27" spans="1:6" x14ac:dyDescent="0.25">
      <c r="A27" s="10">
        <v>19</v>
      </c>
      <c r="B27" s="4" t="s">
        <v>20</v>
      </c>
      <c r="C27" s="12">
        <v>1</v>
      </c>
      <c r="D27" s="12" t="s">
        <v>34</v>
      </c>
      <c r="E27" s="6">
        <v>356000</v>
      </c>
      <c r="F27" s="6">
        <f t="shared" si="0"/>
        <v>356000</v>
      </c>
    </row>
    <row r="28" spans="1:6" x14ac:dyDescent="0.25">
      <c r="A28" s="10">
        <v>20</v>
      </c>
      <c r="B28" s="4" t="s">
        <v>21</v>
      </c>
      <c r="C28" s="12">
        <v>1</v>
      </c>
      <c r="D28" s="12" t="s">
        <v>34</v>
      </c>
      <c r="E28" s="6">
        <v>213000</v>
      </c>
      <c r="F28" s="6">
        <f t="shared" si="0"/>
        <v>213000</v>
      </c>
    </row>
    <row r="29" spans="1:6" x14ac:dyDescent="0.25">
      <c r="A29" s="10">
        <v>21</v>
      </c>
      <c r="B29" s="4" t="s">
        <v>22</v>
      </c>
      <c r="C29" s="12">
        <v>1</v>
      </c>
      <c r="D29" s="12" t="s">
        <v>34</v>
      </c>
      <c r="E29" s="6">
        <v>93000</v>
      </c>
      <c r="F29" s="6">
        <f t="shared" si="0"/>
        <v>93000</v>
      </c>
    </row>
    <row r="30" spans="1:6" x14ac:dyDescent="0.25">
      <c r="A30" s="10">
        <v>22</v>
      </c>
      <c r="B30" s="4" t="s">
        <v>23</v>
      </c>
      <c r="C30" s="12">
        <v>1</v>
      </c>
      <c r="D30" s="12" t="s">
        <v>34</v>
      </c>
      <c r="E30" s="6">
        <v>238000</v>
      </c>
      <c r="F30" s="6">
        <f t="shared" si="0"/>
        <v>238000</v>
      </c>
    </row>
    <row r="31" spans="1:6" x14ac:dyDescent="0.25">
      <c r="A31" s="10">
        <v>23</v>
      </c>
      <c r="B31" s="4" t="s">
        <v>24</v>
      </c>
      <c r="C31" s="12">
        <v>1</v>
      </c>
      <c r="D31" s="12" t="s">
        <v>34</v>
      </c>
      <c r="E31" s="6">
        <v>191000</v>
      </c>
      <c r="F31" s="6">
        <f t="shared" si="0"/>
        <v>191000</v>
      </c>
    </row>
    <row r="32" spans="1:6" x14ac:dyDescent="0.25">
      <c r="E32" s="1" t="s">
        <v>41</v>
      </c>
      <c r="F32" s="7">
        <f>SUM(F9:F31)</f>
        <v>4722000</v>
      </c>
    </row>
    <row r="33" spans="1:6" x14ac:dyDescent="0.25">
      <c r="E33" s="1" t="s">
        <v>28</v>
      </c>
      <c r="F33" s="7">
        <f>0.16*F32</f>
        <v>755520</v>
      </c>
    </row>
    <row r="34" spans="1:6" x14ac:dyDescent="0.25">
      <c r="E34" s="1" t="s">
        <v>35</v>
      </c>
      <c r="F34" s="7">
        <f>F32</f>
        <v>4722000</v>
      </c>
    </row>
    <row r="36" spans="1:6" x14ac:dyDescent="0.25">
      <c r="A36" s="2" t="s">
        <v>36</v>
      </c>
      <c r="C36" s="13">
        <v>25</v>
      </c>
    </row>
    <row r="37" spans="1:6" x14ac:dyDescent="0.25">
      <c r="A37" s="2" t="s">
        <v>37</v>
      </c>
      <c r="C37" s="13">
        <v>100</v>
      </c>
    </row>
    <row r="38" spans="1:6" x14ac:dyDescent="0.25">
      <c r="A38" s="2" t="s">
        <v>38</v>
      </c>
      <c r="C38" s="13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2026-09-21T07:09:06Z</dcterms:created>
  <dcterms:modified xsi:type="dcterms:W3CDTF">2026-09-21T12:30:18Z</dcterms:modified>
  <dc:language>en-US</dc:language>
</cp:coreProperties>
</file>