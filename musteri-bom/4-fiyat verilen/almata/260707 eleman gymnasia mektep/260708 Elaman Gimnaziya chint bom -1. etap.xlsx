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166925"/>
  <mc:AlternateContent xmlns:mc="http://schemas.openxmlformats.org/markup-compatibility/2006">
    <mc:Choice Requires="x15">
      <x15ac:absPath xmlns:x15ac="http://schemas.microsoft.com/office/spreadsheetml/2010/11/ac" url="G:\Drive'ım\2-calisilan\proje\260707 eleman gymnasia mektep\"/>
    </mc:Choice>
  </mc:AlternateContent>
  <xr:revisionPtr revIDLastSave="0" documentId="13_ncr:1_{8D0889E0-4B92-4C23-A61C-F63F10196021}" xr6:coauthVersionLast="47" xr6:coauthVersionMax="47" xr10:uidLastSave="{00000000-0000-0000-0000-000000000000}"/>
  <bookViews>
    <workbookView xWindow="-120" yWindow="-120" windowWidth="29040" windowHeight="15720" tabRatio="500" activeTab="1" xr2:uid="{00000000-000D-0000-FFFF-FFFF00000000}"/>
  </bookViews>
  <sheets>
    <sheet name="Sayfa1" sheetId="2" r:id="rId1"/>
    <sheet name="Sayfa2" sheetId="3" r:id="rId2"/>
  </sheets>
  <definedNames>
    <definedName name="_xlnm._FilterDatabase" localSheetId="0" hidden="1">Sayfa1!$A$1:$J$223</definedName>
    <definedName name="_xlnm._FilterDatabase" localSheetId="1" hidden="1">Sayfa2!$A$1:$I$24</definedName>
    <definedName name="sayac">Sayfa1!#REF!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E25" i="3" l="1"/>
  <c r="E3" i="3"/>
  <c r="E4" i="3"/>
  <c r="E5" i="3"/>
  <c r="E6" i="3"/>
  <c r="E7" i="3"/>
  <c r="E8" i="3"/>
  <c r="E9" i="3"/>
  <c r="E10" i="3"/>
  <c r="E11" i="3"/>
  <c r="E12" i="3"/>
  <c r="E13" i="3"/>
  <c r="E14" i="3"/>
  <c r="E15" i="3"/>
  <c r="E16" i="3"/>
  <c r="E17" i="3"/>
  <c r="E18" i="3"/>
  <c r="E19" i="3"/>
  <c r="E20" i="3"/>
  <c r="E21" i="3"/>
  <c r="E22" i="3"/>
  <c r="E23" i="3"/>
  <c r="E24" i="3"/>
  <c r="E2" i="3"/>
  <c r="D3" i="3"/>
  <c r="D4" i="3"/>
  <c r="D5" i="3"/>
  <c r="D6" i="3"/>
  <c r="D7" i="3"/>
  <c r="D8" i="3"/>
  <c r="D9" i="3"/>
  <c r="D10" i="3"/>
  <c r="D11" i="3"/>
  <c r="D12" i="3"/>
  <c r="D13" i="3"/>
  <c r="D14" i="3"/>
  <c r="D15" i="3"/>
  <c r="D16" i="3"/>
  <c r="D17" i="3"/>
  <c r="D18" i="3"/>
  <c r="D19" i="3"/>
  <c r="D20" i="3"/>
  <c r="D21" i="3"/>
  <c r="D22" i="3"/>
  <c r="D23" i="3"/>
  <c r="D24" i="3"/>
  <c r="D2" i="3"/>
  <c r="C3" i="3"/>
  <c r="C4" i="3"/>
  <c r="C5" i="3"/>
  <c r="C6" i="3"/>
  <c r="C7" i="3"/>
  <c r="C8" i="3"/>
  <c r="C9" i="3"/>
  <c r="C10" i="3"/>
  <c r="C11" i="3"/>
  <c r="C12" i="3"/>
  <c r="C13" i="3"/>
  <c r="C14" i="3"/>
  <c r="C15" i="3"/>
  <c r="C16" i="3"/>
  <c r="C17" i="3"/>
  <c r="C18" i="3"/>
  <c r="C19" i="3"/>
  <c r="C20" i="3"/>
  <c r="C21" i="3"/>
  <c r="C22" i="3"/>
  <c r="C23" i="3"/>
  <c r="C24" i="3"/>
  <c r="C2" i="3"/>
  <c r="J3" i="3"/>
  <c r="J4" i="3"/>
  <c r="J5" i="3"/>
  <c r="J6" i="3"/>
  <c r="J7" i="3"/>
  <c r="J8" i="3"/>
  <c r="J9" i="3"/>
  <c r="J10" i="3"/>
  <c r="J11" i="3"/>
  <c r="J12" i="3"/>
  <c r="J13" i="3"/>
  <c r="J14" i="3"/>
  <c r="J15" i="3"/>
  <c r="J16" i="3"/>
  <c r="J17" i="3"/>
  <c r="J18" i="3"/>
  <c r="J19" i="3"/>
  <c r="J20" i="3"/>
  <c r="J21" i="3"/>
  <c r="J22" i="3"/>
  <c r="J23" i="3"/>
  <c r="J24" i="3"/>
  <c r="J2" i="3"/>
  <c r="F60" i="2"/>
  <c r="G60" i="2" s="1"/>
  <c r="F208" i="2"/>
  <c r="G208" i="2" s="1"/>
  <c r="F59" i="2"/>
  <c r="G59" i="2" s="1"/>
  <c r="F61" i="2"/>
  <c r="G61" i="2" s="1"/>
  <c r="F63" i="2"/>
  <c r="G63" i="2" s="1"/>
  <c r="F29" i="2"/>
  <c r="G29" i="2" s="1"/>
  <c r="F28" i="2"/>
  <c r="G28" i="2" s="1"/>
  <c r="F6" i="2"/>
  <c r="G6" i="2" s="1"/>
  <c r="F5" i="2"/>
  <c r="G5" i="2" s="1"/>
  <c r="F42" i="2" l="1"/>
  <c r="G42" i="2" s="1"/>
  <c r="F41" i="2"/>
  <c r="G41" i="2" s="1"/>
  <c r="F19" i="2"/>
  <c r="G19" i="2" s="1"/>
  <c r="F18" i="2"/>
  <c r="G18" i="2" s="1"/>
  <c r="F146" i="2"/>
  <c r="G146" i="2" s="1"/>
  <c r="F35" i="2"/>
  <c r="G35" i="2" s="1"/>
  <c r="F34" i="2"/>
  <c r="G34" i="2" s="1"/>
  <c r="F33" i="2"/>
  <c r="G33" i="2" s="1"/>
  <c r="F27" i="2"/>
  <c r="G27" i="2" s="1"/>
  <c r="F12" i="2"/>
  <c r="G12" i="2" s="1"/>
  <c r="F11" i="2"/>
  <c r="G11" i="2" s="1"/>
  <c r="F10" i="2"/>
  <c r="G10" i="2" s="1"/>
  <c r="F4" i="2"/>
  <c r="G4" i="2" s="1"/>
  <c r="F220" i="2"/>
  <c r="G220" i="2" s="1"/>
  <c r="F219" i="2"/>
  <c r="G219" i="2" s="1"/>
  <c r="F218" i="2"/>
  <c r="G218" i="2" s="1"/>
  <c r="F217" i="2"/>
  <c r="G217" i="2" s="1"/>
  <c r="F216" i="2"/>
  <c r="G216" i="2" s="1"/>
  <c r="F215" i="2"/>
  <c r="G215" i="2" s="1"/>
  <c r="F214" i="2"/>
  <c r="G214" i="2" s="1"/>
  <c r="F213" i="2"/>
  <c r="G213" i="2" s="1"/>
  <c r="F212" i="2"/>
  <c r="G212" i="2" s="1"/>
  <c r="F211" i="2"/>
  <c r="G211" i="2" s="1"/>
  <c r="F210" i="2"/>
  <c r="G210" i="2" s="1"/>
  <c r="F209" i="2"/>
  <c r="G209" i="2" s="1"/>
  <c r="F207" i="2"/>
  <c r="G207" i="2" s="1"/>
  <c r="F206" i="2"/>
  <c r="G206" i="2" s="1"/>
  <c r="F205" i="2"/>
  <c r="G205" i="2" s="1"/>
  <c r="F199" i="2"/>
  <c r="G199" i="2" s="1"/>
  <c r="F198" i="2"/>
  <c r="G198" i="2" s="1"/>
  <c r="F197" i="2"/>
  <c r="G197" i="2" s="1"/>
  <c r="F196" i="2"/>
  <c r="G196" i="2" s="1"/>
  <c r="F195" i="2"/>
  <c r="G195" i="2" s="1"/>
  <c r="F189" i="2"/>
  <c r="G189" i="2" s="1"/>
  <c r="F188" i="2"/>
  <c r="G188" i="2" s="1"/>
  <c r="F187" i="2"/>
  <c r="G187" i="2" s="1"/>
  <c r="F186" i="2"/>
  <c r="G186" i="2" s="1"/>
  <c r="F185" i="2"/>
  <c r="G185" i="2" s="1"/>
  <c r="F179" i="2"/>
  <c r="G179" i="2" s="1"/>
  <c r="F178" i="2"/>
  <c r="G178" i="2" s="1"/>
  <c r="F177" i="2"/>
  <c r="G177" i="2" s="1"/>
  <c r="F176" i="2"/>
  <c r="G176" i="2" s="1"/>
  <c r="F175" i="2"/>
  <c r="G175" i="2" s="1"/>
  <c r="F169" i="2"/>
  <c r="G169" i="2" s="1"/>
  <c r="F168" i="2"/>
  <c r="G168" i="2" s="1"/>
  <c r="F167" i="2"/>
  <c r="G167" i="2" s="1"/>
  <c r="F161" i="2"/>
  <c r="G161" i="2" s="1"/>
  <c r="F160" i="2"/>
  <c r="G160" i="2" s="1"/>
  <c r="F154" i="2"/>
  <c r="G154" i="2" s="1"/>
  <c r="F153" i="2"/>
  <c r="G153" i="2" s="1"/>
  <c r="F152" i="2"/>
  <c r="G152" i="2" s="1"/>
  <c r="F145" i="2"/>
  <c r="G145" i="2" s="1"/>
  <c r="F144" i="2"/>
  <c r="G144" i="2" s="1"/>
  <c r="F143" i="2"/>
  <c r="G143" i="2" s="1"/>
  <c r="F137" i="2"/>
  <c r="G137" i="2" s="1"/>
  <c r="F136" i="2"/>
  <c r="G136" i="2" s="1"/>
  <c r="F130" i="2"/>
  <c r="G130" i="2" s="1"/>
  <c r="F129" i="2"/>
  <c r="G129" i="2" s="1"/>
  <c r="F123" i="2"/>
  <c r="G123" i="2" s="1"/>
  <c r="F122" i="2"/>
  <c r="G122" i="2" s="1"/>
  <c r="F116" i="2"/>
  <c r="G116" i="2" s="1"/>
  <c r="F115" i="2"/>
  <c r="G115" i="2" s="1"/>
  <c r="F109" i="2"/>
  <c r="G109" i="2" s="1"/>
  <c r="F108" i="2"/>
  <c r="G108" i="2" s="1"/>
  <c r="F107" i="2"/>
  <c r="G107" i="2" s="1"/>
  <c r="F106" i="2"/>
  <c r="G106" i="2" s="1"/>
  <c r="F100" i="2"/>
  <c r="G100" i="2" s="1"/>
  <c r="F99" i="2"/>
  <c r="G99" i="2" s="1"/>
  <c r="F98" i="2"/>
  <c r="G98" i="2" s="1"/>
  <c r="F97" i="2"/>
  <c r="G97" i="2" s="1"/>
  <c r="F91" i="2"/>
  <c r="G91" i="2" s="1"/>
  <c r="F90" i="2"/>
  <c r="G90" i="2" s="1"/>
  <c r="F84" i="2"/>
  <c r="G84" i="2" s="1"/>
  <c r="F83" i="2"/>
  <c r="G83" i="2" s="1"/>
  <c r="F82" i="2"/>
  <c r="G82" i="2" s="1"/>
  <c r="F81" i="2"/>
  <c r="G81" i="2" s="1"/>
  <c r="F75" i="2"/>
  <c r="G75" i="2" s="1"/>
  <c r="F74" i="2"/>
  <c r="G74" i="2" s="1"/>
  <c r="F73" i="2"/>
  <c r="G73" i="2" s="1"/>
  <c r="F72" i="2"/>
  <c r="G72" i="2" s="1"/>
  <c r="F66" i="2"/>
  <c r="G66" i="2" s="1"/>
  <c r="F65" i="2"/>
  <c r="G65" i="2" s="1"/>
  <c r="F64" i="2"/>
  <c r="G64" i="2" s="1"/>
  <c r="F62" i="2"/>
  <c r="G62" i="2" s="1"/>
  <c r="F53" i="2"/>
  <c r="G53" i="2" s="1"/>
  <c r="F52" i="2"/>
  <c r="G52" i="2" s="1"/>
  <c r="F51" i="2"/>
  <c r="G51" i="2" s="1"/>
  <c r="F45" i="2"/>
  <c r="G45" i="2" s="1"/>
  <c r="F44" i="2"/>
  <c r="G44" i="2" s="1"/>
  <c r="F43" i="2"/>
  <c r="G43" i="2" s="1"/>
  <c r="F32" i="2"/>
  <c r="G32" i="2" s="1"/>
  <c r="F31" i="2"/>
  <c r="G31" i="2" s="1"/>
  <c r="F30" i="2"/>
  <c r="G30" i="2" s="1"/>
  <c r="F21" i="2"/>
  <c r="G21" i="2" s="1"/>
  <c r="F20" i="2"/>
  <c r="G20" i="2" s="1"/>
  <c r="F9" i="2"/>
  <c r="G9" i="2" s="1"/>
  <c r="F8" i="2"/>
  <c r="G8" i="2" s="1"/>
  <c r="F7" i="2"/>
  <c r="G7" i="2" s="1"/>
  <c r="H222" i="2"/>
  <c r="G222" i="2"/>
  <c r="E221" i="2" s="1"/>
  <c r="F221" i="2" s="1"/>
  <c r="G221" i="2" s="1"/>
  <c r="F204" i="2"/>
  <c r="G204" i="2" s="1"/>
  <c r="A203" i="2"/>
  <c r="A204" i="2" s="1"/>
  <c r="A205" i="2" s="1"/>
  <c r="H201" i="2"/>
  <c r="G201" i="2"/>
  <c r="E200" i="2" s="1"/>
  <c r="F200" i="2" s="1"/>
  <c r="G200" i="2" s="1"/>
  <c r="F194" i="2"/>
  <c r="G194" i="2" s="1"/>
  <c r="A193" i="2"/>
  <c r="A194" i="2" s="1"/>
  <c r="A195" i="2" s="1"/>
  <c r="A196" i="2" s="1"/>
  <c r="A197" i="2" s="1"/>
  <c r="H191" i="2"/>
  <c r="G191" i="2"/>
  <c r="E190" i="2" s="1"/>
  <c r="F190" i="2" s="1"/>
  <c r="G190" i="2" s="1"/>
  <c r="F184" i="2"/>
  <c r="G184" i="2" s="1"/>
  <c r="A183" i="2"/>
  <c r="A184" i="2" s="1"/>
  <c r="A185" i="2" s="1"/>
  <c r="A186" i="2" s="1"/>
  <c r="H181" i="2"/>
  <c r="G181" i="2"/>
  <c r="E180" i="2" s="1"/>
  <c r="F180" i="2" s="1"/>
  <c r="G180" i="2" s="1"/>
  <c r="F174" i="2"/>
  <c r="G174" i="2" s="1"/>
  <c r="A173" i="2"/>
  <c r="A174" i="2" s="1"/>
  <c r="A175" i="2" s="1"/>
  <c r="A176" i="2" s="1"/>
  <c r="H171" i="2"/>
  <c r="G171" i="2"/>
  <c r="E170" i="2" s="1"/>
  <c r="F170" i="2" s="1"/>
  <c r="G170" i="2" s="1"/>
  <c r="F166" i="2"/>
  <c r="G166" i="2" s="1"/>
  <c r="A165" i="2"/>
  <c r="A166" i="2" s="1"/>
  <c r="A167" i="2" s="1"/>
  <c r="A168" i="2" s="1"/>
  <c r="A169" i="2" s="1"/>
  <c r="A170" i="2" s="1"/>
  <c r="A171" i="2" s="1"/>
  <c r="A172" i="2" s="1"/>
  <c r="H163" i="2"/>
  <c r="G163" i="2"/>
  <c r="E162" i="2" s="1"/>
  <c r="F162" i="2" s="1"/>
  <c r="G162" i="2" s="1"/>
  <c r="F159" i="2"/>
  <c r="G159" i="2" s="1"/>
  <c r="A158" i="2"/>
  <c r="A159" i="2" s="1"/>
  <c r="A160" i="2" s="1"/>
  <c r="A161" i="2" s="1"/>
  <c r="A162" i="2" s="1"/>
  <c r="A163" i="2" s="1"/>
  <c r="A164" i="2" s="1"/>
  <c r="H156" i="2"/>
  <c r="G156" i="2"/>
  <c r="E155" i="2" s="1"/>
  <c r="F155" i="2" s="1"/>
  <c r="G155" i="2" s="1"/>
  <c r="F151" i="2"/>
  <c r="G151" i="2" s="1"/>
  <c r="A150" i="2"/>
  <c r="A151" i="2" s="1"/>
  <c r="A152" i="2" s="1"/>
  <c r="A153" i="2" s="1"/>
  <c r="H148" i="2"/>
  <c r="G148" i="2"/>
  <c r="E147" i="2" s="1"/>
  <c r="F147" i="2" s="1"/>
  <c r="G147" i="2" s="1"/>
  <c r="F142" i="2"/>
  <c r="G142" i="2" s="1"/>
  <c r="A141" i="2"/>
  <c r="A142" i="2" s="1"/>
  <c r="A143" i="2" s="1"/>
  <c r="A144" i="2" s="1"/>
  <c r="H139" i="2"/>
  <c r="G139" i="2"/>
  <c r="E138" i="2" s="1"/>
  <c r="F138" i="2" s="1"/>
  <c r="G138" i="2" s="1"/>
  <c r="F135" i="2"/>
  <c r="G135" i="2" s="1"/>
  <c r="A134" i="2"/>
  <c r="A135" i="2" s="1"/>
  <c r="A136" i="2" s="1"/>
  <c r="A137" i="2" s="1"/>
  <c r="A138" i="2" s="1"/>
  <c r="A139" i="2" s="1"/>
  <c r="A140" i="2" s="1"/>
  <c r="H132" i="2"/>
  <c r="G132" i="2"/>
  <c r="E131" i="2" s="1"/>
  <c r="F131" i="2" s="1"/>
  <c r="G131" i="2" s="1"/>
  <c r="F128" i="2"/>
  <c r="G128" i="2" s="1"/>
  <c r="A127" i="2"/>
  <c r="A128" i="2" s="1"/>
  <c r="A129" i="2" s="1"/>
  <c r="A130" i="2" s="1"/>
  <c r="A131" i="2" s="1"/>
  <c r="A132" i="2" s="1"/>
  <c r="A133" i="2" s="1"/>
  <c r="H125" i="2"/>
  <c r="G125" i="2"/>
  <c r="E124" i="2" s="1"/>
  <c r="F124" i="2" s="1"/>
  <c r="G124" i="2" s="1"/>
  <c r="F121" i="2"/>
  <c r="G121" i="2" s="1"/>
  <c r="A120" i="2"/>
  <c r="A121" i="2" s="1"/>
  <c r="A122" i="2" s="1"/>
  <c r="A123" i="2" s="1"/>
  <c r="A124" i="2" s="1"/>
  <c r="A125" i="2" s="1"/>
  <c r="A126" i="2" s="1"/>
  <c r="H118" i="2"/>
  <c r="G118" i="2"/>
  <c r="E117" i="2" s="1"/>
  <c r="F117" i="2" s="1"/>
  <c r="G117" i="2" s="1"/>
  <c r="F114" i="2"/>
  <c r="G114" i="2" s="1"/>
  <c r="A113" i="2"/>
  <c r="A114" i="2" s="1"/>
  <c r="A115" i="2" s="1"/>
  <c r="A116" i="2" s="1"/>
  <c r="A117" i="2" s="1"/>
  <c r="A118" i="2" s="1"/>
  <c r="A119" i="2" s="1"/>
  <c r="H111" i="2"/>
  <c r="G111" i="2"/>
  <c r="E110" i="2" s="1"/>
  <c r="F110" i="2" s="1"/>
  <c r="G110" i="2" s="1"/>
  <c r="F105" i="2"/>
  <c r="G105" i="2" s="1"/>
  <c r="A104" i="2"/>
  <c r="A105" i="2" s="1"/>
  <c r="A106" i="2" s="1"/>
  <c r="A107" i="2" s="1"/>
  <c r="A108" i="2" s="1"/>
  <c r="A109" i="2" s="1"/>
  <c r="A110" i="2" s="1"/>
  <c r="A111" i="2" s="1"/>
  <c r="A112" i="2" s="1"/>
  <c r="H102" i="2"/>
  <c r="G102" i="2"/>
  <c r="E101" i="2" s="1"/>
  <c r="F101" i="2" s="1"/>
  <c r="G101" i="2" s="1"/>
  <c r="F96" i="2"/>
  <c r="G96" i="2" s="1"/>
  <c r="A95" i="2"/>
  <c r="A96" i="2" s="1"/>
  <c r="A97" i="2" s="1"/>
  <c r="A98" i="2" s="1"/>
  <c r="A99" i="2" s="1"/>
  <c r="A100" i="2" s="1"/>
  <c r="A101" i="2" s="1"/>
  <c r="A102" i="2" s="1"/>
  <c r="A103" i="2" s="1"/>
  <c r="H93" i="2"/>
  <c r="G93" i="2"/>
  <c r="E92" i="2" s="1"/>
  <c r="F92" i="2" s="1"/>
  <c r="G92" i="2" s="1"/>
  <c r="F89" i="2"/>
  <c r="G89" i="2" s="1"/>
  <c r="A88" i="2"/>
  <c r="A89" i="2" s="1"/>
  <c r="A90" i="2" s="1"/>
  <c r="A91" i="2" s="1"/>
  <c r="H86" i="2"/>
  <c r="G86" i="2"/>
  <c r="E85" i="2" s="1"/>
  <c r="F85" i="2" s="1"/>
  <c r="G85" i="2" s="1"/>
  <c r="F80" i="2"/>
  <c r="G80" i="2" s="1"/>
  <c r="A79" i="2"/>
  <c r="A80" i="2" s="1"/>
  <c r="A81" i="2" s="1"/>
  <c r="A82" i="2" s="1"/>
  <c r="H77" i="2"/>
  <c r="G77" i="2"/>
  <c r="E76" i="2" s="1"/>
  <c r="F76" i="2" s="1"/>
  <c r="G76" i="2" s="1"/>
  <c r="F71" i="2"/>
  <c r="G71" i="2" s="1"/>
  <c r="A70" i="2"/>
  <c r="A71" i="2" s="1"/>
  <c r="A72" i="2" s="1"/>
  <c r="A73" i="2" s="1"/>
  <c r="A74" i="2" s="1"/>
  <c r="A75" i="2" s="1"/>
  <c r="H68" i="2"/>
  <c r="G68" i="2"/>
  <c r="E67" i="2" s="1"/>
  <c r="F67" i="2" s="1"/>
  <c r="G67" i="2" s="1"/>
  <c r="F58" i="2"/>
  <c r="G58" i="2" s="1"/>
  <c r="A57" i="2"/>
  <c r="H55" i="2"/>
  <c r="G55" i="2"/>
  <c r="E54" i="2" s="1"/>
  <c r="F54" i="2" s="1"/>
  <c r="G54" i="2" s="1"/>
  <c r="F50" i="2"/>
  <c r="G50" i="2" s="1"/>
  <c r="A49" i="2"/>
  <c r="A50" i="2" s="1"/>
  <c r="A51" i="2" s="1"/>
  <c r="A52" i="2" s="1"/>
  <c r="A53" i="2" s="1"/>
  <c r="A54" i="2" s="1"/>
  <c r="A55" i="2" s="1"/>
  <c r="A56" i="2" s="1"/>
  <c r="H47" i="2"/>
  <c r="G47" i="2"/>
  <c r="E46" i="2" s="1"/>
  <c r="F46" i="2" s="1"/>
  <c r="G46" i="2" s="1"/>
  <c r="F40" i="2"/>
  <c r="G40" i="2" s="1"/>
  <c r="A39" i="2"/>
  <c r="A40" i="2" s="1"/>
  <c r="A41" i="2" s="1"/>
  <c r="A42" i="2" s="1"/>
  <c r="A43" i="2" s="1"/>
  <c r="A44" i="2" s="1"/>
  <c r="H37" i="2"/>
  <c r="G37" i="2"/>
  <c r="E36" i="2" s="1"/>
  <c r="F36" i="2" s="1"/>
  <c r="G36" i="2" s="1"/>
  <c r="F26" i="2"/>
  <c r="G26" i="2" s="1"/>
  <c r="A25" i="2"/>
  <c r="A26" i="2" s="1"/>
  <c r="A27" i="2" s="1"/>
  <c r="H23" i="2"/>
  <c r="G23" i="2"/>
  <c r="E22" i="2" s="1"/>
  <c r="F22" i="2" s="1"/>
  <c r="G22" i="2" s="1"/>
  <c r="F17" i="2"/>
  <c r="G17" i="2" s="1"/>
  <c r="A16" i="2"/>
  <c r="A17" i="2" s="1"/>
  <c r="A18" i="2" s="1"/>
  <c r="A19" i="2" s="1"/>
  <c r="A20" i="2" s="1"/>
  <c r="A21" i="2" s="1"/>
  <c r="A22" i="2" s="1"/>
  <c r="A23" i="2" s="1"/>
  <c r="A24" i="2" s="1"/>
  <c r="H14" i="2"/>
  <c r="G14" i="2"/>
  <c r="E13" i="2" s="1"/>
  <c r="F13" i="2" s="1"/>
  <c r="G13" i="2" s="1"/>
  <c r="F3" i="2"/>
  <c r="G3" i="2" s="1"/>
  <c r="A2" i="2"/>
  <c r="A3" i="2" s="1"/>
  <c r="A4" i="2" s="1"/>
  <c r="A59" i="2" l="1"/>
  <c r="A60" i="2"/>
  <c r="A58" i="2"/>
  <c r="A62" i="2" s="1"/>
  <c r="A61" i="2"/>
  <c r="A30" i="2"/>
  <c r="A31" i="2" s="1"/>
  <c r="A32" i="2" s="1"/>
  <c r="A33" i="2" s="1"/>
  <c r="A34" i="2" s="1"/>
  <c r="A35" i="2" s="1"/>
  <c r="A36" i="2" s="1"/>
  <c r="A37" i="2" s="1"/>
  <c r="A38" i="2" s="1"/>
  <c r="A28" i="2"/>
  <c r="A29" i="2" s="1"/>
  <c r="A7" i="2"/>
  <c r="A8" i="2" s="1"/>
  <c r="A9" i="2" s="1"/>
  <c r="A10" i="2" s="1"/>
  <c r="A11" i="2" s="1"/>
  <c r="A12" i="2" s="1"/>
  <c r="A13" i="2" s="1"/>
  <c r="A14" i="2" s="1"/>
  <c r="A15" i="2" s="1"/>
  <c r="A5" i="2"/>
  <c r="A6" i="2" s="1"/>
  <c r="A206" i="2"/>
  <c r="G223" i="2"/>
  <c r="G202" i="2"/>
  <c r="G192" i="2"/>
  <c r="A199" i="2"/>
  <c r="A198" i="2"/>
  <c r="A187" i="2"/>
  <c r="A189" i="2" s="1"/>
  <c r="A188" i="2"/>
  <c r="A190" i="2" s="1"/>
  <c r="A191" i="2" s="1"/>
  <c r="A192" i="2" s="1"/>
  <c r="A178" i="2"/>
  <c r="A180" i="2" s="1"/>
  <c r="A181" i="2" s="1"/>
  <c r="A182" i="2" s="1"/>
  <c r="A177" i="2"/>
  <c r="A179" i="2" s="1"/>
  <c r="G182" i="2"/>
  <c r="G172" i="2"/>
  <c r="G164" i="2"/>
  <c r="A155" i="2"/>
  <c r="A156" i="2" s="1"/>
  <c r="A157" i="2" s="1"/>
  <c r="A154" i="2"/>
  <c r="G157" i="2"/>
  <c r="G140" i="2"/>
  <c r="A145" i="2"/>
  <c r="A146" i="2" s="1"/>
  <c r="A147" i="2"/>
  <c r="A148" i="2" s="1"/>
  <c r="A149" i="2" s="1"/>
  <c r="G149" i="2"/>
  <c r="G133" i="2"/>
  <c r="G126" i="2"/>
  <c r="G119" i="2"/>
  <c r="G112" i="2"/>
  <c r="G103" i="2"/>
  <c r="G94" i="2"/>
  <c r="G87" i="2"/>
  <c r="A92" i="2"/>
  <c r="A93" i="2" s="1"/>
  <c r="A94" i="2" s="1"/>
  <c r="A83" i="2"/>
  <c r="A84" i="2" s="1"/>
  <c r="A85" i="2"/>
  <c r="A86" i="2" s="1"/>
  <c r="A87" i="2" s="1"/>
  <c r="G78" i="2"/>
  <c r="A76" i="2"/>
  <c r="A77" i="2" s="1"/>
  <c r="A78" i="2" s="1"/>
  <c r="G69" i="2"/>
  <c r="G56" i="2"/>
  <c r="A46" i="2"/>
  <c r="A47" i="2" s="1"/>
  <c r="A48" i="2" s="1"/>
  <c r="A45" i="2"/>
  <c r="G48" i="2"/>
  <c r="G38" i="2"/>
  <c r="G24" i="2"/>
  <c r="G15" i="2"/>
  <c r="A63" i="2" l="1"/>
  <c r="A207" i="2"/>
  <c r="A208" i="2" s="1"/>
  <c r="A209" i="2" s="1"/>
  <c r="A210" i="2" s="1"/>
  <c r="A211" i="2" s="1"/>
  <c r="A212" i="2" s="1"/>
  <c r="A213" i="2" s="1"/>
  <c r="A214" i="2" s="1"/>
  <c r="A215" i="2" s="1"/>
  <c r="A216" i="2" s="1"/>
  <c r="A217" i="2" s="1"/>
  <c r="A218" i="2" s="1"/>
  <c r="A219" i="2" s="1"/>
  <c r="A220" i="2" s="1"/>
  <c r="A221" i="2" s="1"/>
  <c r="A222" i="2" s="1"/>
  <c r="A223" i="2" s="1"/>
  <c r="A64" i="2"/>
  <c r="A65" i="2" s="1"/>
  <c r="A66" i="2" s="1"/>
  <c r="A67" i="2"/>
  <c r="A68" i="2" s="1"/>
  <c r="A69" i="2" s="1"/>
  <c r="A200" i="2"/>
  <c r="A201" i="2" s="1"/>
  <c r="A202" i="2" s="1"/>
</calcChain>
</file>

<file path=xl/sharedStrings.xml><?xml version="1.0" encoding="utf-8"?>
<sst xmlns="http://schemas.openxmlformats.org/spreadsheetml/2006/main" count="1033" uniqueCount="188">
  <si>
    <t>malzeme</t>
  </si>
  <si>
    <t>Артикул</t>
  </si>
  <si>
    <t>Наименование</t>
  </si>
  <si>
    <t>Цена,тг</t>
  </si>
  <si>
    <t>Ед.изм</t>
  </si>
  <si>
    <t>завод из готовитель</t>
  </si>
  <si>
    <t>СУММ.</t>
  </si>
  <si>
    <t>комплект</t>
  </si>
  <si>
    <t>korpus</t>
  </si>
  <si>
    <t>TEKSAN</t>
  </si>
  <si>
    <t>монтажный материал</t>
  </si>
  <si>
    <t>монтажная работа</t>
  </si>
  <si>
    <t>oto</t>
  </si>
  <si>
    <t xml:space="preserve"> ШТ. </t>
  </si>
  <si>
    <t>Номенклатура</t>
  </si>
  <si>
    <t>Кол- во</t>
  </si>
  <si>
    <t>teksan f</t>
  </si>
  <si>
    <t>chint</t>
  </si>
  <si>
    <t>sayac</t>
  </si>
  <si>
    <t>296709</t>
  </si>
  <si>
    <t>Авт. выкл. NXB-63S 1P 10А 4.5kA х-ка C (R)</t>
  </si>
  <si>
    <t>296708</t>
  </si>
  <si>
    <t>Авт. выкл. NXB-63S 1P 6А 4.5kA х-ка C (R)</t>
  </si>
  <si>
    <t>296829</t>
  </si>
  <si>
    <t>Авт. выкл. NXB-63S 3P 25А 4.5kA х-ка C (R)</t>
  </si>
  <si>
    <t>dif</t>
  </si>
  <si>
    <t>131362</t>
  </si>
  <si>
    <t>Авт. выкл. NXM-125S/3Р 100A 25кА (R)</t>
  </si>
  <si>
    <t>pys</t>
  </si>
  <si>
    <t>tt</t>
  </si>
  <si>
    <t>Авт. выкл. NXB-63S 3P 32А 4.5kA х-ка C (R)</t>
  </si>
  <si>
    <t>296830</t>
  </si>
  <si>
    <t>296832</t>
  </si>
  <si>
    <t>Авт. выкл. NXB-63S 3P 50А 4.5kA х-ка C (R)</t>
  </si>
  <si>
    <t>131360</t>
  </si>
  <si>
    <t>Авт. выкл. NXM-125S/3Р 63A 25кА (R)</t>
  </si>
  <si>
    <t>lamb</t>
  </si>
  <si>
    <t>rubilnik</t>
  </si>
  <si>
    <t>condencator</t>
  </si>
  <si>
    <t>131363</t>
  </si>
  <si>
    <t>Авт. выкл. NXM-125S/3Р 125A 25кА (R)</t>
  </si>
  <si>
    <t>131361</t>
  </si>
  <si>
    <t>Авт. выкл. NXM-125S/3Р 80A 25кА (R)</t>
  </si>
  <si>
    <t>mccb</t>
  </si>
  <si>
    <t>296826</t>
  </si>
  <si>
    <t>Авт. выкл. NXB-63S 3P 10А 4.5kA х-ка C (R)</t>
  </si>
  <si>
    <t>814989</t>
  </si>
  <si>
    <t>Независимый расцепитель SHT-X1 AC230V/400V для NXB-63 (R)</t>
  </si>
  <si>
    <t>rn</t>
  </si>
  <si>
    <t>contactor</t>
  </si>
  <si>
    <t>836704</t>
  </si>
  <si>
    <t>Контактор NXC-09 9A 220В/АС3 1НО+1НЗ 50Гц (R)</t>
  </si>
  <si>
    <t>296827</t>
  </si>
  <si>
    <t>Авт. выкл. NXB-63S 3P 16А 4.5kA х-ка C (R)</t>
  </si>
  <si>
    <t>296710</t>
  </si>
  <si>
    <t>Авт. выкл. NXB-63S 1P 16А 4.5kA х-ка C (R)</t>
  </si>
  <si>
    <t>713-15005</t>
  </si>
  <si>
    <t>Pano met.ShRv-12b/o(319х277х120)S/A36IP31(TS)</t>
  </si>
  <si>
    <t>713-15007</t>
  </si>
  <si>
    <t>Pano met.ShRv-1/18b/o(450х277х120)S/AIP31(TS)</t>
  </si>
  <si>
    <t>593077</t>
  </si>
  <si>
    <t>Индикатор ND16-22D/2 зеленый AC/DC230В (R)</t>
  </si>
  <si>
    <t>593075</t>
  </si>
  <si>
    <t>Индикатор ND16-22D/2 красный AC/DC230В (R)</t>
  </si>
  <si>
    <t>indicator</t>
  </si>
  <si>
    <t>719-15445</t>
  </si>
  <si>
    <t>Мет.Корпус ЩМП-5 (1000x650x300) IP31</t>
  </si>
  <si>
    <t>105524</t>
  </si>
  <si>
    <t>Диф. авт. выкл. NXBLE-63Y 1P+N 16А 10mA электронный тип AС, х-ка С, 4.5kA (R)</t>
  </si>
  <si>
    <t>ВП-1</t>
  </si>
  <si>
    <t>270300035_</t>
  </si>
  <si>
    <t xml:space="preserve"> Трансформатор тока ТТИ-40 600/5А 5ВА 0,5 IEK</t>
  </si>
  <si>
    <t>131375</t>
  </si>
  <si>
    <t>Авт. выкл. NXM-630S/3Р 630A 50кА (R)</t>
  </si>
  <si>
    <t>131374</t>
  </si>
  <si>
    <t>Авт. выкл. NXM-630S/3Р 500A 50кА (R)</t>
  </si>
  <si>
    <t>ВП-2</t>
  </si>
  <si>
    <t>ЩГП</t>
  </si>
  <si>
    <t>296831</t>
  </si>
  <si>
    <t>Авт. выкл. NXB-63S 3P 40А 4.5kA х-ка C (R)</t>
  </si>
  <si>
    <t>592865</t>
  </si>
  <si>
    <t>Индикатор ND16-22D/2 зеленый AC/DC380В (R)</t>
  </si>
  <si>
    <t>ЩО.1</t>
  </si>
  <si>
    <t>ЩО.2</t>
  </si>
  <si>
    <t>ЩО.3</t>
  </si>
  <si>
    <t>ЩАО.-1</t>
  </si>
  <si>
    <t>ЩАО.-2</t>
  </si>
  <si>
    <t>ЩАО.-3</t>
  </si>
  <si>
    <t>ЩР-1</t>
  </si>
  <si>
    <t>2ЩС</t>
  </si>
  <si>
    <t>816141</t>
  </si>
  <si>
    <t>Авт. выкл. NXB-125 3P 100A 10кА х-ка C (R)</t>
  </si>
  <si>
    <t>ЩР-3</t>
  </si>
  <si>
    <t>Терморегулятор devireg 316</t>
  </si>
  <si>
    <t>termoregulator</t>
  </si>
  <si>
    <t>ЩCC</t>
  </si>
  <si>
    <t>296790</t>
  </si>
  <si>
    <t>Авт. выкл. NXB-63S 2P 25А 4.5kA х-ка C (R)</t>
  </si>
  <si>
    <t>ЩCН-1</t>
  </si>
  <si>
    <t>ЩCН-2</t>
  </si>
  <si>
    <t>ЩУВ-1</t>
  </si>
  <si>
    <t>131373</t>
  </si>
  <si>
    <t>Авт. выкл. NXM-400S/3Р 400A 50кА (R)</t>
  </si>
  <si>
    <t>131371</t>
  </si>
  <si>
    <t>Авт. выкл. NXM-400S/3Р 315A 50кА (R)</t>
  </si>
  <si>
    <t>ЩУВ-2</t>
  </si>
  <si>
    <t>ЩУВ-3</t>
  </si>
  <si>
    <t>946996</t>
  </si>
  <si>
    <t>Независимый расцепитель SHT-M1 A1 L для NXM-125(63)/NXMLE-125 AC230V (левый) (R)</t>
  </si>
  <si>
    <t>ЩД</t>
  </si>
  <si>
    <t>837101</t>
  </si>
  <si>
    <t>Тепловое реле NXR-12 4-6A (R)</t>
  </si>
  <si>
    <t>257524</t>
  </si>
  <si>
    <t>Приставка доп.контакты AX-11/11 1НО+1НЗ (R)</t>
  </si>
  <si>
    <t>button</t>
  </si>
  <si>
    <t>574816</t>
  </si>
  <si>
    <t>Кнопка управления NP2-EA31 без подсветки зеленая 1НО IP40</t>
  </si>
  <si>
    <t>574817</t>
  </si>
  <si>
    <t>Кнопка управления NP2-EA42 без подсветки красная 1НЗ IP40</t>
  </si>
  <si>
    <t>667137</t>
  </si>
  <si>
    <t>Переключатель без подсветки NP8-11X/312, 3 положения с фиксацией, чёрная 1НО+1НЗ IP65 (R)</t>
  </si>
  <si>
    <t>285202</t>
  </si>
  <si>
    <t>Промежуточное реле JZX-22F(D) 3 конт. с инд. LED 5А 220В AC (R)</t>
  </si>
  <si>
    <t>285975</t>
  </si>
  <si>
    <t>Розетка CZY11A для JZX-22F(D) 3 контакта</t>
  </si>
  <si>
    <t>rele</t>
  </si>
  <si>
    <t>rozetka</t>
  </si>
  <si>
    <t>perekluchatel</t>
  </si>
  <si>
    <t>ЩУОВВ ЩМП-1-0 36 УХЛ3</t>
  </si>
  <si>
    <t>ЩИБП</t>
  </si>
  <si>
    <t>РП-2(ВРУ-1-47-00)</t>
  </si>
  <si>
    <t>713-15024</t>
  </si>
  <si>
    <t>ЩРВ- 72 (670x450x125) (TS)</t>
  </si>
  <si>
    <t>713-15010</t>
  </si>
  <si>
    <t>Pano met.ShRv-24b/o(320х405х120)S/A36IP31(TS)</t>
  </si>
  <si>
    <t>714-15007</t>
  </si>
  <si>
    <t>Щит мет.ЩРн-18 б/o (448х268х120)S/U 36 IP31 (TS)</t>
  </si>
  <si>
    <t>714-15040</t>
  </si>
  <si>
    <t>Мет. Корпус ЩРН- 48 (660x310x120) IP31  (TS)</t>
  </si>
  <si>
    <t>713-15060</t>
  </si>
  <si>
    <t>Щит ЩРв-54-3 540x440x120мм</t>
  </si>
  <si>
    <t>714-15015</t>
  </si>
  <si>
    <t>Pano met.ShRn-36 b/o (312х540х120)S/U 36 IP31 (TS)</t>
  </si>
  <si>
    <t>714-15065</t>
  </si>
  <si>
    <t>Мет. Корпус ЩРН-72 (660x440x120)</t>
  </si>
  <si>
    <t>719-15693</t>
  </si>
  <si>
    <t>DEA00022</t>
  </si>
  <si>
    <t>К73-28-1 0,47мкФ, 1000В/380В, 100А, Конденсатор
подавления ЭМП (проходной)\СКЗ</t>
  </si>
  <si>
    <t>NPL(MDL) 2000x600x450+100 мм IP31</t>
  </si>
  <si>
    <t>ampermetre</t>
  </si>
  <si>
    <t>voltmetre</t>
  </si>
  <si>
    <t>РП-1 (ВРУ1-47-00)</t>
  </si>
  <si>
    <t>714-15123</t>
  </si>
  <si>
    <t>Щит мет. ЩРн-2-2 PR (540x400x220) IP31 (TS)</t>
  </si>
  <si>
    <t>motor</t>
  </si>
  <si>
    <t>timer</t>
  </si>
  <si>
    <t>256054</t>
  </si>
  <si>
    <t>Контактор модульный NCH8-20/20 20A 2НО AC220/230В 50Гц (R)</t>
  </si>
  <si>
    <t>719-15902</t>
  </si>
  <si>
    <t>Met. Korpus ShMP-3 (650x500x150) IP31</t>
  </si>
  <si>
    <t>Независимый расцепитель CHINT SHT-M4 A2 R для NXM(LE)-630(400) AC400V (правый) (R)</t>
  </si>
  <si>
    <t>714-15125</t>
  </si>
  <si>
    <t>Щит мет. ЩРн-2-1 PR (540x400x150) IP31 (TS)</t>
  </si>
  <si>
    <t>130300985_</t>
  </si>
  <si>
    <t>Амперметр Э47 400/5А кл. точн. 1,5 72х72мм ИЭК</t>
  </si>
  <si>
    <t>dob contactor</t>
  </si>
  <si>
    <t>714-15010</t>
  </si>
  <si>
    <t>Pano met.ShRn-24 b/o (398х312х120)S/U 36 IP31 (TS)</t>
  </si>
  <si>
    <t>844299</t>
  </si>
  <si>
    <t>Авт. выкл. NXM-125S/3Р 25A 25кА (R)</t>
  </si>
  <si>
    <t>844300</t>
  </si>
  <si>
    <t>Авт. выкл. NXM-125S/3Р 32A 25кА (R)</t>
  </si>
  <si>
    <t>946922</t>
  </si>
  <si>
    <t>Моторный привод MD-M1 D3/A1 для NXM-125(63) DC220V/AC230V (R)</t>
  </si>
  <si>
    <t>finder</t>
  </si>
  <si>
    <t>285448</t>
  </si>
  <si>
    <t>Промежуточное реле JZX-22F(D) 4 конт. с инд. LED 3А 220В AC (R)</t>
  </si>
  <si>
    <t>finder yuva</t>
  </si>
  <si>
    <t>285976</t>
  </si>
  <si>
    <t>Розетка CZY14A для JZX-22F(D) 4 контакта</t>
  </si>
  <si>
    <t>270100155_</t>
  </si>
  <si>
    <t>Рубильник ВР-32-39  В31250-630А на 1 направление (+6камер) UNIT  (1/4)</t>
  </si>
  <si>
    <t>IA</t>
  </si>
  <si>
    <t>ДАЛА СА4У-Э720 R TX OP П RS1 Д W  (3x220/380V 5-7,5A)</t>
  </si>
  <si>
    <t>310024</t>
  </si>
  <si>
    <t>Таймер электронный NKG3 AC230В (R)</t>
  </si>
  <si>
    <t>130301016_</t>
  </si>
  <si>
    <t>Вольтметр Э47 500В кл. точн. 1,5 72х72 IEK (1/100)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</si>
</sst>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_-* #,##0.00_-;\-* #,##0.00_-;_-* \-??_-;_-@_-"/>
    <numFmt numFmtId="165" formatCode="_-* #,##0_-;\-* #,##0_-;_-* \-??_-;_-@_-"/>
    <numFmt numFmtId="166" formatCode="_-* #,##0.00\ _X_D_R_-;\-* #,##0.00\ _X_D_R_-;_-* \-??\ _X_D_R_-;_-@_-"/>
  </numFmts>
  <fonts count="13" x14ac:knownFonts="1">
    <font>
      <sz val="11"/>
      <color rgb="FF000000"/>
      <name val="Calibri"/>
      <family val="2"/>
      <charset val="1"/>
    </font>
    <font>
      <sz val="11"/>
      <color theme="1"/>
      <name val="Calibri"/>
      <family val="2"/>
      <charset val="204"/>
      <scheme val="minor"/>
    </font>
    <font>
      <sz val="11"/>
      <color theme="1"/>
      <name val="Calibri"/>
      <family val="2"/>
      <charset val="204"/>
      <scheme val="minor"/>
    </font>
    <font>
      <sz val="11"/>
      <color theme="1"/>
      <name val="Calibri"/>
      <family val="2"/>
      <charset val="204"/>
      <scheme val="minor"/>
    </font>
    <font>
      <sz val="11"/>
      <color rgb="FF000000"/>
      <name val="Calibri"/>
      <family val="2"/>
      <charset val="1"/>
    </font>
    <font>
      <sz val="11"/>
      <color theme="1"/>
      <name val="Calibri"/>
      <family val="2"/>
      <charset val="162"/>
      <scheme val="minor"/>
    </font>
    <font>
      <b/>
      <sz val="10"/>
      <color theme="1"/>
      <name val="Calibri"/>
      <family val="2"/>
    </font>
    <font>
      <b/>
      <sz val="10"/>
      <color theme="1"/>
      <name val="Calibri"/>
      <family val="2"/>
      <scheme val="minor"/>
    </font>
    <font>
      <b/>
      <sz val="9"/>
      <color theme="1"/>
      <name val="Calibri"/>
      <family val="2"/>
    </font>
    <font>
      <b/>
      <sz val="9"/>
      <color theme="1"/>
      <name val="Calibri"/>
      <family val="2"/>
      <scheme val="minor"/>
    </font>
    <font>
      <sz val="9"/>
      <name val="Calibri"/>
      <family val="2"/>
      <charset val="204"/>
      <scheme val="minor"/>
    </font>
    <font>
      <sz val="9"/>
      <name val="Tahoma"/>
      <family val="2"/>
      <charset val="204"/>
    </font>
    <font>
      <b/>
      <sz val="9"/>
      <name val="Calibri"/>
      <family val="2"/>
      <charset val="204"/>
    </font>
  </fonts>
  <fills count="8">
    <fill>
      <patternFill patternType="none"/>
    </fill>
    <fill>
      <patternFill patternType="gray125"/>
    </fill>
    <fill>
      <patternFill patternType="solid">
        <fgColor rgb="FFFFFF00"/>
        <bgColor rgb="FFFFFF00"/>
      </patternFill>
    </fill>
    <fill>
      <patternFill patternType="solid">
        <fgColor rgb="FFFFD966"/>
        <bgColor rgb="FFFFFF99"/>
      </patternFill>
    </fill>
    <fill>
      <patternFill patternType="solid">
        <fgColor theme="0"/>
        <bgColor rgb="FFFFFF99"/>
      </patternFill>
    </fill>
    <fill>
      <patternFill patternType="solid">
        <fgColor theme="0"/>
        <bgColor indexed="64"/>
      </patternFill>
    </fill>
    <fill>
      <patternFill patternType="solid">
        <fgColor theme="7" tint="0.39997558519241921"/>
        <bgColor rgb="FFFFFF99"/>
      </patternFill>
    </fill>
    <fill>
      <patternFill patternType="solid">
        <fgColor rgb="FFFFFF00"/>
        <bgColor indexed="64"/>
      </patternFill>
    </fill>
  </fills>
  <borders count="4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indexed="64"/>
      </bottom>
      <diagonal/>
    </border>
    <border>
      <left/>
      <right style="thin">
        <color auto="1"/>
      </right>
      <top style="thin">
        <color auto="1"/>
      </top>
      <bottom style="thin">
        <color indexed="64"/>
      </bottom>
      <diagonal/>
    </border>
  </borders>
  <cellStyleXfs count="7">
    <xf numFmtId="0" fontId="0" fillId="0" borderId="0"/>
    <xf numFmtId="164" fontId="4" fillId="0" borderId="0" applyBorder="0" applyProtection="0"/>
    <xf numFmtId="0" fontId="3" fillId="0" borderId="0"/>
    <xf numFmtId="0" fontId="2" fillId="0" borderId="0"/>
    <xf numFmtId="0" fontId="5" fillId="0" borderId="0"/>
    <xf numFmtId="0" fontId="1" fillId="0" borderId="0"/>
    <xf numFmtId="0" fontId="1" fillId="0" borderId="0"/>
  </cellStyleXfs>
  <cellXfs count="30">
    <xf numFmtId="0" fontId="0" fillId="0" borderId="0" xfId="0"/>
    <xf numFmtId="0" fontId="6" fillId="2" borderId="1" xfId="0" applyFont="1" applyFill="1" applyBorder="1" applyAlignment="1">
      <alignment horizontal="center" vertical="center" wrapText="1"/>
    </xf>
    <xf numFmtId="3" fontId="6" fillId="2" borderId="1" xfId="0" applyNumberFormat="1" applyFont="1" applyFill="1" applyBorder="1" applyAlignment="1">
      <alignment horizontal="center" vertical="center" wrapText="1"/>
    </xf>
    <xf numFmtId="165" fontId="6" fillId="2" borderId="1" xfId="1" applyNumberFormat="1" applyFont="1" applyFill="1" applyBorder="1" applyAlignment="1" applyProtection="1">
      <alignment horizontal="center" vertical="center" wrapText="1"/>
    </xf>
    <xf numFmtId="0" fontId="6" fillId="2" borderId="1" xfId="1" applyNumberFormat="1" applyFont="1" applyFill="1" applyBorder="1" applyAlignment="1" applyProtection="1">
      <alignment horizontal="center" vertical="center" wrapText="1"/>
    </xf>
    <xf numFmtId="0" fontId="6" fillId="3" borderId="1" xfId="0" applyFont="1" applyFill="1" applyBorder="1" applyAlignment="1">
      <alignment horizontal="center" vertical="center" wrapText="1"/>
    </xf>
    <xf numFmtId="0" fontId="6" fillId="6" borderId="1" xfId="0" applyFont="1" applyFill="1" applyBorder="1" applyAlignment="1">
      <alignment horizontal="center" vertical="center" wrapText="1"/>
    </xf>
    <xf numFmtId="3" fontId="6" fillId="6" borderId="1" xfId="1" applyNumberFormat="1" applyFont="1" applyFill="1" applyBorder="1" applyAlignment="1" applyProtection="1">
      <alignment horizontal="center" vertical="center" wrapText="1"/>
    </xf>
    <xf numFmtId="165" fontId="6" fillId="6" borderId="1" xfId="1" applyNumberFormat="1" applyFont="1" applyFill="1" applyBorder="1" applyAlignment="1" applyProtection="1">
      <alignment horizontal="center" vertical="center"/>
    </xf>
    <xf numFmtId="166" fontId="6" fillId="6" borderId="1" xfId="1" applyNumberFormat="1" applyFont="1" applyFill="1" applyBorder="1" applyAlignment="1" applyProtection="1">
      <alignment horizontal="center" vertical="center" wrapText="1"/>
    </xf>
    <xf numFmtId="0" fontId="6" fillId="6" borderId="1" xfId="1" applyNumberFormat="1" applyFont="1" applyFill="1" applyBorder="1" applyAlignment="1" applyProtection="1">
      <alignment horizontal="center" vertical="center"/>
    </xf>
    <xf numFmtId="165" fontId="6" fillId="6" borderId="1" xfId="1" applyNumberFormat="1" applyFont="1" applyFill="1" applyBorder="1" applyAlignment="1" applyProtection="1">
      <alignment horizontal="center" vertical="center" wrapText="1"/>
    </xf>
    <xf numFmtId="0" fontId="6" fillId="4" borderId="1" xfId="0" applyFont="1" applyFill="1" applyBorder="1" applyAlignment="1">
      <alignment horizontal="center" vertical="center" wrapText="1"/>
    </xf>
    <xf numFmtId="0" fontId="7" fillId="5" borderId="1" xfId="0" applyFont="1" applyFill="1" applyBorder="1" applyAlignment="1">
      <alignment horizontal="center" vertical="center" wrapText="1"/>
    </xf>
    <xf numFmtId="3" fontId="6" fillId="4" borderId="1" xfId="1" applyNumberFormat="1" applyFont="1" applyFill="1" applyBorder="1" applyAlignment="1" applyProtection="1">
      <alignment horizontal="center" vertical="center" wrapText="1"/>
    </xf>
    <xf numFmtId="165" fontId="6" fillId="4" borderId="1" xfId="1" applyNumberFormat="1" applyFont="1" applyFill="1" applyBorder="1" applyAlignment="1" applyProtection="1">
      <alignment horizontal="center" vertical="center"/>
    </xf>
    <xf numFmtId="0" fontId="6" fillId="4" borderId="1" xfId="1" applyNumberFormat="1" applyFont="1" applyFill="1" applyBorder="1" applyAlignment="1" applyProtection="1">
      <alignment horizontal="center" vertical="center"/>
    </xf>
    <xf numFmtId="165" fontId="6" fillId="4" borderId="1" xfId="1" applyNumberFormat="1" applyFont="1" applyFill="1" applyBorder="1" applyAlignment="1" applyProtection="1">
      <alignment horizontal="center" vertical="center" wrapText="1"/>
    </xf>
    <xf numFmtId="3" fontId="6" fillId="4" borderId="1" xfId="0" applyNumberFormat="1" applyFont="1" applyFill="1" applyBorder="1" applyAlignment="1">
      <alignment horizontal="center" vertical="center" wrapText="1"/>
    </xf>
    <xf numFmtId="0" fontId="8" fillId="4" borderId="1" xfId="0" applyFont="1" applyFill="1" applyBorder="1" applyAlignment="1">
      <alignment horizontal="center" vertical="center" wrapText="1"/>
    </xf>
    <xf numFmtId="0" fontId="9" fillId="5" borderId="1" xfId="0" applyFont="1" applyFill="1" applyBorder="1" applyAlignment="1">
      <alignment horizontal="center" vertical="center" wrapText="1"/>
    </xf>
    <xf numFmtId="1" fontId="10" fillId="0" borderId="1" xfId="0" quotePrefix="1" applyNumberFormat="1" applyFont="1" applyBorder="1" applyAlignment="1">
      <alignment horizontal="center" vertical="center"/>
    </xf>
    <xf numFmtId="165" fontId="12" fillId="4" borderId="1" xfId="1" applyNumberFormat="1" applyFont="1" applyFill="1" applyBorder="1" applyAlignment="1" applyProtection="1">
      <alignment horizontal="center" vertical="center" wrapText="1"/>
    </xf>
    <xf numFmtId="3" fontId="11" fillId="0" borderId="2" xfId="0" applyNumberFormat="1" applyFont="1" applyBorder="1" applyAlignment="1">
      <alignment horizontal="center" vertical="center" wrapText="1"/>
    </xf>
    <xf numFmtId="3" fontId="11" fillId="0" borderId="3" xfId="0" applyNumberFormat="1" applyFont="1" applyBorder="1" applyAlignment="1">
      <alignment horizontal="center" vertical="center" wrapText="1"/>
    </xf>
    <xf numFmtId="3" fontId="11" fillId="0" borderId="1" xfId="0" applyNumberFormat="1" applyFont="1" applyBorder="1" applyAlignment="1">
      <alignment horizontal="center" vertical="center" wrapText="1"/>
    </xf>
    <xf numFmtId="0" fontId="6" fillId="4" borderId="1" xfId="1" applyNumberFormat="1" applyFont="1" applyFill="1" applyBorder="1" applyAlignment="1" applyProtection="1">
      <alignment horizontal="center" vertical="center" wrapText="1"/>
    </xf>
    <xf numFmtId="3" fontId="7" fillId="5" borderId="1" xfId="0" applyNumberFormat="1" applyFont="1" applyFill="1" applyBorder="1" applyAlignment="1">
      <alignment horizontal="center" vertical="center" wrapText="1"/>
    </xf>
    <xf numFmtId="0" fontId="0" fillId="7" borderId="0" xfId="0" applyFill="1"/>
    <xf numFmtId="166" fontId="0" fillId="0" borderId="0" xfId="0" applyNumberFormat="1"/>
  </cellXfs>
  <cellStyles count="7">
    <cellStyle name="Normal" xfId="0" builtinId="0"/>
    <cellStyle name="Normal 2" xfId="4" xr:uid="{58983704-5E2B-4916-A376-1020AEBA7112}"/>
    <cellStyle name="Virgül" xfId="1" builtinId="3"/>
    <cellStyle name="Обычный 2" xfId="2" xr:uid="{9F91089A-2C01-471B-9845-EF702ED3C33C}"/>
    <cellStyle name="Обычный 2 2" xfId="3" xr:uid="{E01E0257-FF99-4AF9-B452-D8F88D301A3A}"/>
    <cellStyle name="Обычный 2 2 2" xfId="6" xr:uid="{F7C7FA61-46D9-4882-A799-DFAFF2386462}"/>
    <cellStyle name="Обычный 2 3" xfId="5" xr:uid="{CD09FCFD-EFD6-4824-A0CB-AF049C27D85C}"/>
  </cellStyles>
  <dxfs count="0"/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D966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2013 - 2022 Teması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E2C231C-0991-4FBE-BD8E-9CD4D9BF51D9}">
  <sheetPr filterMode="1"/>
  <dimension ref="A1:K223"/>
  <sheetViews>
    <sheetView zoomScale="85" zoomScaleNormal="85" workbookViewId="0">
      <pane ySplit="1" topLeftCell="A141" activePane="bottomLeft" state="frozen"/>
      <selection pane="bottomLeft" activeCell="C1" sqref="C1:K223"/>
    </sheetView>
  </sheetViews>
  <sheetFormatPr defaultRowHeight="21" customHeight="1" x14ac:dyDescent="0.25"/>
  <cols>
    <col min="1" max="1" width="36.42578125" customWidth="1"/>
    <col min="3" max="3" width="20.140625" customWidth="1"/>
    <col min="4" max="4" width="72.42578125" customWidth="1"/>
    <col min="5" max="6" width="10" bestFit="1" customWidth="1"/>
    <col min="7" max="7" width="15.7109375" bestFit="1" customWidth="1"/>
    <col min="8" max="8" width="9.28515625" bestFit="1" customWidth="1"/>
  </cols>
  <sheetData>
    <row r="1" spans="1:11" ht="39.75" customHeight="1" x14ac:dyDescent="0.25">
      <c r="A1" s="1" t="s">
        <v>2</v>
      </c>
      <c r="B1" s="1" t="s">
        <v>0</v>
      </c>
      <c r="C1" s="2" t="s">
        <v>1</v>
      </c>
      <c r="D1" s="1" t="s">
        <v>14</v>
      </c>
      <c r="E1" s="1" t="s">
        <v>3</v>
      </c>
      <c r="F1" s="1" t="s">
        <v>3</v>
      </c>
      <c r="G1" s="3" t="s">
        <v>6</v>
      </c>
      <c r="H1" s="4" t="s">
        <v>15</v>
      </c>
      <c r="I1" s="4" t="s">
        <v>4</v>
      </c>
      <c r="J1" s="4" t="s">
        <v>5</v>
      </c>
      <c r="K1" t="s">
        <v>6</v>
      </c>
    </row>
    <row r="2" spans="1:11" ht="39.75" customHeight="1" x14ac:dyDescent="0.25">
      <c r="A2" s="5" t="str">
        <f>D2</f>
        <v>ВП-1</v>
      </c>
      <c r="B2" s="6"/>
      <c r="C2" s="7"/>
      <c r="D2" s="6" t="s">
        <v>69</v>
      </c>
      <c r="E2" s="8"/>
      <c r="F2" s="8"/>
      <c r="G2" s="9"/>
      <c r="H2" s="10">
        <v>1</v>
      </c>
      <c r="I2" s="11" t="s">
        <v>7</v>
      </c>
      <c r="J2" s="6" t="s">
        <v>9</v>
      </c>
      <c r="K2" s="28"/>
    </row>
    <row r="3" spans="1:11" ht="21" hidden="1" customHeight="1" x14ac:dyDescent="0.25">
      <c r="A3" s="12" t="str">
        <f>A2</f>
        <v>ВП-1</v>
      </c>
      <c r="B3" s="13" t="s">
        <v>8</v>
      </c>
      <c r="C3" s="14" t="s">
        <v>145</v>
      </c>
      <c r="D3" s="12" t="s">
        <v>148</v>
      </c>
      <c r="E3" s="13">
        <v>155000</v>
      </c>
      <c r="F3" s="15">
        <f>E3*0.6</f>
        <v>93000</v>
      </c>
      <c r="G3" s="15">
        <f>H3*F3</f>
        <v>93000</v>
      </c>
      <c r="H3" s="16">
        <v>1</v>
      </c>
      <c r="I3" s="17" t="s">
        <v>13</v>
      </c>
      <c r="J3" s="13" t="s">
        <v>16</v>
      </c>
      <c r="K3">
        <v>93000</v>
      </c>
    </row>
    <row r="4" spans="1:11" ht="21" hidden="1" customHeight="1" x14ac:dyDescent="0.25">
      <c r="A4" s="12" t="str">
        <f t="shared" ref="A4:A15" si="0">A3</f>
        <v>ВП-1</v>
      </c>
      <c r="B4" s="13" t="s">
        <v>29</v>
      </c>
      <c r="C4" s="14" t="s">
        <v>70</v>
      </c>
      <c r="D4" s="12" t="s">
        <v>71</v>
      </c>
      <c r="E4" s="13">
        <v>6500</v>
      </c>
      <c r="F4" s="15">
        <f>E4</f>
        <v>6500</v>
      </c>
      <c r="G4" s="15">
        <f>F4*H4</f>
        <v>39000</v>
      </c>
      <c r="H4" s="16">
        <v>6</v>
      </c>
      <c r="I4" s="17" t="s">
        <v>13</v>
      </c>
      <c r="J4" s="13" t="s">
        <v>28</v>
      </c>
      <c r="K4">
        <v>39000</v>
      </c>
    </row>
    <row r="5" spans="1:11" ht="21" hidden="1" customHeight="1" x14ac:dyDescent="0.25">
      <c r="A5" s="12" t="str">
        <f t="shared" si="0"/>
        <v>ВП-1</v>
      </c>
      <c r="B5" s="13" t="s">
        <v>149</v>
      </c>
      <c r="C5" s="14" t="s">
        <v>163</v>
      </c>
      <c r="D5" s="13" t="s">
        <v>164</v>
      </c>
      <c r="E5" s="13">
        <v>4806</v>
      </c>
      <c r="F5" s="15">
        <f t="shared" ref="F5:F6" si="1">E5</f>
        <v>4806</v>
      </c>
      <c r="G5" s="15">
        <f t="shared" ref="G5:G6" si="2">F5*H5</f>
        <v>14418</v>
      </c>
      <c r="H5" s="16">
        <v>3</v>
      </c>
      <c r="I5" s="17" t="s">
        <v>13</v>
      </c>
      <c r="J5" s="13" t="s">
        <v>28</v>
      </c>
      <c r="K5">
        <v>14418</v>
      </c>
    </row>
    <row r="6" spans="1:11" ht="21" hidden="1" customHeight="1" x14ac:dyDescent="0.25">
      <c r="A6" s="12" t="str">
        <f t="shared" si="0"/>
        <v>ВП-1</v>
      </c>
      <c r="B6" s="13" t="s">
        <v>150</v>
      </c>
      <c r="C6" s="14" t="s">
        <v>186</v>
      </c>
      <c r="D6" s="13" t="s">
        <v>187</v>
      </c>
      <c r="E6" s="13">
        <v>4806</v>
      </c>
      <c r="F6" s="15">
        <f t="shared" si="1"/>
        <v>4806</v>
      </c>
      <c r="G6" s="15">
        <f t="shared" si="2"/>
        <v>4806</v>
      </c>
      <c r="H6" s="16">
        <v>1</v>
      </c>
      <c r="I6" s="17" t="s">
        <v>13</v>
      </c>
      <c r="J6" s="13" t="s">
        <v>28</v>
      </c>
      <c r="K6">
        <v>4806</v>
      </c>
    </row>
    <row r="7" spans="1:11" ht="21" hidden="1" customHeight="1" x14ac:dyDescent="0.25">
      <c r="A7" s="12" t="str">
        <f>A4</f>
        <v>ВП-1</v>
      </c>
      <c r="B7" s="13" t="s">
        <v>37</v>
      </c>
      <c r="C7" s="14" t="s">
        <v>180</v>
      </c>
      <c r="D7" s="12" t="s">
        <v>181</v>
      </c>
      <c r="E7" s="13">
        <v>29047</v>
      </c>
      <c r="F7" s="15">
        <f t="shared" ref="F7:F9" si="3">E7*0.6</f>
        <v>17428.2</v>
      </c>
      <c r="G7" s="15">
        <f t="shared" ref="G7:G8" si="4">F7*H7</f>
        <v>17428.2</v>
      </c>
      <c r="H7" s="16">
        <v>1</v>
      </c>
      <c r="I7" s="17" t="s">
        <v>13</v>
      </c>
      <c r="J7" s="13" t="s">
        <v>17</v>
      </c>
      <c r="K7">
        <v>17428.2</v>
      </c>
    </row>
    <row r="8" spans="1:11" ht="21" hidden="1" customHeight="1" x14ac:dyDescent="0.25">
      <c r="A8" s="12" t="str">
        <f t="shared" si="0"/>
        <v>ВП-1</v>
      </c>
      <c r="B8" s="13" t="s">
        <v>43</v>
      </c>
      <c r="C8" s="14" t="s">
        <v>72</v>
      </c>
      <c r="D8" s="12" t="s">
        <v>73</v>
      </c>
      <c r="E8" s="13">
        <v>107419</v>
      </c>
      <c r="F8" s="15">
        <f t="shared" si="3"/>
        <v>64451.399999999994</v>
      </c>
      <c r="G8" s="15">
        <f t="shared" si="4"/>
        <v>64451.399999999994</v>
      </c>
      <c r="H8" s="16">
        <v>1</v>
      </c>
      <c r="I8" s="17" t="s">
        <v>13</v>
      </c>
      <c r="J8" s="13" t="s">
        <v>17</v>
      </c>
      <c r="K8">
        <v>64451.399999999994</v>
      </c>
    </row>
    <row r="9" spans="1:11" ht="21" hidden="1" customHeight="1" x14ac:dyDescent="0.25">
      <c r="A9" s="12" t="str">
        <f t="shared" si="0"/>
        <v>ВП-1</v>
      </c>
      <c r="B9" s="13" t="s">
        <v>12</v>
      </c>
      <c r="C9" s="14" t="s">
        <v>19</v>
      </c>
      <c r="D9" s="12" t="s">
        <v>20</v>
      </c>
      <c r="E9" s="13">
        <v>783</v>
      </c>
      <c r="F9" s="15">
        <f t="shared" si="3"/>
        <v>469.79999999999995</v>
      </c>
      <c r="G9" s="15">
        <f>F9*H9</f>
        <v>469.79999999999995</v>
      </c>
      <c r="H9" s="16">
        <v>1</v>
      </c>
      <c r="I9" s="17" t="s">
        <v>13</v>
      </c>
      <c r="J9" s="13" t="s">
        <v>17</v>
      </c>
      <c r="K9">
        <v>469.79999999999995</v>
      </c>
    </row>
    <row r="10" spans="1:11" ht="22.5" hidden="1" customHeight="1" x14ac:dyDescent="0.25">
      <c r="A10" s="12" t="str">
        <f t="shared" si="0"/>
        <v>ВП-1</v>
      </c>
      <c r="B10" s="13" t="s">
        <v>18</v>
      </c>
      <c r="C10" s="14" t="s">
        <v>182</v>
      </c>
      <c r="D10" s="12" t="s">
        <v>183</v>
      </c>
      <c r="E10" s="13">
        <v>90500</v>
      </c>
      <c r="F10" s="15">
        <f t="shared" ref="F10:F12" si="5">E10</f>
        <v>90500</v>
      </c>
      <c r="G10" s="15">
        <f t="shared" ref="G10:G13" si="6">F10*H10</f>
        <v>90500</v>
      </c>
      <c r="H10" s="16">
        <v>1</v>
      </c>
      <c r="I10" s="17" t="s">
        <v>13</v>
      </c>
      <c r="J10" s="13" t="s">
        <v>28</v>
      </c>
      <c r="K10">
        <v>90500</v>
      </c>
    </row>
    <row r="11" spans="1:11" ht="21" hidden="1" customHeight="1" x14ac:dyDescent="0.25">
      <c r="A11" s="12" t="str">
        <f t="shared" si="0"/>
        <v>ВП-1</v>
      </c>
      <c r="B11" s="13" t="s">
        <v>38</v>
      </c>
      <c r="C11" s="14" t="s">
        <v>146</v>
      </c>
      <c r="D11" s="12" t="s">
        <v>147</v>
      </c>
      <c r="E11" s="13">
        <v>4700</v>
      </c>
      <c r="F11" s="15">
        <f t="shared" si="5"/>
        <v>4700</v>
      </c>
      <c r="G11" s="15">
        <f t="shared" si="6"/>
        <v>14100</v>
      </c>
      <c r="H11" s="16">
        <v>3</v>
      </c>
      <c r="I11" s="17" t="s">
        <v>13</v>
      </c>
      <c r="J11" s="13" t="s">
        <v>28</v>
      </c>
      <c r="K11">
        <v>14100</v>
      </c>
    </row>
    <row r="12" spans="1:11" ht="21" hidden="1" customHeight="1" x14ac:dyDescent="0.25">
      <c r="A12" s="12" t="str">
        <f t="shared" si="0"/>
        <v>ВП-1</v>
      </c>
      <c r="B12" s="13" t="s">
        <v>36</v>
      </c>
      <c r="C12" s="14"/>
      <c r="D12" s="12" t="s">
        <v>36</v>
      </c>
      <c r="E12" s="13">
        <v>1000</v>
      </c>
      <c r="F12" s="15">
        <f t="shared" si="5"/>
        <v>1000</v>
      </c>
      <c r="G12" s="15">
        <f t="shared" si="6"/>
        <v>1000</v>
      </c>
      <c r="H12" s="16">
        <v>1</v>
      </c>
      <c r="I12" s="17" t="s">
        <v>13</v>
      </c>
      <c r="J12" s="13" t="s">
        <v>28</v>
      </c>
      <c r="K12">
        <v>1000</v>
      </c>
    </row>
    <row r="13" spans="1:11" ht="24" hidden="1" customHeight="1" x14ac:dyDescent="0.25">
      <c r="A13" s="12" t="str">
        <f t="shared" si="0"/>
        <v>ВП-1</v>
      </c>
      <c r="B13" s="12" t="s">
        <v>10</v>
      </c>
      <c r="C13" s="18" t="s">
        <v>10</v>
      </c>
      <c r="D13" s="12" t="s">
        <v>10</v>
      </c>
      <c r="E13" s="12">
        <f ca="1">OFFSET(E13,1,2)</f>
        <v>54000</v>
      </c>
      <c r="F13" s="15">
        <f ca="1">E13</f>
        <v>54000</v>
      </c>
      <c r="G13" s="15">
        <f t="shared" ca="1" si="6"/>
        <v>54000</v>
      </c>
      <c r="H13" s="12">
        <v>1</v>
      </c>
      <c r="I13" s="12" t="s">
        <v>13</v>
      </c>
      <c r="J13" s="12" t="s">
        <v>10</v>
      </c>
      <c r="K13">
        <v>54000</v>
      </c>
    </row>
    <row r="14" spans="1:11" ht="21" hidden="1" customHeight="1" x14ac:dyDescent="0.25">
      <c r="A14" s="12" t="str">
        <f t="shared" si="0"/>
        <v>ВП-1</v>
      </c>
      <c r="B14" s="12" t="s">
        <v>11</v>
      </c>
      <c r="C14" s="18" t="s">
        <v>11</v>
      </c>
      <c r="D14" s="12" t="s">
        <v>11</v>
      </c>
      <c r="E14" s="12">
        <v>9</v>
      </c>
      <c r="F14" s="15">
        <v>100</v>
      </c>
      <c r="G14" s="15">
        <f>60*E14*F14</f>
        <v>54000</v>
      </c>
      <c r="H14" s="12">
        <f>60*E14</f>
        <v>540</v>
      </c>
      <c r="I14" s="12" t="s">
        <v>13</v>
      </c>
      <c r="J14" s="12" t="s">
        <v>11</v>
      </c>
      <c r="K14">
        <v>54000</v>
      </c>
    </row>
    <row r="15" spans="1:11" ht="30" customHeight="1" x14ac:dyDescent="0.25">
      <c r="A15" s="12" t="str">
        <f t="shared" si="0"/>
        <v>ВП-1</v>
      </c>
      <c r="B15" s="19"/>
      <c r="C15" s="20"/>
      <c r="D15" s="21"/>
      <c r="E15" s="23"/>
      <c r="F15" s="25"/>
      <c r="G15" s="24">
        <f ca="1">SUM(G3:G14)</f>
        <v>447173.4</v>
      </c>
      <c r="H15" s="20"/>
      <c r="I15" s="22"/>
      <c r="J15" s="20"/>
      <c r="K15">
        <v>447173.4</v>
      </c>
    </row>
    <row r="16" spans="1:11" ht="39.75" customHeight="1" x14ac:dyDescent="0.25">
      <c r="A16" s="5" t="str">
        <f>D16</f>
        <v>РП-1 (ВРУ1-47-00)</v>
      </c>
      <c r="B16" s="6"/>
      <c r="C16" s="7"/>
      <c r="D16" s="6" t="s">
        <v>151</v>
      </c>
      <c r="E16" s="8"/>
      <c r="F16" s="8"/>
      <c r="G16" s="9"/>
      <c r="H16" s="10">
        <v>1</v>
      </c>
      <c r="I16" s="11" t="s">
        <v>7</v>
      </c>
      <c r="J16" s="6" t="s">
        <v>9</v>
      </c>
    </row>
    <row r="17" spans="1:11" ht="21" hidden="1" customHeight="1" x14ac:dyDescent="0.25">
      <c r="A17" s="12" t="str">
        <f>A16</f>
        <v>РП-1 (ВРУ1-47-00)</v>
      </c>
      <c r="B17" s="13" t="s">
        <v>8</v>
      </c>
      <c r="C17" s="14" t="s">
        <v>145</v>
      </c>
      <c r="D17" s="12" t="s">
        <v>148</v>
      </c>
      <c r="E17" s="13">
        <v>155000</v>
      </c>
      <c r="F17" s="15">
        <f>E17*0.6</f>
        <v>93000</v>
      </c>
      <c r="G17" s="15">
        <f>H17*F17</f>
        <v>93000</v>
      </c>
      <c r="H17" s="16">
        <v>1</v>
      </c>
      <c r="I17" s="17" t="s">
        <v>13</v>
      </c>
      <c r="J17" s="13" t="s">
        <v>16</v>
      </c>
      <c r="K17">
        <v>93000</v>
      </c>
    </row>
    <row r="18" spans="1:11" ht="21" hidden="1" customHeight="1" x14ac:dyDescent="0.25">
      <c r="A18" s="12" t="str">
        <f t="shared" ref="A18:A24" si="7">A17</f>
        <v>РП-1 (ВРУ1-47-00)</v>
      </c>
      <c r="B18" s="13" t="s">
        <v>43</v>
      </c>
      <c r="C18" s="14" t="s">
        <v>74</v>
      </c>
      <c r="D18" s="12" t="s">
        <v>75</v>
      </c>
      <c r="E18" s="13">
        <v>102897</v>
      </c>
      <c r="F18" s="15">
        <f>E18*0.6</f>
        <v>61738.2</v>
      </c>
      <c r="G18" s="15">
        <f>F18*H18</f>
        <v>61738.2</v>
      </c>
      <c r="H18" s="16">
        <v>1</v>
      </c>
      <c r="I18" s="17" t="s">
        <v>13</v>
      </c>
      <c r="J18" s="13" t="s">
        <v>17</v>
      </c>
      <c r="K18">
        <v>61738.2</v>
      </c>
    </row>
    <row r="19" spans="1:11" ht="21" hidden="1" customHeight="1" x14ac:dyDescent="0.25">
      <c r="A19" s="12" t="str">
        <f t="shared" si="7"/>
        <v>РП-1 (ВРУ1-47-00)</v>
      </c>
      <c r="B19" s="13" t="s">
        <v>43</v>
      </c>
      <c r="C19" s="14" t="s">
        <v>39</v>
      </c>
      <c r="D19" s="12" t="s">
        <v>40</v>
      </c>
      <c r="E19" s="13">
        <v>19760</v>
      </c>
      <c r="F19" s="15">
        <f>E19*0.6</f>
        <v>11856</v>
      </c>
      <c r="G19" s="15">
        <f t="shared" ref="G19:G20" si="8">F19*H19</f>
        <v>11856</v>
      </c>
      <c r="H19" s="16">
        <v>1</v>
      </c>
      <c r="I19" s="17" t="s">
        <v>13</v>
      </c>
      <c r="J19" s="13" t="s">
        <v>17</v>
      </c>
      <c r="K19">
        <v>11856</v>
      </c>
    </row>
    <row r="20" spans="1:11" ht="21" hidden="1" customHeight="1" x14ac:dyDescent="0.25">
      <c r="A20" s="12" t="str">
        <f t="shared" si="7"/>
        <v>РП-1 (ВРУ1-47-00)</v>
      </c>
      <c r="B20" s="13" t="s">
        <v>43</v>
      </c>
      <c r="C20" s="14" t="s">
        <v>34</v>
      </c>
      <c r="D20" s="12" t="s">
        <v>35</v>
      </c>
      <c r="E20" s="13">
        <v>18263</v>
      </c>
      <c r="F20" s="15">
        <f t="shared" ref="F20:F21" si="9">E20*0.6</f>
        <v>10957.8</v>
      </c>
      <c r="G20" s="15">
        <f t="shared" si="8"/>
        <v>32873.399999999994</v>
      </c>
      <c r="H20" s="16">
        <v>3</v>
      </c>
      <c r="I20" s="17" t="s">
        <v>13</v>
      </c>
      <c r="J20" s="13" t="s">
        <v>17</v>
      </c>
      <c r="K20">
        <v>32873.399999999994</v>
      </c>
    </row>
    <row r="21" spans="1:11" ht="21" hidden="1" customHeight="1" x14ac:dyDescent="0.25">
      <c r="A21" s="12" t="str">
        <f t="shared" si="7"/>
        <v>РП-1 (ВРУ1-47-00)</v>
      </c>
      <c r="B21" s="13" t="s">
        <v>43</v>
      </c>
      <c r="C21" s="14" t="s">
        <v>170</v>
      </c>
      <c r="D21" s="12" t="s">
        <v>171</v>
      </c>
      <c r="E21" s="13">
        <v>19700</v>
      </c>
      <c r="F21" s="15">
        <f t="shared" si="9"/>
        <v>11820</v>
      </c>
      <c r="G21" s="15">
        <f>F21*H21</f>
        <v>35460</v>
      </c>
      <c r="H21" s="16">
        <v>3</v>
      </c>
      <c r="I21" s="17" t="s">
        <v>13</v>
      </c>
      <c r="J21" s="13" t="s">
        <v>17</v>
      </c>
      <c r="K21">
        <v>35460</v>
      </c>
    </row>
    <row r="22" spans="1:11" ht="24" hidden="1" customHeight="1" x14ac:dyDescent="0.25">
      <c r="A22" s="12" t="str">
        <f t="shared" si="7"/>
        <v>РП-1 (ВРУ1-47-00)</v>
      </c>
      <c r="B22" s="12" t="s">
        <v>10</v>
      </c>
      <c r="C22" s="18" t="s">
        <v>10</v>
      </c>
      <c r="D22" s="12" t="s">
        <v>10</v>
      </c>
      <c r="E22" s="12">
        <f ca="1">OFFSET(E22,1,2)</f>
        <v>42000</v>
      </c>
      <c r="F22" s="15">
        <f ca="1">E22</f>
        <v>42000</v>
      </c>
      <c r="G22" s="15">
        <f t="shared" ref="G22" ca="1" si="10">F22*H22</f>
        <v>42000</v>
      </c>
      <c r="H22" s="12">
        <v>1</v>
      </c>
      <c r="I22" s="12" t="s">
        <v>13</v>
      </c>
      <c r="J22" s="12" t="s">
        <v>10</v>
      </c>
      <c r="K22">
        <v>42000</v>
      </c>
    </row>
    <row r="23" spans="1:11" ht="21" hidden="1" customHeight="1" x14ac:dyDescent="0.25">
      <c r="A23" s="12" t="str">
        <f t="shared" si="7"/>
        <v>РП-1 (ВРУ1-47-00)</v>
      </c>
      <c r="B23" s="12" t="s">
        <v>11</v>
      </c>
      <c r="C23" s="18" t="s">
        <v>11</v>
      </c>
      <c r="D23" s="12" t="s">
        <v>11</v>
      </c>
      <c r="E23" s="12">
        <v>7</v>
      </c>
      <c r="F23" s="15">
        <v>100</v>
      </c>
      <c r="G23" s="15">
        <f>60*E23*F23</f>
        <v>42000</v>
      </c>
      <c r="H23" s="12">
        <f>60*E23</f>
        <v>420</v>
      </c>
      <c r="I23" s="12" t="s">
        <v>13</v>
      </c>
      <c r="J23" s="12" t="s">
        <v>11</v>
      </c>
      <c r="K23">
        <v>42000</v>
      </c>
    </row>
    <row r="24" spans="1:11" ht="30" customHeight="1" x14ac:dyDescent="0.25">
      <c r="A24" s="12" t="str">
        <f t="shared" si="7"/>
        <v>РП-1 (ВРУ1-47-00)</v>
      </c>
      <c r="B24" s="19"/>
      <c r="C24" s="20"/>
      <c r="D24" s="21"/>
      <c r="E24" s="23"/>
      <c r="F24" s="25"/>
      <c r="G24" s="24">
        <f ca="1">SUM(G17:G23)</f>
        <v>318927.59999999998</v>
      </c>
      <c r="H24" s="20"/>
      <c r="I24" s="22"/>
      <c r="J24" s="20"/>
      <c r="K24">
        <v>318927.59999999998</v>
      </c>
    </row>
    <row r="25" spans="1:11" ht="39.75" customHeight="1" x14ac:dyDescent="0.25">
      <c r="A25" s="5" t="str">
        <f>D25</f>
        <v>ВП-2</v>
      </c>
      <c r="B25" s="6"/>
      <c r="C25" s="7"/>
      <c r="D25" s="6" t="s">
        <v>76</v>
      </c>
      <c r="E25" s="8"/>
      <c r="F25" s="8"/>
      <c r="G25" s="9"/>
      <c r="H25" s="10">
        <v>1</v>
      </c>
      <c r="I25" s="11" t="s">
        <v>7</v>
      </c>
      <c r="J25" s="6" t="s">
        <v>9</v>
      </c>
    </row>
    <row r="26" spans="1:11" ht="21" hidden="1" customHeight="1" x14ac:dyDescent="0.25">
      <c r="A26" s="12" t="str">
        <f>A25</f>
        <v>ВП-2</v>
      </c>
      <c r="B26" s="13" t="s">
        <v>8</v>
      </c>
      <c r="C26" s="14" t="s">
        <v>145</v>
      </c>
      <c r="D26" s="12" t="s">
        <v>148</v>
      </c>
      <c r="E26" s="13">
        <v>155000</v>
      </c>
      <c r="F26" s="15">
        <f>E26*0.6</f>
        <v>93000</v>
      </c>
      <c r="G26" s="15">
        <f>H26*F26</f>
        <v>93000</v>
      </c>
      <c r="H26" s="16">
        <v>1</v>
      </c>
      <c r="I26" s="17" t="s">
        <v>13</v>
      </c>
      <c r="J26" s="13" t="s">
        <v>16</v>
      </c>
      <c r="K26">
        <v>93000</v>
      </c>
    </row>
    <row r="27" spans="1:11" ht="22.5" hidden="1" customHeight="1" x14ac:dyDescent="0.25">
      <c r="A27" s="12" t="str">
        <f t="shared" ref="A27:A38" si="11">A26</f>
        <v>ВП-2</v>
      </c>
      <c r="B27" s="13" t="s">
        <v>29</v>
      </c>
      <c r="C27" s="14" t="s">
        <v>70</v>
      </c>
      <c r="D27" s="12" t="s">
        <v>71</v>
      </c>
      <c r="E27" s="13">
        <v>6500</v>
      </c>
      <c r="F27" s="15">
        <f>E27</f>
        <v>6500</v>
      </c>
      <c r="G27" s="15">
        <f>F27*H27</f>
        <v>39000</v>
      </c>
      <c r="H27" s="16">
        <v>6</v>
      </c>
      <c r="I27" s="17" t="s">
        <v>13</v>
      </c>
      <c r="J27" s="13" t="s">
        <v>28</v>
      </c>
      <c r="K27">
        <v>39000</v>
      </c>
    </row>
    <row r="28" spans="1:11" ht="21" hidden="1" customHeight="1" x14ac:dyDescent="0.25">
      <c r="A28" s="12" t="str">
        <f t="shared" si="11"/>
        <v>ВП-2</v>
      </c>
      <c r="B28" s="13" t="s">
        <v>149</v>
      </c>
      <c r="C28" s="14" t="s">
        <v>163</v>
      </c>
      <c r="D28" s="13" t="s">
        <v>164</v>
      </c>
      <c r="E28" s="13">
        <v>4806</v>
      </c>
      <c r="F28" s="15">
        <f t="shared" ref="F28:F29" si="12">E28</f>
        <v>4806</v>
      </c>
      <c r="G28" s="15">
        <f t="shared" ref="G28:G29" si="13">F28*H28</f>
        <v>14418</v>
      </c>
      <c r="H28" s="16">
        <v>3</v>
      </c>
      <c r="I28" s="17" t="s">
        <v>13</v>
      </c>
      <c r="J28" s="13" t="s">
        <v>28</v>
      </c>
      <c r="K28">
        <v>14418</v>
      </c>
    </row>
    <row r="29" spans="1:11" ht="21" hidden="1" customHeight="1" x14ac:dyDescent="0.25">
      <c r="A29" s="12" t="str">
        <f t="shared" si="11"/>
        <v>ВП-2</v>
      </c>
      <c r="B29" s="13" t="s">
        <v>150</v>
      </c>
      <c r="C29" s="14" t="s">
        <v>186</v>
      </c>
      <c r="D29" s="13" t="s">
        <v>187</v>
      </c>
      <c r="E29" s="13">
        <v>4806</v>
      </c>
      <c r="F29" s="15">
        <f t="shared" si="12"/>
        <v>4806</v>
      </c>
      <c r="G29" s="15">
        <f t="shared" si="13"/>
        <v>4806</v>
      </c>
      <c r="H29" s="16">
        <v>1</v>
      </c>
      <c r="I29" s="17" t="s">
        <v>13</v>
      </c>
      <c r="J29" s="13" t="s">
        <v>28</v>
      </c>
      <c r="K29">
        <v>4806</v>
      </c>
    </row>
    <row r="30" spans="1:11" ht="21" hidden="1" customHeight="1" x14ac:dyDescent="0.25">
      <c r="A30" s="12" t="str">
        <f>A27</f>
        <v>ВП-2</v>
      </c>
      <c r="B30" s="13" t="s">
        <v>37</v>
      </c>
      <c r="C30" s="14" t="s">
        <v>180</v>
      </c>
      <c r="D30" s="12" t="s">
        <v>181</v>
      </c>
      <c r="E30" s="13">
        <v>29047</v>
      </c>
      <c r="F30" s="15">
        <f t="shared" ref="F30:F32" si="14">E30*0.6</f>
        <v>17428.2</v>
      </c>
      <c r="G30" s="15">
        <f t="shared" ref="G30" si="15">F30*H30</f>
        <v>17428.2</v>
      </c>
      <c r="H30" s="16">
        <v>1</v>
      </c>
      <c r="I30" s="17" t="s">
        <v>13</v>
      </c>
      <c r="J30" s="13" t="s">
        <v>17</v>
      </c>
      <c r="K30">
        <v>17428.2</v>
      </c>
    </row>
    <row r="31" spans="1:11" ht="21" hidden="1" customHeight="1" x14ac:dyDescent="0.25">
      <c r="A31" s="12" t="str">
        <f t="shared" si="11"/>
        <v>ВП-2</v>
      </c>
      <c r="B31" s="13" t="s">
        <v>43</v>
      </c>
      <c r="C31" s="14" t="s">
        <v>72</v>
      </c>
      <c r="D31" s="12" t="s">
        <v>73</v>
      </c>
      <c r="E31" s="13">
        <v>107419</v>
      </c>
      <c r="F31" s="15">
        <f t="shared" si="14"/>
        <v>64451.399999999994</v>
      </c>
      <c r="G31" s="15">
        <f t="shared" ref="G31" si="16">F31*H31</f>
        <v>64451.399999999994</v>
      </c>
      <c r="H31" s="16">
        <v>1</v>
      </c>
      <c r="I31" s="17" t="s">
        <v>13</v>
      </c>
      <c r="J31" s="13" t="s">
        <v>17</v>
      </c>
      <c r="K31">
        <v>64451.399999999994</v>
      </c>
    </row>
    <row r="32" spans="1:11" ht="21" hidden="1" customHeight="1" x14ac:dyDescent="0.25">
      <c r="A32" s="12" t="str">
        <f t="shared" si="11"/>
        <v>ВП-2</v>
      </c>
      <c r="B32" s="13" t="s">
        <v>12</v>
      </c>
      <c r="C32" s="14" t="s">
        <v>19</v>
      </c>
      <c r="D32" s="12" t="s">
        <v>20</v>
      </c>
      <c r="E32" s="13">
        <v>783</v>
      </c>
      <c r="F32" s="15">
        <f t="shared" si="14"/>
        <v>469.79999999999995</v>
      </c>
      <c r="G32" s="15">
        <f>F32*H32</f>
        <v>469.79999999999995</v>
      </c>
      <c r="H32" s="16">
        <v>1</v>
      </c>
      <c r="I32" s="17" t="s">
        <v>13</v>
      </c>
      <c r="J32" s="13" t="s">
        <v>17</v>
      </c>
      <c r="K32">
        <v>469.79999999999995</v>
      </c>
    </row>
    <row r="33" spans="1:11" ht="22.5" hidden="1" customHeight="1" x14ac:dyDescent="0.25">
      <c r="A33" s="12" t="str">
        <f t="shared" si="11"/>
        <v>ВП-2</v>
      </c>
      <c r="B33" s="13" t="s">
        <v>18</v>
      </c>
      <c r="C33" s="14" t="s">
        <v>182</v>
      </c>
      <c r="D33" s="12" t="s">
        <v>183</v>
      </c>
      <c r="E33" s="13">
        <v>90500</v>
      </c>
      <c r="F33" s="15">
        <f t="shared" ref="F33:F35" si="17">E33</f>
        <v>90500</v>
      </c>
      <c r="G33" s="15">
        <f t="shared" ref="G33:G36" si="18">F33*H33</f>
        <v>90500</v>
      </c>
      <c r="H33" s="16">
        <v>1</v>
      </c>
      <c r="I33" s="17" t="s">
        <v>13</v>
      </c>
      <c r="J33" s="13" t="s">
        <v>28</v>
      </c>
      <c r="K33">
        <v>90500</v>
      </c>
    </row>
    <row r="34" spans="1:11" ht="21" hidden="1" customHeight="1" x14ac:dyDescent="0.25">
      <c r="A34" s="12" t="str">
        <f t="shared" si="11"/>
        <v>ВП-2</v>
      </c>
      <c r="B34" s="13" t="s">
        <v>38</v>
      </c>
      <c r="C34" s="14" t="s">
        <v>146</v>
      </c>
      <c r="D34" s="12" t="s">
        <v>147</v>
      </c>
      <c r="E34" s="13">
        <v>4700</v>
      </c>
      <c r="F34" s="15">
        <f t="shared" si="17"/>
        <v>4700</v>
      </c>
      <c r="G34" s="15">
        <f t="shared" si="18"/>
        <v>14100</v>
      </c>
      <c r="H34" s="16">
        <v>3</v>
      </c>
      <c r="I34" s="17" t="s">
        <v>13</v>
      </c>
      <c r="J34" s="13" t="s">
        <v>28</v>
      </c>
      <c r="K34">
        <v>14100</v>
      </c>
    </row>
    <row r="35" spans="1:11" ht="21" hidden="1" customHeight="1" x14ac:dyDescent="0.25">
      <c r="A35" s="12" t="str">
        <f t="shared" si="11"/>
        <v>ВП-2</v>
      </c>
      <c r="B35" s="13" t="s">
        <v>36</v>
      </c>
      <c r="C35" s="14"/>
      <c r="D35" s="12" t="s">
        <v>36</v>
      </c>
      <c r="E35" s="13">
        <v>1000</v>
      </c>
      <c r="F35" s="15">
        <f t="shared" si="17"/>
        <v>1000</v>
      </c>
      <c r="G35" s="15">
        <f t="shared" si="18"/>
        <v>1000</v>
      </c>
      <c r="H35" s="16">
        <v>1</v>
      </c>
      <c r="I35" s="17" t="s">
        <v>13</v>
      </c>
      <c r="J35" s="13" t="s">
        <v>28</v>
      </c>
      <c r="K35">
        <v>1000</v>
      </c>
    </row>
    <row r="36" spans="1:11" ht="24" hidden="1" customHeight="1" x14ac:dyDescent="0.25">
      <c r="A36" s="12" t="str">
        <f t="shared" si="11"/>
        <v>ВП-2</v>
      </c>
      <c r="B36" s="12" t="s">
        <v>10</v>
      </c>
      <c r="C36" s="18" t="s">
        <v>10</v>
      </c>
      <c r="D36" s="12" t="s">
        <v>10</v>
      </c>
      <c r="E36" s="12">
        <f ca="1">OFFSET(E36,1,2)</f>
        <v>54000</v>
      </c>
      <c r="F36" s="15">
        <f ca="1">E36</f>
        <v>54000</v>
      </c>
      <c r="G36" s="15">
        <f t="shared" ca="1" si="18"/>
        <v>54000</v>
      </c>
      <c r="H36" s="12">
        <v>1</v>
      </c>
      <c r="I36" s="12" t="s">
        <v>13</v>
      </c>
      <c r="J36" s="12" t="s">
        <v>10</v>
      </c>
      <c r="K36">
        <v>54000</v>
      </c>
    </row>
    <row r="37" spans="1:11" ht="21" hidden="1" customHeight="1" x14ac:dyDescent="0.25">
      <c r="A37" s="12" t="str">
        <f t="shared" si="11"/>
        <v>ВП-2</v>
      </c>
      <c r="B37" s="12" t="s">
        <v>11</v>
      </c>
      <c r="C37" s="18" t="s">
        <v>11</v>
      </c>
      <c r="D37" s="12" t="s">
        <v>11</v>
      </c>
      <c r="E37" s="12">
        <v>9</v>
      </c>
      <c r="F37" s="15">
        <v>100</v>
      </c>
      <c r="G37" s="15">
        <f>60*E37*F37</f>
        <v>54000</v>
      </c>
      <c r="H37" s="12">
        <f>60*E37</f>
        <v>540</v>
      </c>
      <c r="I37" s="12" t="s">
        <v>13</v>
      </c>
      <c r="J37" s="12" t="s">
        <v>11</v>
      </c>
      <c r="K37">
        <v>54000</v>
      </c>
    </row>
    <row r="38" spans="1:11" ht="30" customHeight="1" x14ac:dyDescent="0.25">
      <c r="A38" s="12" t="str">
        <f t="shared" si="11"/>
        <v>ВП-2</v>
      </c>
      <c r="B38" s="19"/>
      <c r="C38" s="20"/>
      <c r="D38" s="21"/>
      <c r="E38" s="23"/>
      <c r="F38" s="25"/>
      <c r="G38" s="24">
        <f ca="1">SUM(G26:G37)</f>
        <v>447173.4</v>
      </c>
      <c r="H38" s="20"/>
      <c r="I38" s="22"/>
      <c r="J38" s="20"/>
      <c r="K38">
        <v>447173.4</v>
      </c>
    </row>
    <row r="39" spans="1:11" ht="39.75" customHeight="1" x14ac:dyDescent="0.25">
      <c r="A39" s="5" t="str">
        <f>D39</f>
        <v>РП-2(ВРУ-1-47-00)</v>
      </c>
      <c r="B39" s="6"/>
      <c r="C39" s="7"/>
      <c r="D39" s="6" t="s">
        <v>130</v>
      </c>
      <c r="E39" s="8"/>
      <c r="F39" s="8"/>
      <c r="G39" s="9"/>
      <c r="H39" s="10">
        <v>1</v>
      </c>
      <c r="I39" s="11" t="s">
        <v>7</v>
      </c>
      <c r="J39" s="6" t="s">
        <v>9</v>
      </c>
    </row>
    <row r="40" spans="1:11" ht="21" hidden="1" customHeight="1" x14ac:dyDescent="0.25">
      <c r="A40" s="12" t="str">
        <f>A39</f>
        <v>РП-2(ВРУ-1-47-00)</v>
      </c>
      <c r="B40" s="13" t="s">
        <v>8</v>
      </c>
      <c r="C40" s="14" t="s">
        <v>145</v>
      </c>
      <c r="D40" s="12" t="s">
        <v>148</v>
      </c>
      <c r="E40" s="13">
        <v>155000</v>
      </c>
      <c r="F40" s="15">
        <f>E40*0.6</f>
        <v>93000</v>
      </c>
      <c r="G40" s="15">
        <f>H40*F40</f>
        <v>93000</v>
      </c>
      <c r="H40" s="16">
        <v>1</v>
      </c>
      <c r="I40" s="17" t="s">
        <v>13</v>
      </c>
      <c r="J40" s="13" t="s">
        <v>16</v>
      </c>
      <c r="K40">
        <v>93000</v>
      </c>
    </row>
    <row r="41" spans="1:11" ht="21" hidden="1" customHeight="1" x14ac:dyDescent="0.25">
      <c r="A41" s="12" t="str">
        <f t="shared" ref="A41:A48" si="19">A40</f>
        <v>РП-2(ВРУ-1-47-00)</v>
      </c>
      <c r="B41" s="13" t="s">
        <v>43</v>
      </c>
      <c r="C41" s="14" t="s">
        <v>74</v>
      </c>
      <c r="D41" s="12" t="s">
        <v>75</v>
      </c>
      <c r="E41" s="13">
        <v>102897</v>
      </c>
      <c r="F41" s="15">
        <f>E41*0.6</f>
        <v>61738.2</v>
      </c>
      <c r="G41" s="15">
        <f>F41*H41</f>
        <v>61738.2</v>
      </c>
      <c r="H41" s="16">
        <v>1</v>
      </c>
      <c r="I41" s="17" t="s">
        <v>13</v>
      </c>
      <c r="J41" s="13" t="s">
        <v>17</v>
      </c>
      <c r="K41">
        <v>61738.2</v>
      </c>
    </row>
    <row r="42" spans="1:11" ht="21" hidden="1" customHeight="1" x14ac:dyDescent="0.25">
      <c r="A42" s="12" t="str">
        <f t="shared" si="19"/>
        <v>РП-2(ВРУ-1-47-00)</v>
      </c>
      <c r="B42" s="13" t="s">
        <v>43</v>
      </c>
      <c r="C42" s="14" t="s">
        <v>39</v>
      </c>
      <c r="D42" s="12" t="s">
        <v>40</v>
      </c>
      <c r="E42" s="13">
        <v>19760</v>
      </c>
      <c r="F42" s="15">
        <f>E42*0.6</f>
        <v>11856</v>
      </c>
      <c r="G42" s="15">
        <f t="shared" ref="G42:G43" si="20">F42*H42</f>
        <v>11856</v>
      </c>
      <c r="H42" s="16">
        <v>1</v>
      </c>
      <c r="I42" s="17" t="s">
        <v>13</v>
      </c>
      <c r="J42" s="13" t="s">
        <v>17</v>
      </c>
      <c r="K42">
        <v>11856</v>
      </c>
    </row>
    <row r="43" spans="1:11" ht="21" hidden="1" customHeight="1" x14ac:dyDescent="0.25">
      <c r="A43" s="12" t="str">
        <f t="shared" si="19"/>
        <v>РП-2(ВРУ-1-47-00)</v>
      </c>
      <c r="B43" s="13" t="s">
        <v>43</v>
      </c>
      <c r="C43" s="14" t="s">
        <v>26</v>
      </c>
      <c r="D43" s="12" t="s">
        <v>27</v>
      </c>
      <c r="E43" s="13">
        <v>19443</v>
      </c>
      <c r="F43" s="15">
        <f t="shared" ref="F43:F45" si="21">E43*0.6</f>
        <v>11665.8</v>
      </c>
      <c r="G43" s="15">
        <f t="shared" si="20"/>
        <v>34997.399999999994</v>
      </c>
      <c r="H43" s="16">
        <v>3</v>
      </c>
      <c r="I43" s="17" t="s">
        <v>13</v>
      </c>
      <c r="J43" s="13" t="s">
        <v>17</v>
      </c>
      <c r="K43">
        <v>34997.399999999994</v>
      </c>
    </row>
    <row r="44" spans="1:11" ht="21" hidden="1" customHeight="1" x14ac:dyDescent="0.25">
      <c r="A44" s="12" t="str">
        <f t="shared" si="19"/>
        <v>РП-2(ВРУ-1-47-00)</v>
      </c>
      <c r="B44" s="13" t="s">
        <v>43</v>
      </c>
      <c r="C44" s="14" t="s">
        <v>170</v>
      </c>
      <c r="D44" s="12" t="s">
        <v>171</v>
      </c>
      <c r="E44" s="13">
        <v>19700</v>
      </c>
      <c r="F44" s="15">
        <f t="shared" si="21"/>
        <v>11820</v>
      </c>
      <c r="G44" s="15">
        <f>F44*H44</f>
        <v>11820</v>
      </c>
      <c r="H44" s="16">
        <v>1</v>
      </c>
      <c r="I44" s="17" t="s">
        <v>13</v>
      </c>
      <c r="J44" s="13" t="s">
        <v>17</v>
      </c>
      <c r="K44">
        <v>11820</v>
      </c>
    </row>
    <row r="45" spans="1:11" ht="21" hidden="1" customHeight="1" x14ac:dyDescent="0.25">
      <c r="A45" s="12" t="str">
        <f t="shared" ref="A45" si="22">A44</f>
        <v>РП-2(ВРУ-1-47-00)</v>
      </c>
      <c r="B45" s="13" t="s">
        <v>43</v>
      </c>
      <c r="C45" s="26" t="s">
        <v>168</v>
      </c>
      <c r="D45" s="12" t="s">
        <v>169</v>
      </c>
      <c r="E45" s="27">
        <v>18139</v>
      </c>
      <c r="F45" s="15">
        <f t="shared" si="21"/>
        <v>10883.4</v>
      </c>
      <c r="G45" s="15">
        <f>F45*H45</f>
        <v>10883.4</v>
      </c>
      <c r="H45" s="16">
        <v>1</v>
      </c>
      <c r="I45" s="17" t="s">
        <v>13</v>
      </c>
      <c r="J45" s="13" t="s">
        <v>17</v>
      </c>
      <c r="K45">
        <v>10883.4</v>
      </c>
    </row>
    <row r="46" spans="1:11" ht="24" hidden="1" customHeight="1" x14ac:dyDescent="0.25">
      <c r="A46" s="12" t="str">
        <f>A44</f>
        <v>РП-2(ВРУ-1-47-00)</v>
      </c>
      <c r="B46" s="12" t="s">
        <v>10</v>
      </c>
      <c r="C46" s="18" t="s">
        <v>10</v>
      </c>
      <c r="D46" s="12" t="s">
        <v>10</v>
      </c>
      <c r="E46" s="12">
        <f ca="1">OFFSET(E46,1,2)</f>
        <v>42000</v>
      </c>
      <c r="F46" s="15">
        <f ca="1">E46</f>
        <v>42000</v>
      </c>
      <c r="G46" s="15">
        <f t="shared" ref="G46" ca="1" si="23">F46*H46</f>
        <v>42000</v>
      </c>
      <c r="H46" s="12">
        <v>1</v>
      </c>
      <c r="I46" s="12" t="s">
        <v>13</v>
      </c>
      <c r="J46" s="12" t="s">
        <v>10</v>
      </c>
      <c r="K46">
        <v>42000</v>
      </c>
    </row>
    <row r="47" spans="1:11" ht="21" hidden="1" customHeight="1" x14ac:dyDescent="0.25">
      <c r="A47" s="12" t="str">
        <f t="shared" si="19"/>
        <v>РП-2(ВРУ-1-47-00)</v>
      </c>
      <c r="B47" s="12" t="s">
        <v>11</v>
      </c>
      <c r="C47" s="18" t="s">
        <v>11</v>
      </c>
      <c r="D47" s="12" t="s">
        <v>11</v>
      </c>
      <c r="E47" s="12">
        <v>7</v>
      </c>
      <c r="F47" s="15">
        <v>100</v>
      </c>
      <c r="G47" s="15">
        <f>60*E47*F47</f>
        <v>42000</v>
      </c>
      <c r="H47" s="12">
        <f>60*E47</f>
        <v>420</v>
      </c>
      <c r="I47" s="12" t="s">
        <v>13</v>
      </c>
      <c r="J47" s="12" t="s">
        <v>11</v>
      </c>
      <c r="K47">
        <v>42000</v>
      </c>
    </row>
    <row r="48" spans="1:11" ht="30" customHeight="1" x14ac:dyDescent="0.25">
      <c r="A48" s="12" t="str">
        <f t="shared" si="19"/>
        <v>РП-2(ВРУ-1-47-00)</v>
      </c>
      <c r="B48" s="19"/>
      <c r="C48" s="20"/>
      <c r="D48" s="21"/>
      <c r="E48" s="23"/>
      <c r="F48" s="25"/>
      <c r="G48" s="24">
        <f ca="1">SUM(G40:G47)</f>
        <v>308295</v>
      </c>
      <c r="H48" s="20"/>
      <c r="I48" s="22"/>
      <c r="J48" s="20"/>
      <c r="K48">
        <v>308295</v>
      </c>
    </row>
    <row r="49" spans="1:11" ht="39.75" customHeight="1" x14ac:dyDescent="0.25">
      <c r="A49" s="5" t="str">
        <f>D49</f>
        <v>ЩГП</v>
      </c>
      <c r="B49" s="6"/>
      <c r="C49" s="7"/>
      <c r="D49" s="6" t="s">
        <v>77</v>
      </c>
      <c r="E49" s="8"/>
      <c r="F49" s="8"/>
      <c r="G49" s="9"/>
      <c r="H49" s="10">
        <v>1</v>
      </c>
      <c r="I49" s="11" t="s">
        <v>7</v>
      </c>
      <c r="J49" s="6" t="s">
        <v>9</v>
      </c>
    </row>
    <row r="50" spans="1:11" ht="21" hidden="1" customHeight="1" x14ac:dyDescent="0.25">
      <c r="A50" s="12" t="str">
        <f>A49</f>
        <v>ЩГП</v>
      </c>
      <c r="B50" s="13" t="s">
        <v>8</v>
      </c>
      <c r="C50" s="14" t="s">
        <v>152</v>
      </c>
      <c r="D50" s="12" t="s">
        <v>153</v>
      </c>
      <c r="E50" s="13">
        <v>19875</v>
      </c>
      <c r="F50" s="15">
        <f>E50*0.6</f>
        <v>11925</v>
      </c>
      <c r="G50" s="15">
        <f>H50*F50</f>
        <v>11925</v>
      </c>
      <c r="H50" s="16">
        <v>1</v>
      </c>
      <c r="I50" s="17" t="s">
        <v>13</v>
      </c>
      <c r="J50" s="13" t="s">
        <v>16</v>
      </c>
      <c r="K50">
        <v>11925</v>
      </c>
    </row>
    <row r="51" spans="1:11" ht="21" hidden="1" customHeight="1" x14ac:dyDescent="0.25">
      <c r="A51" s="12" t="str">
        <f t="shared" ref="A51:A56" si="24">A50</f>
        <v>ЩГП</v>
      </c>
      <c r="B51" s="13" t="s">
        <v>12</v>
      </c>
      <c r="C51" s="14" t="s">
        <v>78</v>
      </c>
      <c r="D51" s="12" t="s">
        <v>79</v>
      </c>
      <c r="E51" s="13">
        <v>2807</v>
      </c>
      <c r="F51" s="15">
        <f t="shared" ref="F51:F53" si="25">E51*0.6</f>
        <v>1684.2</v>
      </c>
      <c r="G51" s="15">
        <f t="shared" ref="G51" si="26">F51*H51</f>
        <v>1684.2</v>
      </c>
      <c r="H51" s="16">
        <v>1</v>
      </c>
      <c r="I51" s="17" t="s">
        <v>13</v>
      </c>
      <c r="J51" s="13" t="s">
        <v>17</v>
      </c>
      <c r="K51">
        <v>1684.2</v>
      </c>
    </row>
    <row r="52" spans="1:11" ht="21" hidden="1" customHeight="1" x14ac:dyDescent="0.25">
      <c r="A52" s="12" t="str">
        <f t="shared" si="24"/>
        <v>ЩГП</v>
      </c>
      <c r="B52" s="13" t="s">
        <v>12</v>
      </c>
      <c r="C52" s="14" t="s">
        <v>31</v>
      </c>
      <c r="D52" s="12" t="s">
        <v>30</v>
      </c>
      <c r="E52" s="13">
        <v>2606</v>
      </c>
      <c r="F52" s="15">
        <f t="shared" si="25"/>
        <v>1563.6</v>
      </c>
      <c r="G52" s="15">
        <f>F52*H52</f>
        <v>7818</v>
      </c>
      <c r="H52" s="16">
        <v>5</v>
      </c>
      <c r="I52" s="17" t="s">
        <v>13</v>
      </c>
      <c r="J52" s="13" t="s">
        <v>17</v>
      </c>
      <c r="K52">
        <v>7818</v>
      </c>
    </row>
    <row r="53" spans="1:11" ht="21" hidden="1" customHeight="1" x14ac:dyDescent="0.25">
      <c r="A53" s="12" t="str">
        <f t="shared" si="24"/>
        <v>ЩГП</v>
      </c>
      <c r="B53" s="13" t="s">
        <v>12</v>
      </c>
      <c r="C53" s="26" t="s">
        <v>23</v>
      </c>
      <c r="D53" s="12" t="s">
        <v>24</v>
      </c>
      <c r="E53" s="27">
        <v>2429</v>
      </c>
      <c r="F53" s="15">
        <f t="shared" si="25"/>
        <v>1457.3999999999999</v>
      </c>
      <c r="G53" s="15">
        <f>F53*H53</f>
        <v>4372.2</v>
      </c>
      <c r="H53" s="16">
        <v>3</v>
      </c>
      <c r="I53" s="17" t="s">
        <v>13</v>
      </c>
      <c r="J53" s="13" t="s">
        <v>17</v>
      </c>
      <c r="K53">
        <v>4372.2</v>
      </c>
    </row>
    <row r="54" spans="1:11" ht="24" hidden="1" customHeight="1" x14ac:dyDescent="0.25">
      <c r="A54" s="12" t="str">
        <f t="shared" si="24"/>
        <v>ЩГП</v>
      </c>
      <c r="B54" s="12" t="s">
        <v>10</v>
      </c>
      <c r="C54" s="18" t="s">
        <v>10</v>
      </c>
      <c r="D54" s="12" t="s">
        <v>10</v>
      </c>
      <c r="E54" s="12">
        <f ca="1">OFFSET(E54,1,2)</f>
        <v>10800</v>
      </c>
      <c r="F54" s="15">
        <f ca="1">E54</f>
        <v>10800</v>
      </c>
      <c r="G54" s="15">
        <f t="shared" ref="G54" ca="1" si="27">F54*H54</f>
        <v>10800</v>
      </c>
      <c r="H54" s="12">
        <v>1</v>
      </c>
      <c r="I54" s="12" t="s">
        <v>13</v>
      </c>
      <c r="J54" s="12" t="s">
        <v>10</v>
      </c>
      <c r="K54">
        <v>10800</v>
      </c>
    </row>
    <row r="55" spans="1:11" ht="21" hidden="1" customHeight="1" x14ac:dyDescent="0.25">
      <c r="A55" s="12" t="str">
        <f t="shared" si="24"/>
        <v>ЩГП</v>
      </c>
      <c r="B55" s="12" t="s">
        <v>11</v>
      </c>
      <c r="C55" s="18" t="s">
        <v>11</v>
      </c>
      <c r="D55" s="12" t="s">
        <v>11</v>
      </c>
      <c r="E55" s="12">
        <v>1.8</v>
      </c>
      <c r="F55" s="15">
        <v>100</v>
      </c>
      <c r="G55" s="15">
        <f>60*E55*F55</f>
        <v>10800</v>
      </c>
      <c r="H55" s="12">
        <f>60*E55</f>
        <v>108</v>
      </c>
      <c r="I55" s="12" t="s">
        <v>13</v>
      </c>
      <c r="J55" s="12" t="s">
        <v>11</v>
      </c>
      <c r="K55">
        <v>10800</v>
      </c>
    </row>
    <row r="56" spans="1:11" ht="30" customHeight="1" x14ac:dyDescent="0.25">
      <c r="A56" s="12" t="str">
        <f t="shared" si="24"/>
        <v>ЩГП</v>
      </c>
      <c r="B56" s="19"/>
      <c r="C56" s="20"/>
      <c r="D56" s="21"/>
      <c r="E56" s="23"/>
      <c r="F56" s="25"/>
      <c r="G56" s="24">
        <f ca="1">SUM(G50:G55)</f>
        <v>47399.4</v>
      </c>
      <c r="H56" s="20"/>
      <c r="I56" s="22"/>
      <c r="J56" s="20"/>
      <c r="K56">
        <v>47399.4</v>
      </c>
    </row>
    <row r="57" spans="1:11" ht="39.75" customHeight="1" x14ac:dyDescent="0.25">
      <c r="A57" s="5" t="str">
        <f>D57</f>
        <v>ЩИБП</v>
      </c>
      <c r="B57" s="6"/>
      <c r="C57" s="7"/>
      <c r="D57" s="6" t="s">
        <v>129</v>
      </c>
      <c r="E57" s="8"/>
      <c r="F57" s="8"/>
      <c r="G57" s="9"/>
      <c r="H57" s="10">
        <v>1</v>
      </c>
      <c r="I57" s="11" t="s">
        <v>7</v>
      </c>
      <c r="J57" s="6" t="s">
        <v>9</v>
      </c>
    </row>
    <row r="58" spans="1:11" ht="21" hidden="1" customHeight="1" x14ac:dyDescent="0.25">
      <c r="A58" s="12" t="str">
        <f>A57</f>
        <v>ЩИБП</v>
      </c>
      <c r="B58" s="13" t="s">
        <v>8</v>
      </c>
      <c r="C58" s="14" t="s">
        <v>65</v>
      </c>
      <c r="D58" s="12" t="s">
        <v>66</v>
      </c>
      <c r="E58" s="13">
        <v>38905</v>
      </c>
      <c r="F58" s="15">
        <f>E58*0.6</f>
        <v>23343</v>
      </c>
      <c r="G58" s="15">
        <f>H58*F58</f>
        <v>23343</v>
      </c>
      <c r="H58" s="16">
        <v>1</v>
      </c>
      <c r="I58" s="17" t="s">
        <v>13</v>
      </c>
      <c r="J58" s="13" t="s">
        <v>16</v>
      </c>
      <c r="K58">
        <v>23343</v>
      </c>
    </row>
    <row r="59" spans="1:11" ht="21" hidden="1" customHeight="1" x14ac:dyDescent="0.25">
      <c r="A59" s="12" t="str">
        <f>A56</f>
        <v>ЩГП</v>
      </c>
      <c r="B59" s="13" t="s">
        <v>155</v>
      </c>
      <c r="C59" s="14" t="s">
        <v>184</v>
      </c>
      <c r="D59" s="12" t="s">
        <v>185</v>
      </c>
      <c r="E59" s="13">
        <v>18847</v>
      </c>
      <c r="F59" s="15">
        <f t="shared" ref="F59:F60" si="28">E59*0.6</f>
        <v>11308.199999999999</v>
      </c>
      <c r="G59" s="15">
        <f t="shared" ref="G59:G60" si="29">F59*H59</f>
        <v>22616.399999999998</v>
      </c>
      <c r="H59" s="16">
        <v>2</v>
      </c>
      <c r="I59" s="17" t="s">
        <v>13</v>
      </c>
      <c r="J59" s="13" t="s">
        <v>17</v>
      </c>
      <c r="K59">
        <v>22616.399999999998</v>
      </c>
    </row>
    <row r="60" spans="1:11" ht="21" hidden="1" customHeight="1" x14ac:dyDescent="0.25">
      <c r="A60" s="12" t="str">
        <f>A56</f>
        <v>ЩГП</v>
      </c>
      <c r="B60" s="13" t="s">
        <v>174</v>
      </c>
      <c r="C60" s="14" t="s">
        <v>175</v>
      </c>
      <c r="D60" s="12" t="s">
        <v>176</v>
      </c>
      <c r="E60" s="13">
        <v>1565</v>
      </c>
      <c r="F60" s="15">
        <f t="shared" si="28"/>
        <v>939</v>
      </c>
      <c r="G60" s="15">
        <f t="shared" si="29"/>
        <v>1878</v>
      </c>
      <c r="H60" s="16">
        <v>2</v>
      </c>
      <c r="I60" s="17" t="s">
        <v>13</v>
      </c>
      <c r="J60" s="13" t="s">
        <v>17</v>
      </c>
      <c r="K60">
        <v>1878</v>
      </c>
    </row>
    <row r="61" spans="1:11" ht="21" hidden="1" customHeight="1" x14ac:dyDescent="0.25">
      <c r="A61" s="12" t="str">
        <f>A57</f>
        <v>ЩИБП</v>
      </c>
      <c r="B61" s="13" t="s">
        <v>177</v>
      </c>
      <c r="C61" s="14" t="s">
        <v>178</v>
      </c>
      <c r="D61" s="12" t="s">
        <v>179</v>
      </c>
      <c r="E61" s="13">
        <v>682</v>
      </c>
      <c r="F61" s="15">
        <f t="shared" ref="F61" si="30">E61*0.6</f>
        <v>409.2</v>
      </c>
      <c r="G61" s="15">
        <f t="shared" ref="G61" si="31">F61*H61</f>
        <v>818.4</v>
      </c>
      <c r="H61" s="16">
        <v>2</v>
      </c>
      <c r="I61" s="17" t="s">
        <v>13</v>
      </c>
      <c r="J61" s="13" t="s">
        <v>17</v>
      </c>
      <c r="K61">
        <v>818.4</v>
      </c>
    </row>
    <row r="62" spans="1:11" ht="21" hidden="1" customHeight="1" x14ac:dyDescent="0.25">
      <c r="A62" s="12" t="str">
        <f>A58</f>
        <v>ЩИБП</v>
      </c>
      <c r="B62" s="13" t="s">
        <v>154</v>
      </c>
      <c r="C62" s="14" t="s">
        <v>172</v>
      </c>
      <c r="D62" s="12" t="s">
        <v>173</v>
      </c>
      <c r="E62" s="13">
        <v>98306</v>
      </c>
      <c r="F62" s="15">
        <f t="shared" ref="F62:F66" si="32">E62*0.6</f>
        <v>58983.6</v>
      </c>
      <c r="G62" s="15">
        <f t="shared" ref="G62:G63" si="33">F62*H62</f>
        <v>117967.2</v>
      </c>
      <c r="H62" s="16">
        <v>2</v>
      </c>
      <c r="I62" s="17" t="s">
        <v>13</v>
      </c>
      <c r="J62" s="13" t="s">
        <v>17</v>
      </c>
      <c r="K62">
        <v>117967.2</v>
      </c>
    </row>
    <row r="63" spans="1:11" ht="21" hidden="1" customHeight="1" x14ac:dyDescent="0.25">
      <c r="A63" s="12" t="str">
        <f>A58</f>
        <v>ЩИБП</v>
      </c>
      <c r="B63" s="13" t="s">
        <v>43</v>
      </c>
      <c r="C63" s="14" t="s">
        <v>41</v>
      </c>
      <c r="D63" s="12" t="s">
        <v>42</v>
      </c>
      <c r="E63" s="13">
        <v>19418</v>
      </c>
      <c r="F63" s="15">
        <f t="shared" si="32"/>
        <v>11650.8</v>
      </c>
      <c r="G63" s="15">
        <f t="shared" si="33"/>
        <v>34952.399999999994</v>
      </c>
      <c r="H63" s="16">
        <v>3</v>
      </c>
      <c r="I63" s="17" t="s">
        <v>13</v>
      </c>
      <c r="J63" s="13" t="s">
        <v>17</v>
      </c>
      <c r="K63">
        <v>34952.399999999994</v>
      </c>
    </row>
    <row r="64" spans="1:11" ht="21" hidden="1" customHeight="1" x14ac:dyDescent="0.25">
      <c r="A64" s="12" t="str">
        <f>A62</f>
        <v>ЩИБП</v>
      </c>
      <c r="B64" s="13" t="s">
        <v>12</v>
      </c>
      <c r="C64" s="14" t="s">
        <v>21</v>
      </c>
      <c r="D64" s="12" t="s">
        <v>22</v>
      </c>
      <c r="E64" s="13">
        <v>975</v>
      </c>
      <c r="F64" s="15">
        <f t="shared" si="32"/>
        <v>585</v>
      </c>
      <c r="G64" s="15">
        <f t="shared" ref="G64" si="34">F64*H64</f>
        <v>3510</v>
      </c>
      <c r="H64" s="16">
        <v>6</v>
      </c>
      <c r="I64" s="17" t="s">
        <v>13</v>
      </c>
      <c r="J64" s="13" t="s">
        <v>17</v>
      </c>
      <c r="K64">
        <v>3510</v>
      </c>
    </row>
    <row r="65" spans="1:11" ht="21" hidden="1" customHeight="1" x14ac:dyDescent="0.25">
      <c r="A65" s="12" t="str">
        <f t="shared" ref="A65" si="35">A64</f>
        <v>ЩИБП</v>
      </c>
      <c r="B65" s="13" t="s">
        <v>64</v>
      </c>
      <c r="C65" s="14" t="s">
        <v>80</v>
      </c>
      <c r="D65" s="12" t="s">
        <v>81</v>
      </c>
      <c r="E65" s="13">
        <v>836</v>
      </c>
      <c r="F65" s="15">
        <f t="shared" si="32"/>
        <v>501.59999999999997</v>
      </c>
      <c r="G65" s="15">
        <f t="shared" ref="G65" si="36">F65*H65</f>
        <v>1504.8</v>
      </c>
      <c r="H65" s="16">
        <v>3</v>
      </c>
      <c r="I65" s="17" t="s">
        <v>13</v>
      </c>
      <c r="J65" s="13" t="s">
        <v>17</v>
      </c>
      <c r="K65">
        <v>1504.8</v>
      </c>
    </row>
    <row r="66" spans="1:11" ht="21" hidden="1" customHeight="1" x14ac:dyDescent="0.25">
      <c r="A66" s="12" t="str">
        <f t="shared" ref="A66" si="37">A65</f>
        <v>ЩИБП</v>
      </c>
      <c r="B66" s="13" t="s">
        <v>64</v>
      </c>
      <c r="C66" s="14" t="s">
        <v>62</v>
      </c>
      <c r="D66" s="12" t="s">
        <v>63</v>
      </c>
      <c r="E66" s="13">
        <v>571</v>
      </c>
      <c r="F66" s="15">
        <f t="shared" si="32"/>
        <v>342.59999999999997</v>
      </c>
      <c r="G66" s="15">
        <f t="shared" ref="G66" si="38">F66*H66</f>
        <v>1027.8</v>
      </c>
      <c r="H66" s="16">
        <v>3</v>
      </c>
      <c r="I66" s="17" t="s">
        <v>13</v>
      </c>
      <c r="J66" s="13" t="s">
        <v>17</v>
      </c>
      <c r="K66">
        <v>1027.8</v>
      </c>
    </row>
    <row r="67" spans="1:11" ht="24" hidden="1" customHeight="1" x14ac:dyDescent="0.25">
      <c r="A67" s="12" t="str">
        <f>A62</f>
        <v>ЩИБП</v>
      </c>
      <c r="B67" s="12" t="s">
        <v>10</v>
      </c>
      <c r="C67" s="18" t="s">
        <v>10</v>
      </c>
      <c r="D67" s="12" t="s">
        <v>10</v>
      </c>
      <c r="E67" s="12">
        <f ca="1">OFFSET(E67,1,2)</f>
        <v>30000</v>
      </c>
      <c r="F67" s="15">
        <f ca="1">E67</f>
        <v>30000</v>
      </c>
      <c r="G67" s="15">
        <f t="shared" ref="G67" ca="1" si="39">F67*H67</f>
        <v>30000</v>
      </c>
      <c r="H67" s="12">
        <v>1</v>
      </c>
      <c r="I67" s="12" t="s">
        <v>13</v>
      </c>
      <c r="J67" s="12" t="s">
        <v>10</v>
      </c>
      <c r="K67">
        <v>30000</v>
      </c>
    </row>
    <row r="68" spans="1:11" ht="21" hidden="1" customHeight="1" x14ac:dyDescent="0.25">
      <c r="A68" s="12" t="str">
        <f t="shared" ref="A68:A69" si="40">A67</f>
        <v>ЩИБП</v>
      </c>
      <c r="B68" s="12" t="s">
        <v>11</v>
      </c>
      <c r="C68" s="18" t="s">
        <v>11</v>
      </c>
      <c r="D68" s="12" t="s">
        <v>11</v>
      </c>
      <c r="E68" s="12">
        <v>5</v>
      </c>
      <c r="F68" s="15">
        <v>100</v>
      </c>
      <c r="G68" s="15">
        <f>60*E68*F68</f>
        <v>30000</v>
      </c>
      <c r="H68" s="12">
        <f>60*E68</f>
        <v>300</v>
      </c>
      <c r="I68" s="12" t="s">
        <v>13</v>
      </c>
      <c r="J68" s="12" t="s">
        <v>11</v>
      </c>
      <c r="K68">
        <v>30000</v>
      </c>
    </row>
    <row r="69" spans="1:11" ht="30" customHeight="1" x14ac:dyDescent="0.25">
      <c r="A69" s="12" t="str">
        <f t="shared" si="40"/>
        <v>ЩИБП</v>
      </c>
      <c r="B69" s="19"/>
      <c r="C69" s="20"/>
      <c r="D69" s="21"/>
      <c r="E69" s="23"/>
      <c r="F69" s="25"/>
      <c r="G69" s="24">
        <f ca="1">SUM(G58:G68)</f>
        <v>267618</v>
      </c>
      <c r="H69" s="20"/>
      <c r="I69" s="22"/>
      <c r="J69" s="20"/>
      <c r="K69">
        <v>267618</v>
      </c>
    </row>
    <row r="70" spans="1:11" ht="39.75" customHeight="1" x14ac:dyDescent="0.25">
      <c r="A70" s="5" t="str">
        <f>D70</f>
        <v>ЩО.1</v>
      </c>
      <c r="B70" s="6"/>
      <c r="C70" s="7"/>
      <c r="D70" s="6" t="s">
        <v>82</v>
      </c>
      <c r="E70" s="8"/>
      <c r="F70" s="8"/>
      <c r="G70" s="9"/>
      <c r="H70" s="10">
        <v>1</v>
      </c>
      <c r="I70" s="11" t="s">
        <v>7</v>
      </c>
      <c r="J70" s="6" t="s">
        <v>9</v>
      </c>
    </row>
    <row r="71" spans="1:11" ht="21" hidden="1" customHeight="1" x14ac:dyDescent="0.25">
      <c r="A71" s="12" t="str">
        <f>A70</f>
        <v>ЩО.1</v>
      </c>
      <c r="B71" s="13" t="s">
        <v>8</v>
      </c>
      <c r="C71" s="14" t="s">
        <v>166</v>
      </c>
      <c r="D71" s="12" t="s">
        <v>167</v>
      </c>
      <c r="E71" s="13">
        <v>15500</v>
      </c>
      <c r="F71" s="15">
        <f>E71*0.6</f>
        <v>9300</v>
      </c>
      <c r="G71" s="15">
        <f>H71*F71</f>
        <v>9300</v>
      </c>
      <c r="H71" s="16">
        <v>1</v>
      </c>
      <c r="I71" s="17" t="s">
        <v>13</v>
      </c>
      <c r="J71" s="13" t="s">
        <v>16</v>
      </c>
      <c r="K71">
        <v>9300</v>
      </c>
    </row>
    <row r="72" spans="1:11" ht="20.25" hidden="1" customHeight="1" x14ac:dyDescent="0.25">
      <c r="A72" s="12" t="str">
        <f t="shared" ref="A72" si="41">A71</f>
        <v>ЩО.1</v>
      </c>
      <c r="B72" s="13" t="s">
        <v>12</v>
      </c>
      <c r="C72" s="26" t="s">
        <v>23</v>
      </c>
      <c r="D72" s="12" t="s">
        <v>24</v>
      </c>
      <c r="E72" s="27">
        <v>2429</v>
      </c>
      <c r="F72" s="15">
        <f t="shared" ref="F72:F75" si="42">E72*0.6</f>
        <v>1457.3999999999999</v>
      </c>
      <c r="G72" s="15">
        <f t="shared" ref="G72:G76" si="43">F72*H72</f>
        <v>1457.3999999999999</v>
      </c>
      <c r="H72" s="16">
        <v>1</v>
      </c>
      <c r="I72" s="17" t="s">
        <v>13</v>
      </c>
      <c r="J72" s="13" t="s">
        <v>17</v>
      </c>
      <c r="K72">
        <v>1457.3999999999999</v>
      </c>
    </row>
    <row r="73" spans="1:11" ht="21" hidden="1" customHeight="1" x14ac:dyDescent="0.25">
      <c r="A73" s="12" t="str">
        <f>A72</f>
        <v>ЩО.1</v>
      </c>
      <c r="B73" s="13" t="s">
        <v>12</v>
      </c>
      <c r="C73" s="14" t="s">
        <v>19</v>
      </c>
      <c r="D73" s="12" t="s">
        <v>20</v>
      </c>
      <c r="E73" s="13">
        <v>783</v>
      </c>
      <c r="F73" s="15">
        <f t="shared" si="42"/>
        <v>469.79999999999995</v>
      </c>
      <c r="G73" s="15">
        <f t="shared" si="43"/>
        <v>7516.7999999999993</v>
      </c>
      <c r="H73" s="16">
        <v>16</v>
      </c>
      <c r="I73" s="17" t="s">
        <v>13</v>
      </c>
      <c r="J73" s="13" t="s">
        <v>17</v>
      </c>
      <c r="K73">
        <v>7516.7999999999993</v>
      </c>
    </row>
    <row r="74" spans="1:11" ht="21" hidden="1" customHeight="1" x14ac:dyDescent="0.25">
      <c r="A74" s="12" t="str">
        <f>A73</f>
        <v>ЩО.1</v>
      </c>
      <c r="B74" s="13" t="s">
        <v>12</v>
      </c>
      <c r="C74" s="14" t="s">
        <v>54</v>
      </c>
      <c r="D74" s="12" t="s">
        <v>55</v>
      </c>
      <c r="E74" s="13">
        <v>783</v>
      </c>
      <c r="F74" s="15">
        <f t="shared" si="42"/>
        <v>469.79999999999995</v>
      </c>
      <c r="G74" s="15">
        <f t="shared" si="43"/>
        <v>469.79999999999995</v>
      </c>
      <c r="H74" s="16">
        <v>1</v>
      </c>
      <c r="I74" s="17" t="s">
        <v>13</v>
      </c>
      <c r="J74" s="13" t="s">
        <v>17</v>
      </c>
      <c r="K74">
        <v>469.79999999999995</v>
      </c>
    </row>
    <row r="75" spans="1:11" ht="21" hidden="1" customHeight="1" x14ac:dyDescent="0.25">
      <c r="A75" s="12" t="str">
        <f>A74</f>
        <v>ЩО.1</v>
      </c>
      <c r="B75" s="13" t="s">
        <v>49</v>
      </c>
      <c r="C75" s="14" t="s">
        <v>156</v>
      </c>
      <c r="D75" s="12" t="s">
        <v>157</v>
      </c>
      <c r="E75" s="13">
        <v>6145</v>
      </c>
      <c r="F75" s="15">
        <f t="shared" si="42"/>
        <v>3687</v>
      </c>
      <c r="G75" s="15">
        <f t="shared" ref="G75" si="44">F75*H75</f>
        <v>3687</v>
      </c>
      <c r="H75" s="16">
        <v>1</v>
      </c>
      <c r="I75" s="17" t="s">
        <v>13</v>
      </c>
      <c r="J75" s="13" t="s">
        <v>17</v>
      </c>
      <c r="K75">
        <v>3687</v>
      </c>
    </row>
    <row r="76" spans="1:11" ht="24" hidden="1" customHeight="1" x14ac:dyDescent="0.25">
      <c r="A76" s="12" t="str">
        <f>A73</f>
        <v>ЩО.1</v>
      </c>
      <c r="B76" s="12" t="s">
        <v>10</v>
      </c>
      <c r="C76" s="18" t="s">
        <v>10</v>
      </c>
      <c r="D76" s="12" t="s">
        <v>10</v>
      </c>
      <c r="E76" s="12">
        <f ca="1">OFFSET(E76,1,2)</f>
        <v>12000</v>
      </c>
      <c r="F76" s="15">
        <f ca="1">E76</f>
        <v>12000</v>
      </c>
      <c r="G76" s="15">
        <f t="shared" ca="1" si="43"/>
        <v>12000</v>
      </c>
      <c r="H76" s="12">
        <v>1</v>
      </c>
      <c r="I76" s="12" t="s">
        <v>13</v>
      </c>
      <c r="J76" s="12" t="s">
        <v>10</v>
      </c>
      <c r="K76">
        <v>12000</v>
      </c>
    </row>
    <row r="77" spans="1:11" ht="21" hidden="1" customHeight="1" x14ac:dyDescent="0.25">
      <c r="A77" s="12" t="str">
        <f t="shared" ref="A77:A78" si="45">A76</f>
        <v>ЩО.1</v>
      </c>
      <c r="B77" s="12" t="s">
        <v>11</v>
      </c>
      <c r="C77" s="18" t="s">
        <v>11</v>
      </c>
      <c r="D77" s="12" t="s">
        <v>11</v>
      </c>
      <c r="E77" s="12">
        <v>2</v>
      </c>
      <c r="F77" s="15">
        <v>100</v>
      </c>
      <c r="G77" s="15">
        <f>60*E77*F77</f>
        <v>12000</v>
      </c>
      <c r="H77" s="12">
        <f>60*E77</f>
        <v>120</v>
      </c>
      <c r="I77" s="12" t="s">
        <v>13</v>
      </c>
      <c r="J77" s="12" t="s">
        <v>11</v>
      </c>
      <c r="K77">
        <v>12000</v>
      </c>
    </row>
    <row r="78" spans="1:11" ht="30" customHeight="1" x14ac:dyDescent="0.25">
      <c r="A78" s="12" t="str">
        <f t="shared" si="45"/>
        <v>ЩО.1</v>
      </c>
      <c r="B78" s="19"/>
      <c r="C78" s="20"/>
      <c r="D78" s="21"/>
      <c r="E78" s="23"/>
      <c r="F78" s="25"/>
      <c r="G78" s="24">
        <f ca="1">SUM(G71:G77)</f>
        <v>46431</v>
      </c>
      <c r="H78" s="20"/>
      <c r="I78" s="22"/>
      <c r="J78" s="20"/>
      <c r="K78">
        <v>46431</v>
      </c>
    </row>
    <row r="79" spans="1:11" ht="39.75" customHeight="1" x14ac:dyDescent="0.25">
      <c r="A79" s="5" t="str">
        <f>D79</f>
        <v>ЩО.2</v>
      </c>
      <c r="B79" s="6"/>
      <c r="C79" s="7"/>
      <c r="D79" s="6" t="s">
        <v>83</v>
      </c>
      <c r="E79" s="8"/>
      <c r="F79" s="8"/>
      <c r="G79" s="9"/>
      <c r="H79" s="10">
        <v>1</v>
      </c>
      <c r="I79" s="11" t="s">
        <v>7</v>
      </c>
      <c r="J79" s="6" t="s">
        <v>9</v>
      </c>
    </row>
    <row r="80" spans="1:11" ht="21" hidden="1" customHeight="1" x14ac:dyDescent="0.25">
      <c r="A80" s="12" t="str">
        <f>A79</f>
        <v>ЩО.2</v>
      </c>
      <c r="B80" s="13" t="s">
        <v>8</v>
      </c>
      <c r="C80" s="14" t="s">
        <v>133</v>
      </c>
      <c r="D80" s="12" t="s">
        <v>134</v>
      </c>
      <c r="E80" s="13">
        <v>16000</v>
      </c>
      <c r="F80" s="15">
        <f>E80*0.6</f>
        <v>9600</v>
      </c>
      <c r="G80" s="15">
        <f>H80*F80</f>
        <v>9600</v>
      </c>
      <c r="H80" s="16">
        <v>1</v>
      </c>
      <c r="I80" s="17" t="s">
        <v>13</v>
      </c>
      <c r="J80" s="13" t="s">
        <v>16</v>
      </c>
      <c r="K80">
        <v>9600</v>
      </c>
    </row>
    <row r="81" spans="1:11" ht="20.25" hidden="1" customHeight="1" x14ac:dyDescent="0.25">
      <c r="A81" s="12" t="str">
        <f t="shared" ref="A81" si="46">A80</f>
        <v>ЩО.2</v>
      </c>
      <c r="B81" s="13" t="s">
        <v>12</v>
      </c>
      <c r="C81" s="26" t="s">
        <v>23</v>
      </c>
      <c r="D81" s="12" t="s">
        <v>24</v>
      </c>
      <c r="E81" s="27">
        <v>2429</v>
      </c>
      <c r="F81" s="15">
        <f t="shared" ref="F81:F84" si="47">E81*0.6</f>
        <v>1457.3999999999999</v>
      </c>
      <c r="G81" s="15">
        <f t="shared" ref="G81:G85" si="48">F81*H81</f>
        <v>1457.3999999999999</v>
      </c>
      <c r="H81" s="16">
        <v>1</v>
      </c>
      <c r="I81" s="17" t="s">
        <v>13</v>
      </c>
      <c r="J81" s="13" t="s">
        <v>17</v>
      </c>
      <c r="K81">
        <v>1457.3999999999999</v>
      </c>
    </row>
    <row r="82" spans="1:11" ht="21" hidden="1" customHeight="1" x14ac:dyDescent="0.25">
      <c r="A82" s="12" t="str">
        <f>A81</f>
        <v>ЩО.2</v>
      </c>
      <c r="B82" s="13" t="s">
        <v>12</v>
      </c>
      <c r="C82" s="14" t="s">
        <v>19</v>
      </c>
      <c r="D82" s="12" t="s">
        <v>20</v>
      </c>
      <c r="E82" s="13">
        <v>783</v>
      </c>
      <c r="F82" s="15">
        <f t="shared" si="47"/>
        <v>469.79999999999995</v>
      </c>
      <c r="G82" s="15">
        <f t="shared" si="48"/>
        <v>7046.9999999999991</v>
      </c>
      <c r="H82" s="16">
        <v>15</v>
      </c>
      <c r="I82" s="17" t="s">
        <v>13</v>
      </c>
      <c r="J82" s="13" t="s">
        <v>17</v>
      </c>
      <c r="K82">
        <v>7046.9999999999991</v>
      </c>
    </row>
    <row r="83" spans="1:11" ht="21" hidden="1" customHeight="1" x14ac:dyDescent="0.25">
      <c r="A83" s="12" t="str">
        <f>A82</f>
        <v>ЩО.2</v>
      </c>
      <c r="B83" s="13" t="s">
        <v>12</v>
      </c>
      <c r="C83" s="14" t="s">
        <v>54</v>
      </c>
      <c r="D83" s="12" t="s">
        <v>55</v>
      </c>
      <c r="E83" s="13">
        <v>783</v>
      </c>
      <c r="F83" s="15">
        <f t="shared" si="47"/>
        <v>469.79999999999995</v>
      </c>
      <c r="G83" s="15">
        <f t="shared" si="48"/>
        <v>469.79999999999995</v>
      </c>
      <c r="H83" s="16">
        <v>1</v>
      </c>
      <c r="I83" s="17" t="s">
        <v>13</v>
      </c>
      <c r="J83" s="13" t="s">
        <v>17</v>
      </c>
      <c r="K83">
        <v>469.79999999999995</v>
      </c>
    </row>
    <row r="84" spans="1:11" ht="21" hidden="1" customHeight="1" x14ac:dyDescent="0.25">
      <c r="A84" s="12" t="str">
        <f>A83</f>
        <v>ЩО.2</v>
      </c>
      <c r="B84" s="13" t="s">
        <v>49</v>
      </c>
      <c r="C84" s="14" t="s">
        <v>156</v>
      </c>
      <c r="D84" s="12" t="s">
        <v>157</v>
      </c>
      <c r="E84" s="13">
        <v>6145</v>
      </c>
      <c r="F84" s="15">
        <f t="shared" si="47"/>
        <v>3687</v>
      </c>
      <c r="G84" s="15">
        <f t="shared" si="48"/>
        <v>3687</v>
      </c>
      <c r="H84" s="16">
        <v>1</v>
      </c>
      <c r="I84" s="17" t="s">
        <v>13</v>
      </c>
      <c r="J84" s="13" t="s">
        <v>17</v>
      </c>
      <c r="K84">
        <v>3687</v>
      </c>
    </row>
    <row r="85" spans="1:11" ht="24" hidden="1" customHeight="1" x14ac:dyDescent="0.25">
      <c r="A85" s="12" t="str">
        <f>A82</f>
        <v>ЩО.2</v>
      </c>
      <c r="B85" s="12" t="s">
        <v>10</v>
      </c>
      <c r="C85" s="18" t="s">
        <v>10</v>
      </c>
      <c r="D85" s="12" t="s">
        <v>10</v>
      </c>
      <c r="E85" s="12">
        <f ca="1">OFFSET(E85,1,2)</f>
        <v>12000</v>
      </c>
      <c r="F85" s="15">
        <f ca="1">E85</f>
        <v>12000</v>
      </c>
      <c r="G85" s="15">
        <f t="shared" ca="1" si="48"/>
        <v>12000</v>
      </c>
      <c r="H85" s="12">
        <v>1</v>
      </c>
      <c r="I85" s="12" t="s">
        <v>13</v>
      </c>
      <c r="J85" s="12" t="s">
        <v>10</v>
      </c>
      <c r="K85">
        <v>12000</v>
      </c>
    </row>
    <row r="86" spans="1:11" ht="21" hidden="1" customHeight="1" x14ac:dyDescent="0.25">
      <c r="A86" s="12" t="str">
        <f t="shared" ref="A86:A87" si="49">A85</f>
        <v>ЩО.2</v>
      </c>
      <c r="B86" s="12" t="s">
        <v>11</v>
      </c>
      <c r="C86" s="18" t="s">
        <v>11</v>
      </c>
      <c r="D86" s="12" t="s">
        <v>11</v>
      </c>
      <c r="E86" s="12">
        <v>2</v>
      </c>
      <c r="F86" s="15">
        <v>100</v>
      </c>
      <c r="G86" s="15">
        <f>60*E86*F86</f>
        <v>12000</v>
      </c>
      <c r="H86" s="12">
        <f>60*E86</f>
        <v>120</v>
      </c>
      <c r="I86" s="12" t="s">
        <v>13</v>
      </c>
      <c r="J86" s="12" t="s">
        <v>11</v>
      </c>
      <c r="K86">
        <v>12000</v>
      </c>
    </row>
    <row r="87" spans="1:11" ht="30" customHeight="1" x14ac:dyDescent="0.25">
      <c r="A87" s="12" t="str">
        <f t="shared" si="49"/>
        <v>ЩО.2</v>
      </c>
      <c r="B87" s="19"/>
      <c r="C87" s="20"/>
      <c r="D87" s="21"/>
      <c r="E87" s="23"/>
      <c r="F87" s="25"/>
      <c r="G87" s="24">
        <f ca="1">SUM(G80:G86)</f>
        <v>46261.2</v>
      </c>
      <c r="H87" s="20"/>
      <c r="I87" s="22"/>
      <c r="J87" s="20"/>
      <c r="K87">
        <v>46261.2</v>
      </c>
    </row>
    <row r="88" spans="1:11" ht="39.75" customHeight="1" x14ac:dyDescent="0.25">
      <c r="A88" s="5" t="str">
        <f>D88</f>
        <v>ЩО.3</v>
      </c>
      <c r="B88" s="6"/>
      <c r="C88" s="7"/>
      <c r="D88" s="6" t="s">
        <v>84</v>
      </c>
      <c r="E88" s="8"/>
      <c r="F88" s="8"/>
      <c r="G88" s="9"/>
      <c r="H88" s="10">
        <v>1</v>
      </c>
      <c r="I88" s="11" t="s">
        <v>7</v>
      </c>
      <c r="J88" s="6" t="s">
        <v>9</v>
      </c>
    </row>
    <row r="89" spans="1:11" ht="21" hidden="1" customHeight="1" x14ac:dyDescent="0.25">
      <c r="A89" s="12" t="str">
        <f>A88</f>
        <v>ЩО.3</v>
      </c>
      <c r="B89" s="13" t="s">
        <v>8</v>
      </c>
      <c r="C89" s="14" t="s">
        <v>58</v>
      </c>
      <c r="D89" s="12" t="s">
        <v>59</v>
      </c>
      <c r="E89" s="13">
        <v>15460</v>
      </c>
      <c r="F89" s="15">
        <f>E89*0.6</f>
        <v>9276</v>
      </c>
      <c r="G89" s="15">
        <f>H89*F89</f>
        <v>9276</v>
      </c>
      <c r="H89" s="16">
        <v>1</v>
      </c>
      <c r="I89" s="17" t="s">
        <v>13</v>
      </c>
      <c r="J89" s="13" t="s">
        <v>16</v>
      </c>
      <c r="K89">
        <v>9276</v>
      </c>
    </row>
    <row r="90" spans="1:11" ht="20.25" hidden="1" customHeight="1" x14ac:dyDescent="0.25">
      <c r="A90" s="12" t="str">
        <f t="shared" ref="A90" si="50">A89</f>
        <v>ЩО.3</v>
      </c>
      <c r="B90" s="13" t="s">
        <v>12</v>
      </c>
      <c r="C90" s="26" t="s">
        <v>52</v>
      </c>
      <c r="D90" s="12" t="s">
        <v>53</v>
      </c>
      <c r="E90" s="27">
        <v>2337</v>
      </c>
      <c r="F90" s="15">
        <f t="shared" ref="F90:F91" si="51">E90*0.6</f>
        <v>1402.2</v>
      </c>
      <c r="G90" s="15">
        <f t="shared" ref="G90:G92" si="52">F90*H90</f>
        <v>1402.2</v>
      </c>
      <c r="H90" s="16">
        <v>1</v>
      </c>
      <c r="I90" s="17" t="s">
        <v>13</v>
      </c>
      <c r="J90" s="13" t="s">
        <v>17</v>
      </c>
      <c r="K90">
        <v>1402.2</v>
      </c>
    </row>
    <row r="91" spans="1:11" ht="21" hidden="1" customHeight="1" x14ac:dyDescent="0.25">
      <c r="A91" s="12" t="str">
        <f>A90</f>
        <v>ЩО.3</v>
      </c>
      <c r="B91" s="13" t="s">
        <v>12</v>
      </c>
      <c r="C91" s="14" t="s">
        <v>19</v>
      </c>
      <c r="D91" s="12" t="s">
        <v>20</v>
      </c>
      <c r="E91" s="13">
        <v>783</v>
      </c>
      <c r="F91" s="15">
        <f t="shared" si="51"/>
        <v>469.79999999999995</v>
      </c>
      <c r="G91" s="15">
        <f t="shared" si="52"/>
        <v>4228.2</v>
      </c>
      <c r="H91" s="16">
        <v>9</v>
      </c>
      <c r="I91" s="17" t="s">
        <v>13</v>
      </c>
      <c r="J91" s="13" t="s">
        <v>17</v>
      </c>
      <c r="K91">
        <v>4228.2</v>
      </c>
    </row>
    <row r="92" spans="1:11" ht="24" hidden="1" customHeight="1" x14ac:dyDescent="0.25">
      <c r="A92" s="12" t="str">
        <f>A91</f>
        <v>ЩО.3</v>
      </c>
      <c r="B92" s="12" t="s">
        <v>10</v>
      </c>
      <c r="C92" s="18" t="s">
        <v>10</v>
      </c>
      <c r="D92" s="12" t="s">
        <v>10</v>
      </c>
      <c r="E92" s="12">
        <f ca="1">OFFSET(E92,1,2)</f>
        <v>6000</v>
      </c>
      <c r="F92" s="15">
        <f ca="1">E92</f>
        <v>6000</v>
      </c>
      <c r="G92" s="15">
        <f t="shared" ca="1" si="52"/>
        <v>6000</v>
      </c>
      <c r="H92" s="12">
        <v>1</v>
      </c>
      <c r="I92" s="12" t="s">
        <v>13</v>
      </c>
      <c r="J92" s="12" t="s">
        <v>10</v>
      </c>
      <c r="K92">
        <v>6000</v>
      </c>
    </row>
    <row r="93" spans="1:11" ht="21" hidden="1" customHeight="1" x14ac:dyDescent="0.25">
      <c r="A93" s="12" t="str">
        <f t="shared" ref="A93:A94" si="53">A92</f>
        <v>ЩО.3</v>
      </c>
      <c r="B93" s="12" t="s">
        <v>11</v>
      </c>
      <c r="C93" s="18" t="s">
        <v>11</v>
      </c>
      <c r="D93" s="12" t="s">
        <v>11</v>
      </c>
      <c r="E93" s="12">
        <v>1</v>
      </c>
      <c r="F93" s="15">
        <v>100</v>
      </c>
      <c r="G93" s="15">
        <f>60*E93*F93</f>
        <v>6000</v>
      </c>
      <c r="H93" s="12">
        <f>60*E93</f>
        <v>60</v>
      </c>
      <c r="I93" s="12" t="s">
        <v>13</v>
      </c>
      <c r="J93" s="12" t="s">
        <v>11</v>
      </c>
      <c r="K93">
        <v>6000</v>
      </c>
    </row>
    <row r="94" spans="1:11" ht="30" customHeight="1" x14ac:dyDescent="0.25">
      <c r="A94" s="12" t="str">
        <f t="shared" si="53"/>
        <v>ЩО.3</v>
      </c>
      <c r="B94" s="19"/>
      <c r="C94" s="20"/>
      <c r="D94" s="21"/>
      <c r="E94" s="23"/>
      <c r="F94" s="25"/>
      <c r="G94" s="24">
        <f ca="1">SUM(G89:G93)</f>
        <v>26906.400000000001</v>
      </c>
      <c r="H94" s="20"/>
      <c r="I94" s="22"/>
      <c r="J94" s="20"/>
      <c r="K94">
        <v>26906.400000000001</v>
      </c>
    </row>
    <row r="95" spans="1:11" ht="39.75" customHeight="1" x14ac:dyDescent="0.25">
      <c r="A95" s="5" t="str">
        <f>D95</f>
        <v>ЩАО.-1</v>
      </c>
      <c r="B95" s="6"/>
      <c r="C95" s="7"/>
      <c r="D95" s="6" t="s">
        <v>85</v>
      </c>
      <c r="E95" s="8"/>
      <c r="F95" s="8"/>
      <c r="G95" s="9"/>
      <c r="H95" s="10">
        <v>1</v>
      </c>
      <c r="I95" s="11" t="s">
        <v>7</v>
      </c>
      <c r="J95" s="6" t="s">
        <v>9</v>
      </c>
    </row>
    <row r="96" spans="1:11" ht="21" hidden="1" customHeight="1" x14ac:dyDescent="0.25">
      <c r="A96" s="12" t="str">
        <f>A95</f>
        <v>ЩАО.-1</v>
      </c>
      <c r="B96" s="13" t="s">
        <v>8</v>
      </c>
      <c r="C96" s="14" t="s">
        <v>135</v>
      </c>
      <c r="D96" s="12" t="s">
        <v>136</v>
      </c>
      <c r="E96" s="13">
        <v>14695</v>
      </c>
      <c r="F96" s="15">
        <f>E96*0.6</f>
        <v>8817</v>
      </c>
      <c r="G96" s="15">
        <f>H96*F96</f>
        <v>8817</v>
      </c>
      <c r="H96" s="16">
        <v>1</v>
      </c>
      <c r="I96" s="17" t="s">
        <v>13</v>
      </c>
      <c r="J96" s="13" t="s">
        <v>16</v>
      </c>
      <c r="K96">
        <v>8817</v>
      </c>
    </row>
    <row r="97" spans="1:11" ht="20.25" hidden="1" customHeight="1" x14ac:dyDescent="0.25">
      <c r="A97" s="12" t="str">
        <f t="shared" ref="A97:A103" si="54">A96</f>
        <v>ЩАО.-1</v>
      </c>
      <c r="B97" s="13" t="s">
        <v>12</v>
      </c>
      <c r="C97" s="26" t="s">
        <v>23</v>
      </c>
      <c r="D97" s="12" t="s">
        <v>24</v>
      </c>
      <c r="E97" s="27">
        <v>2429</v>
      </c>
      <c r="F97" s="15">
        <f t="shared" ref="F97:F100" si="55">E97*0.6</f>
        <v>1457.3999999999999</v>
      </c>
      <c r="G97" s="15">
        <f t="shared" ref="G97:G101" si="56">F97*H97</f>
        <v>1457.3999999999999</v>
      </c>
      <c r="H97" s="16">
        <v>1</v>
      </c>
      <c r="I97" s="17" t="s">
        <v>13</v>
      </c>
      <c r="J97" s="13" t="s">
        <v>17</v>
      </c>
      <c r="K97">
        <v>1457.3999999999999</v>
      </c>
    </row>
    <row r="98" spans="1:11" ht="21" hidden="1" customHeight="1" x14ac:dyDescent="0.25">
      <c r="A98" s="12" t="str">
        <f t="shared" si="54"/>
        <v>ЩАО.-1</v>
      </c>
      <c r="B98" s="13" t="s">
        <v>12</v>
      </c>
      <c r="C98" s="14" t="s">
        <v>19</v>
      </c>
      <c r="D98" s="12" t="s">
        <v>20</v>
      </c>
      <c r="E98" s="13">
        <v>783</v>
      </c>
      <c r="F98" s="15">
        <f t="shared" si="55"/>
        <v>469.79999999999995</v>
      </c>
      <c r="G98" s="15">
        <f t="shared" si="56"/>
        <v>4698</v>
      </c>
      <c r="H98" s="16">
        <v>10</v>
      </c>
      <c r="I98" s="17" t="s">
        <v>13</v>
      </c>
      <c r="J98" s="13" t="s">
        <v>17</v>
      </c>
      <c r="K98">
        <v>4698</v>
      </c>
    </row>
    <row r="99" spans="1:11" ht="21" hidden="1" customHeight="1" x14ac:dyDescent="0.25">
      <c r="A99" s="12" t="str">
        <f t="shared" si="54"/>
        <v>ЩАО.-1</v>
      </c>
      <c r="B99" s="13" t="s">
        <v>12</v>
      </c>
      <c r="C99" s="14" t="s">
        <v>54</v>
      </c>
      <c r="D99" s="12" t="s">
        <v>55</v>
      </c>
      <c r="E99" s="13">
        <v>783</v>
      </c>
      <c r="F99" s="15">
        <f t="shared" si="55"/>
        <v>469.79999999999995</v>
      </c>
      <c r="G99" s="15">
        <f t="shared" si="56"/>
        <v>469.79999999999995</v>
      </c>
      <c r="H99" s="16">
        <v>1</v>
      </c>
      <c r="I99" s="17" t="s">
        <v>13</v>
      </c>
      <c r="J99" s="13" t="s">
        <v>17</v>
      </c>
      <c r="K99">
        <v>469.79999999999995</v>
      </c>
    </row>
    <row r="100" spans="1:11" ht="21" hidden="1" customHeight="1" x14ac:dyDescent="0.25">
      <c r="A100" s="12" t="str">
        <f t="shared" si="54"/>
        <v>ЩАО.-1</v>
      </c>
      <c r="B100" s="13" t="s">
        <v>49</v>
      </c>
      <c r="C100" s="14" t="s">
        <v>156</v>
      </c>
      <c r="D100" s="12" t="s">
        <v>157</v>
      </c>
      <c r="E100" s="13">
        <v>6145</v>
      </c>
      <c r="F100" s="15">
        <f t="shared" si="55"/>
        <v>3687</v>
      </c>
      <c r="G100" s="15">
        <f t="shared" si="56"/>
        <v>3687</v>
      </c>
      <c r="H100" s="16">
        <v>1</v>
      </c>
      <c r="I100" s="17" t="s">
        <v>13</v>
      </c>
      <c r="J100" s="13" t="s">
        <v>17</v>
      </c>
      <c r="K100">
        <v>3687</v>
      </c>
    </row>
    <row r="101" spans="1:11" ht="24" hidden="1" customHeight="1" x14ac:dyDescent="0.25">
      <c r="A101" s="12" t="str">
        <f t="shared" si="54"/>
        <v>ЩАО.-1</v>
      </c>
      <c r="B101" s="12" t="s">
        <v>10</v>
      </c>
      <c r="C101" s="18" t="s">
        <v>10</v>
      </c>
      <c r="D101" s="12" t="s">
        <v>10</v>
      </c>
      <c r="E101" s="12">
        <f ca="1">OFFSET(E101,1,2)</f>
        <v>12000</v>
      </c>
      <c r="F101" s="15">
        <f ca="1">E101</f>
        <v>12000</v>
      </c>
      <c r="G101" s="15">
        <f t="shared" ca="1" si="56"/>
        <v>12000</v>
      </c>
      <c r="H101" s="12">
        <v>1</v>
      </c>
      <c r="I101" s="12" t="s">
        <v>13</v>
      </c>
      <c r="J101" s="12" t="s">
        <v>10</v>
      </c>
      <c r="K101">
        <v>12000</v>
      </c>
    </row>
    <row r="102" spans="1:11" ht="21" hidden="1" customHeight="1" x14ac:dyDescent="0.25">
      <c r="A102" s="12" t="str">
        <f t="shared" si="54"/>
        <v>ЩАО.-1</v>
      </c>
      <c r="B102" s="12" t="s">
        <v>11</v>
      </c>
      <c r="C102" s="18" t="s">
        <v>11</v>
      </c>
      <c r="D102" s="12" t="s">
        <v>11</v>
      </c>
      <c r="E102" s="12">
        <v>2</v>
      </c>
      <c r="F102" s="15">
        <v>100</v>
      </c>
      <c r="G102" s="15">
        <f>60*E102*F102</f>
        <v>12000</v>
      </c>
      <c r="H102" s="12">
        <f>60*E102</f>
        <v>120</v>
      </c>
      <c r="I102" s="12" t="s">
        <v>13</v>
      </c>
      <c r="J102" s="12" t="s">
        <v>11</v>
      </c>
      <c r="K102">
        <v>12000</v>
      </c>
    </row>
    <row r="103" spans="1:11" ht="30" customHeight="1" x14ac:dyDescent="0.25">
      <c r="A103" s="12" t="str">
        <f t="shared" si="54"/>
        <v>ЩАО.-1</v>
      </c>
      <c r="B103" s="19"/>
      <c r="C103" s="20"/>
      <c r="D103" s="21"/>
      <c r="E103" s="23"/>
      <c r="F103" s="25"/>
      <c r="G103" s="24">
        <f ca="1">SUM(G96:G102)</f>
        <v>43129.2</v>
      </c>
      <c r="H103" s="20"/>
      <c r="I103" s="22"/>
      <c r="J103" s="20"/>
      <c r="K103">
        <v>43129.2</v>
      </c>
    </row>
    <row r="104" spans="1:11" ht="39.75" customHeight="1" x14ac:dyDescent="0.25">
      <c r="A104" s="5" t="str">
        <f>D104</f>
        <v>ЩАО.-2</v>
      </c>
      <c r="B104" s="6"/>
      <c r="C104" s="7"/>
      <c r="D104" s="6" t="s">
        <v>86</v>
      </c>
      <c r="E104" s="8"/>
      <c r="F104" s="8"/>
      <c r="G104" s="9"/>
      <c r="H104" s="10">
        <v>1</v>
      </c>
      <c r="I104" s="11" t="s">
        <v>7</v>
      </c>
      <c r="J104" s="6" t="s">
        <v>9</v>
      </c>
    </row>
    <row r="105" spans="1:11" ht="21" hidden="1" customHeight="1" x14ac:dyDescent="0.25">
      <c r="A105" s="12" t="str">
        <f>A104</f>
        <v>ЩАО.-2</v>
      </c>
      <c r="B105" s="13" t="s">
        <v>8</v>
      </c>
      <c r="C105" s="14" t="s">
        <v>58</v>
      </c>
      <c r="D105" s="12" t="s">
        <v>59</v>
      </c>
      <c r="E105" s="13">
        <v>15460</v>
      </c>
      <c r="F105" s="15">
        <f>E105*0.6</f>
        <v>9276</v>
      </c>
      <c r="G105" s="15">
        <f>H105*F105</f>
        <v>9276</v>
      </c>
      <c r="H105" s="16">
        <v>1</v>
      </c>
      <c r="I105" s="17" t="s">
        <v>13</v>
      </c>
      <c r="J105" s="13" t="s">
        <v>16</v>
      </c>
      <c r="K105">
        <v>9276</v>
      </c>
    </row>
    <row r="106" spans="1:11" ht="20.25" hidden="1" customHeight="1" x14ac:dyDescent="0.25">
      <c r="A106" s="12" t="str">
        <f t="shared" ref="A106:A112" si="57">A105</f>
        <v>ЩАО.-2</v>
      </c>
      <c r="B106" s="13" t="s">
        <v>12</v>
      </c>
      <c r="C106" s="26" t="s">
        <v>23</v>
      </c>
      <c r="D106" s="12" t="s">
        <v>24</v>
      </c>
      <c r="E106" s="27">
        <v>2429</v>
      </c>
      <c r="F106" s="15">
        <f t="shared" ref="F106:F109" si="58">E106*0.6</f>
        <v>1457.3999999999999</v>
      </c>
      <c r="G106" s="15">
        <f t="shared" ref="G106:G110" si="59">F106*H106</f>
        <v>1457.3999999999999</v>
      </c>
      <c r="H106" s="16">
        <v>1</v>
      </c>
      <c r="I106" s="17" t="s">
        <v>13</v>
      </c>
      <c r="J106" s="13" t="s">
        <v>17</v>
      </c>
      <c r="K106">
        <v>1457.3999999999999</v>
      </c>
    </row>
    <row r="107" spans="1:11" ht="21" hidden="1" customHeight="1" x14ac:dyDescent="0.25">
      <c r="A107" s="12" t="str">
        <f t="shared" si="57"/>
        <v>ЩАО.-2</v>
      </c>
      <c r="B107" s="13" t="s">
        <v>12</v>
      </c>
      <c r="C107" s="14" t="s">
        <v>19</v>
      </c>
      <c r="D107" s="12" t="s">
        <v>20</v>
      </c>
      <c r="E107" s="13">
        <v>783</v>
      </c>
      <c r="F107" s="15">
        <f t="shared" si="58"/>
        <v>469.79999999999995</v>
      </c>
      <c r="G107" s="15">
        <f t="shared" si="59"/>
        <v>4698</v>
      </c>
      <c r="H107" s="16">
        <v>10</v>
      </c>
      <c r="I107" s="17" t="s">
        <v>13</v>
      </c>
      <c r="J107" s="13" t="s">
        <v>17</v>
      </c>
      <c r="K107">
        <v>4698</v>
      </c>
    </row>
    <row r="108" spans="1:11" ht="21" hidden="1" customHeight="1" x14ac:dyDescent="0.25">
      <c r="A108" s="12" t="str">
        <f t="shared" si="57"/>
        <v>ЩАО.-2</v>
      </c>
      <c r="B108" s="13" t="s">
        <v>12</v>
      </c>
      <c r="C108" s="14" t="s">
        <v>54</v>
      </c>
      <c r="D108" s="12" t="s">
        <v>55</v>
      </c>
      <c r="E108" s="13">
        <v>783</v>
      </c>
      <c r="F108" s="15">
        <f t="shared" si="58"/>
        <v>469.79999999999995</v>
      </c>
      <c r="G108" s="15">
        <f t="shared" si="59"/>
        <v>469.79999999999995</v>
      </c>
      <c r="H108" s="16">
        <v>1</v>
      </c>
      <c r="I108" s="17" t="s">
        <v>13</v>
      </c>
      <c r="J108" s="13" t="s">
        <v>17</v>
      </c>
      <c r="K108">
        <v>469.79999999999995</v>
      </c>
    </row>
    <row r="109" spans="1:11" ht="21" hidden="1" customHeight="1" x14ac:dyDescent="0.25">
      <c r="A109" s="12" t="str">
        <f t="shared" si="57"/>
        <v>ЩАО.-2</v>
      </c>
      <c r="B109" s="13" t="s">
        <v>49</v>
      </c>
      <c r="C109" s="14" t="s">
        <v>156</v>
      </c>
      <c r="D109" s="12" t="s">
        <v>157</v>
      </c>
      <c r="E109" s="13">
        <v>6145</v>
      </c>
      <c r="F109" s="15">
        <f t="shared" si="58"/>
        <v>3687</v>
      </c>
      <c r="G109" s="15">
        <f t="shared" si="59"/>
        <v>3687</v>
      </c>
      <c r="H109" s="16">
        <v>1</v>
      </c>
      <c r="I109" s="17" t="s">
        <v>13</v>
      </c>
      <c r="J109" s="13" t="s">
        <v>17</v>
      </c>
      <c r="K109">
        <v>3687</v>
      </c>
    </row>
    <row r="110" spans="1:11" ht="24" hidden="1" customHeight="1" x14ac:dyDescent="0.25">
      <c r="A110" s="12" t="str">
        <f t="shared" si="57"/>
        <v>ЩАО.-2</v>
      </c>
      <c r="B110" s="12" t="s">
        <v>10</v>
      </c>
      <c r="C110" s="18" t="s">
        <v>10</v>
      </c>
      <c r="D110" s="12" t="s">
        <v>10</v>
      </c>
      <c r="E110" s="12">
        <f ca="1">OFFSET(E110,1,2)</f>
        <v>12000</v>
      </c>
      <c r="F110" s="15">
        <f ca="1">E110</f>
        <v>12000</v>
      </c>
      <c r="G110" s="15">
        <f t="shared" ca="1" si="59"/>
        <v>12000</v>
      </c>
      <c r="H110" s="12">
        <v>1</v>
      </c>
      <c r="I110" s="12" t="s">
        <v>13</v>
      </c>
      <c r="J110" s="12" t="s">
        <v>10</v>
      </c>
      <c r="K110">
        <v>12000</v>
      </c>
    </row>
    <row r="111" spans="1:11" ht="21" hidden="1" customHeight="1" x14ac:dyDescent="0.25">
      <c r="A111" s="12" t="str">
        <f t="shared" si="57"/>
        <v>ЩАО.-2</v>
      </c>
      <c r="B111" s="12" t="s">
        <v>11</v>
      </c>
      <c r="C111" s="18" t="s">
        <v>11</v>
      </c>
      <c r="D111" s="12" t="s">
        <v>11</v>
      </c>
      <c r="E111" s="12">
        <v>2</v>
      </c>
      <c r="F111" s="15">
        <v>100</v>
      </c>
      <c r="G111" s="15">
        <f>60*E111*F111</f>
        <v>12000</v>
      </c>
      <c r="H111" s="12">
        <f>60*E111</f>
        <v>120</v>
      </c>
      <c r="I111" s="12" t="s">
        <v>13</v>
      </c>
      <c r="J111" s="12" t="s">
        <v>11</v>
      </c>
      <c r="K111">
        <v>12000</v>
      </c>
    </row>
    <row r="112" spans="1:11" ht="30" customHeight="1" x14ac:dyDescent="0.25">
      <c r="A112" s="12" t="str">
        <f t="shared" si="57"/>
        <v>ЩАО.-2</v>
      </c>
      <c r="B112" s="19"/>
      <c r="C112" s="20"/>
      <c r="D112" s="21"/>
      <c r="E112" s="23"/>
      <c r="F112" s="25"/>
      <c r="G112" s="24">
        <f ca="1">SUM(G105:G111)</f>
        <v>43588.2</v>
      </c>
      <c r="H112" s="20"/>
      <c r="I112" s="22"/>
      <c r="J112" s="20"/>
      <c r="K112">
        <v>43588.2</v>
      </c>
    </row>
    <row r="113" spans="1:11" ht="39.75" customHeight="1" x14ac:dyDescent="0.25">
      <c r="A113" s="5" t="str">
        <f>D113</f>
        <v>ЩАО.-3</v>
      </c>
      <c r="B113" s="6"/>
      <c r="C113" s="7"/>
      <c r="D113" s="6" t="s">
        <v>87</v>
      </c>
      <c r="E113" s="8"/>
      <c r="F113" s="8"/>
      <c r="G113" s="9"/>
      <c r="H113" s="10">
        <v>1</v>
      </c>
      <c r="I113" s="11" t="s">
        <v>7</v>
      </c>
      <c r="J113" s="6" t="s">
        <v>9</v>
      </c>
    </row>
    <row r="114" spans="1:11" ht="21" hidden="1" customHeight="1" x14ac:dyDescent="0.25">
      <c r="A114" s="12" t="str">
        <f>A113</f>
        <v>ЩАО.-3</v>
      </c>
      <c r="B114" s="13" t="s">
        <v>8</v>
      </c>
      <c r="C114" s="14" t="s">
        <v>56</v>
      </c>
      <c r="D114" s="12" t="s">
        <v>57</v>
      </c>
      <c r="E114" s="13">
        <v>9825</v>
      </c>
      <c r="F114" s="15">
        <f>E114*0.6</f>
        <v>5895</v>
      </c>
      <c r="G114" s="15">
        <f>H114*F114</f>
        <v>5895</v>
      </c>
      <c r="H114" s="16">
        <v>1</v>
      </c>
      <c r="I114" s="17" t="s">
        <v>13</v>
      </c>
      <c r="J114" s="13" t="s">
        <v>16</v>
      </c>
      <c r="K114">
        <v>5895</v>
      </c>
    </row>
    <row r="115" spans="1:11" ht="20.25" hidden="1" customHeight="1" x14ac:dyDescent="0.25">
      <c r="A115" s="12" t="str">
        <f t="shared" ref="A115:A119" si="60">A114</f>
        <v>ЩАО.-3</v>
      </c>
      <c r="B115" s="13" t="s">
        <v>12</v>
      </c>
      <c r="C115" s="26" t="s">
        <v>52</v>
      </c>
      <c r="D115" s="12" t="s">
        <v>53</v>
      </c>
      <c r="E115" s="27">
        <v>2337</v>
      </c>
      <c r="F115" s="15">
        <f t="shared" ref="F115:F116" si="61">E115*0.6</f>
        <v>1402.2</v>
      </c>
      <c r="G115" s="15">
        <f t="shared" ref="G115:G116" si="62">F115*H115</f>
        <v>1402.2</v>
      </c>
      <c r="H115" s="16">
        <v>1</v>
      </c>
      <c r="I115" s="17" t="s">
        <v>13</v>
      </c>
      <c r="J115" s="13" t="s">
        <v>17</v>
      </c>
      <c r="K115">
        <v>1402.2</v>
      </c>
    </row>
    <row r="116" spans="1:11" ht="21" hidden="1" customHeight="1" x14ac:dyDescent="0.25">
      <c r="A116" s="12" t="str">
        <f t="shared" si="60"/>
        <v>ЩАО.-3</v>
      </c>
      <c r="B116" s="13" t="s">
        <v>12</v>
      </c>
      <c r="C116" s="14" t="s">
        <v>19</v>
      </c>
      <c r="D116" s="12" t="s">
        <v>20</v>
      </c>
      <c r="E116" s="13">
        <v>783</v>
      </c>
      <c r="F116" s="15">
        <f t="shared" si="61"/>
        <v>469.79999999999995</v>
      </c>
      <c r="G116" s="15">
        <f t="shared" si="62"/>
        <v>2818.7999999999997</v>
      </c>
      <c r="H116" s="16">
        <v>6</v>
      </c>
      <c r="I116" s="17" t="s">
        <v>13</v>
      </c>
      <c r="J116" s="13" t="s">
        <v>17</v>
      </c>
      <c r="K116">
        <v>2818.7999999999997</v>
      </c>
    </row>
    <row r="117" spans="1:11" ht="24" hidden="1" customHeight="1" x14ac:dyDescent="0.25">
      <c r="A117" s="12" t="str">
        <f t="shared" si="60"/>
        <v>ЩАО.-3</v>
      </c>
      <c r="B117" s="12" t="s">
        <v>10</v>
      </c>
      <c r="C117" s="18" t="s">
        <v>10</v>
      </c>
      <c r="D117" s="12" t="s">
        <v>10</v>
      </c>
      <c r="E117" s="12">
        <f ca="1">OFFSET(E117,1,2)</f>
        <v>6000</v>
      </c>
      <c r="F117" s="15">
        <f ca="1">E117</f>
        <v>6000</v>
      </c>
      <c r="G117" s="15">
        <f t="shared" ref="G117" ca="1" si="63">F117*H117</f>
        <v>6000</v>
      </c>
      <c r="H117" s="12">
        <v>1</v>
      </c>
      <c r="I117" s="12" t="s">
        <v>13</v>
      </c>
      <c r="J117" s="12" t="s">
        <v>10</v>
      </c>
      <c r="K117">
        <v>6000</v>
      </c>
    </row>
    <row r="118" spans="1:11" ht="21" hidden="1" customHeight="1" x14ac:dyDescent="0.25">
      <c r="A118" s="12" t="str">
        <f t="shared" si="60"/>
        <v>ЩАО.-3</v>
      </c>
      <c r="B118" s="12" t="s">
        <v>11</v>
      </c>
      <c r="C118" s="18" t="s">
        <v>11</v>
      </c>
      <c r="D118" s="12" t="s">
        <v>11</v>
      </c>
      <c r="E118" s="12">
        <v>1</v>
      </c>
      <c r="F118" s="15">
        <v>100</v>
      </c>
      <c r="G118" s="15">
        <f>60*E118*F118</f>
        <v>6000</v>
      </c>
      <c r="H118" s="12">
        <f>60*E118</f>
        <v>60</v>
      </c>
      <c r="I118" s="12" t="s">
        <v>13</v>
      </c>
      <c r="J118" s="12" t="s">
        <v>11</v>
      </c>
      <c r="K118">
        <v>6000</v>
      </c>
    </row>
    <row r="119" spans="1:11" ht="30" customHeight="1" x14ac:dyDescent="0.25">
      <c r="A119" s="12" t="str">
        <f t="shared" si="60"/>
        <v>ЩАО.-3</v>
      </c>
      <c r="B119" s="19"/>
      <c r="C119" s="20"/>
      <c r="D119" s="21"/>
      <c r="E119" s="23"/>
      <c r="F119" s="25"/>
      <c r="G119" s="24">
        <f ca="1">SUM(G114:G118)</f>
        <v>22116</v>
      </c>
      <c r="H119" s="20"/>
      <c r="I119" s="22"/>
      <c r="J119" s="20"/>
      <c r="K119">
        <v>22116</v>
      </c>
    </row>
    <row r="120" spans="1:11" ht="39.75" customHeight="1" x14ac:dyDescent="0.25">
      <c r="A120" s="5" t="str">
        <f>D120</f>
        <v>ЩР-1</v>
      </c>
      <c r="B120" s="6"/>
      <c r="C120" s="7"/>
      <c r="D120" s="6" t="s">
        <v>88</v>
      </c>
      <c r="E120" s="8"/>
      <c r="F120" s="8"/>
      <c r="G120" s="9"/>
      <c r="H120" s="10">
        <v>1</v>
      </c>
      <c r="I120" s="11" t="s">
        <v>7</v>
      </c>
      <c r="J120" s="6" t="s">
        <v>9</v>
      </c>
    </row>
    <row r="121" spans="1:11" ht="21" hidden="1" customHeight="1" x14ac:dyDescent="0.25">
      <c r="A121" s="12" t="str">
        <f>A120</f>
        <v>ЩР-1</v>
      </c>
      <c r="B121" s="13" t="s">
        <v>8</v>
      </c>
      <c r="C121" s="14" t="s">
        <v>137</v>
      </c>
      <c r="D121" s="12" t="s">
        <v>138</v>
      </c>
      <c r="E121" s="13">
        <v>22000</v>
      </c>
      <c r="F121" s="15">
        <f>E121*0.6</f>
        <v>13200</v>
      </c>
      <c r="G121" s="15">
        <f>H121*F121</f>
        <v>13200</v>
      </c>
      <c r="H121" s="16">
        <v>1</v>
      </c>
      <c r="I121" s="17" t="s">
        <v>13</v>
      </c>
      <c r="J121" s="13" t="s">
        <v>16</v>
      </c>
      <c r="K121">
        <v>13200</v>
      </c>
    </row>
    <row r="122" spans="1:11" ht="20.25" hidden="1" customHeight="1" x14ac:dyDescent="0.25">
      <c r="A122" s="12" t="str">
        <f t="shared" ref="A122:A126" si="64">A121</f>
        <v>ЩР-1</v>
      </c>
      <c r="B122" s="13" t="s">
        <v>12</v>
      </c>
      <c r="C122" s="26" t="s">
        <v>32</v>
      </c>
      <c r="D122" s="12" t="s">
        <v>33</v>
      </c>
      <c r="E122" s="27">
        <v>3172</v>
      </c>
      <c r="F122" s="15">
        <f t="shared" ref="F122:F123" si="65">E122*0.6</f>
        <v>1903.1999999999998</v>
      </c>
      <c r="G122" s="15">
        <f t="shared" ref="G122:G124" si="66">F122*H122</f>
        <v>1903.1999999999998</v>
      </c>
      <c r="H122" s="16">
        <v>1</v>
      </c>
      <c r="I122" s="17" t="s">
        <v>13</v>
      </c>
      <c r="J122" s="13" t="s">
        <v>17</v>
      </c>
      <c r="K122">
        <v>1903.1999999999998</v>
      </c>
    </row>
    <row r="123" spans="1:11" ht="21" hidden="1" customHeight="1" x14ac:dyDescent="0.25">
      <c r="A123" s="12" t="str">
        <f>A122</f>
        <v>ЩР-1</v>
      </c>
      <c r="B123" s="13" t="s">
        <v>25</v>
      </c>
      <c r="C123" s="14" t="s">
        <v>67</v>
      </c>
      <c r="D123" s="12" t="s">
        <v>68</v>
      </c>
      <c r="E123" s="13">
        <v>5280</v>
      </c>
      <c r="F123" s="15">
        <f t="shared" si="65"/>
        <v>3168</v>
      </c>
      <c r="G123" s="15">
        <f t="shared" si="66"/>
        <v>50688</v>
      </c>
      <c r="H123" s="16">
        <v>16</v>
      </c>
      <c r="I123" s="17" t="s">
        <v>13</v>
      </c>
      <c r="J123" s="13" t="s">
        <v>17</v>
      </c>
      <c r="K123">
        <v>50688</v>
      </c>
    </row>
    <row r="124" spans="1:11" ht="24" hidden="1" customHeight="1" x14ac:dyDescent="0.25">
      <c r="A124" s="12" t="str">
        <f t="shared" si="64"/>
        <v>ЩР-1</v>
      </c>
      <c r="B124" s="12" t="s">
        <v>10</v>
      </c>
      <c r="C124" s="18" t="s">
        <v>10</v>
      </c>
      <c r="D124" s="12" t="s">
        <v>10</v>
      </c>
      <c r="E124" s="12">
        <f ca="1">OFFSET(E124,1,2)</f>
        <v>15000</v>
      </c>
      <c r="F124" s="15">
        <f ca="1">E124</f>
        <v>15000</v>
      </c>
      <c r="G124" s="15">
        <f t="shared" ca="1" si="66"/>
        <v>15000</v>
      </c>
      <c r="H124" s="12">
        <v>1</v>
      </c>
      <c r="I124" s="12" t="s">
        <v>13</v>
      </c>
      <c r="J124" s="12" t="s">
        <v>10</v>
      </c>
      <c r="K124">
        <v>15000</v>
      </c>
    </row>
    <row r="125" spans="1:11" ht="21" hidden="1" customHeight="1" x14ac:dyDescent="0.25">
      <c r="A125" s="12" t="str">
        <f t="shared" si="64"/>
        <v>ЩР-1</v>
      </c>
      <c r="B125" s="12" t="s">
        <v>11</v>
      </c>
      <c r="C125" s="18" t="s">
        <v>11</v>
      </c>
      <c r="D125" s="12" t="s">
        <v>11</v>
      </c>
      <c r="E125" s="12">
        <v>2.5</v>
      </c>
      <c r="F125" s="15">
        <v>100</v>
      </c>
      <c r="G125" s="15">
        <f>60*E125*F125</f>
        <v>15000</v>
      </c>
      <c r="H125" s="12">
        <f>60*E125</f>
        <v>150</v>
      </c>
      <c r="I125" s="12" t="s">
        <v>13</v>
      </c>
      <c r="J125" s="12" t="s">
        <v>11</v>
      </c>
      <c r="K125">
        <v>15000</v>
      </c>
    </row>
    <row r="126" spans="1:11" ht="30" customHeight="1" x14ac:dyDescent="0.25">
      <c r="A126" s="12" t="str">
        <f t="shared" si="64"/>
        <v>ЩР-1</v>
      </c>
      <c r="B126" s="19"/>
      <c r="C126" s="20"/>
      <c r="D126" s="21"/>
      <c r="E126" s="23"/>
      <c r="F126" s="25"/>
      <c r="G126" s="24">
        <f ca="1">SUM(G121:G125)</f>
        <v>95791.2</v>
      </c>
      <c r="H126" s="20"/>
      <c r="I126" s="22"/>
      <c r="J126" s="20"/>
      <c r="K126">
        <v>95791.2</v>
      </c>
    </row>
    <row r="127" spans="1:11" ht="39.75" customHeight="1" x14ac:dyDescent="0.25">
      <c r="A127" s="5" t="str">
        <f>D127</f>
        <v>2ЩС</v>
      </c>
      <c r="B127" s="6"/>
      <c r="C127" s="7"/>
      <c r="D127" s="6" t="s">
        <v>89</v>
      </c>
      <c r="E127" s="8"/>
      <c r="F127" s="8"/>
      <c r="G127" s="9"/>
      <c r="H127" s="10">
        <v>1</v>
      </c>
      <c r="I127" s="11" t="s">
        <v>7</v>
      </c>
      <c r="J127" s="6" t="s">
        <v>9</v>
      </c>
    </row>
    <row r="128" spans="1:11" ht="21" hidden="1" customHeight="1" x14ac:dyDescent="0.25">
      <c r="A128" s="12" t="str">
        <f>A127</f>
        <v>2ЩС</v>
      </c>
      <c r="B128" s="13" t="s">
        <v>8</v>
      </c>
      <c r="C128" s="14" t="s">
        <v>131</v>
      </c>
      <c r="D128" s="12" t="s">
        <v>132</v>
      </c>
      <c r="E128" s="13">
        <v>29000</v>
      </c>
      <c r="F128" s="15">
        <f>E128*0.6</f>
        <v>17400</v>
      </c>
      <c r="G128" s="15">
        <f>H128*F128</f>
        <v>17400</v>
      </c>
      <c r="H128" s="16">
        <v>1</v>
      </c>
      <c r="I128" s="17" t="s">
        <v>13</v>
      </c>
      <c r="J128" s="13" t="s">
        <v>16</v>
      </c>
      <c r="K128">
        <v>17400</v>
      </c>
    </row>
    <row r="129" spans="1:11" ht="20.25" hidden="1" customHeight="1" x14ac:dyDescent="0.25">
      <c r="A129" s="12" t="str">
        <f t="shared" ref="A129" si="67">A128</f>
        <v>2ЩС</v>
      </c>
      <c r="B129" s="13" t="s">
        <v>12</v>
      </c>
      <c r="C129" s="26" t="s">
        <v>90</v>
      </c>
      <c r="D129" s="12" t="s">
        <v>91</v>
      </c>
      <c r="E129" s="27">
        <v>11015</v>
      </c>
      <c r="F129" s="15">
        <f t="shared" ref="F129:F130" si="68">E129*0.6</f>
        <v>6609</v>
      </c>
      <c r="G129" s="15">
        <f t="shared" ref="G129:G131" si="69">F129*H129</f>
        <v>6609</v>
      </c>
      <c r="H129" s="16">
        <v>1</v>
      </c>
      <c r="I129" s="17" t="s">
        <v>13</v>
      </c>
      <c r="J129" s="13" t="s">
        <v>17</v>
      </c>
      <c r="K129">
        <v>6609</v>
      </c>
    </row>
    <row r="130" spans="1:11" ht="21" hidden="1" customHeight="1" x14ac:dyDescent="0.25">
      <c r="A130" s="12" t="str">
        <f>A129</f>
        <v>2ЩС</v>
      </c>
      <c r="B130" s="13" t="s">
        <v>25</v>
      </c>
      <c r="C130" s="14" t="s">
        <v>67</v>
      </c>
      <c r="D130" s="12" t="s">
        <v>68</v>
      </c>
      <c r="E130" s="13">
        <v>5280</v>
      </c>
      <c r="F130" s="15">
        <f t="shared" si="68"/>
        <v>3168</v>
      </c>
      <c r="G130" s="15">
        <f t="shared" si="69"/>
        <v>107712</v>
      </c>
      <c r="H130" s="16">
        <v>34</v>
      </c>
      <c r="I130" s="17" t="s">
        <v>13</v>
      </c>
      <c r="J130" s="13" t="s">
        <v>17</v>
      </c>
      <c r="K130">
        <v>107712</v>
      </c>
    </row>
    <row r="131" spans="1:11" ht="24" hidden="1" customHeight="1" x14ac:dyDescent="0.25">
      <c r="A131" s="12" t="str">
        <f t="shared" ref="A131:A133" si="70">A130</f>
        <v>2ЩС</v>
      </c>
      <c r="B131" s="12" t="s">
        <v>10</v>
      </c>
      <c r="C131" s="18" t="s">
        <v>10</v>
      </c>
      <c r="D131" s="12" t="s">
        <v>10</v>
      </c>
      <c r="E131" s="12">
        <f ca="1">OFFSET(E131,1,2)</f>
        <v>21000</v>
      </c>
      <c r="F131" s="15">
        <f ca="1">E131</f>
        <v>21000</v>
      </c>
      <c r="G131" s="15">
        <f t="shared" ca="1" si="69"/>
        <v>21000</v>
      </c>
      <c r="H131" s="12">
        <v>1</v>
      </c>
      <c r="I131" s="12" t="s">
        <v>13</v>
      </c>
      <c r="J131" s="12" t="s">
        <v>10</v>
      </c>
      <c r="K131">
        <v>21000</v>
      </c>
    </row>
    <row r="132" spans="1:11" ht="21" hidden="1" customHeight="1" x14ac:dyDescent="0.25">
      <c r="A132" s="12" t="str">
        <f t="shared" si="70"/>
        <v>2ЩС</v>
      </c>
      <c r="B132" s="12" t="s">
        <v>11</v>
      </c>
      <c r="C132" s="18" t="s">
        <v>11</v>
      </c>
      <c r="D132" s="12" t="s">
        <v>11</v>
      </c>
      <c r="E132" s="12">
        <v>3.5</v>
      </c>
      <c r="F132" s="15">
        <v>100</v>
      </c>
      <c r="G132" s="15">
        <f>60*E132*F132</f>
        <v>21000</v>
      </c>
      <c r="H132" s="12">
        <f>60*E132</f>
        <v>210</v>
      </c>
      <c r="I132" s="12" t="s">
        <v>13</v>
      </c>
      <c r="J132" s="12" t="s">
        <v>11</v>
      </c>
      <c r="K132">
        <v>21000</v>
      </c>
    </row>
    <row r="133" spans="1:11" ht="30" customHeight="1" x14ac:dyDescent="0.25">
      <c r="A133" s="12" t="str">
        <f t="shared" si="70"/>
        <v>2ЩС</v>
      </c>
      <c r="B133" s="19"/>
      <c r="C133" s="20"/>
      <c r="D133" s="21"/>
      <c r="E133" s="23"/>
      <c r="F133" s="25"/>
      <c r="G133" s="24">
        <f ca="1">SUM(G128:G132)</f>
        <v>173721</v>
      </c>
      <c r="H133" s="20"/>
      <c r="I133" s="22"/>
      <c r="J133" s="20"/>
      <c r="K133">
        <v>173721</v>
      </c>
    </row>
    <row r="134" spans="1:11" ht="39.75" customHeight="1" x14ac:dyDescent="0.25">
      <c r="A134" s="5" t="str">
        <f>D134</f>
        <v>ЩР-3</v>
      </c>
      <c r="B134" s="6"/>
      <c r="C134" s="7"/>
      <c r="D134" s="6" t="s">
        <v>92</v>
      </c>
      <c r="E134" s="8"/>
      <c r="F134" s="8"/>
      <c r="G134" s="9"/>
      <c r="H134" s="10">
        <v>1</v>
      </c>
      <c r="I134" s="11" t="s">
        <v>7</v>
      </c>
      <c r="J134" s="6" t="s">
        <v>9</v>
      </c>
    </row>
    <row r="135" spans="1:11" ht="21" hidden="1" customHeight="1" x14ac:dyDescent="0.25">
      <c r="A135" s="12" t="str">
        <f>A134</f>
        <v>ЩР-3</v>
      </c>
      <c r="B135" s="13" t="s">
        <v>8</v>
      </c>
      <c r="C135" s="14" t="s">
        <v>139</v>
      </c>
      <c r="D135" s="12" t="s">
        <v>140</v>
      </c>
      <c r="E135" s="13">
        <v>28000</v>
      </c>
      <c r="F135" s="15">
        <f>E135*0.6</f>
        <v>16800</v>
      </c>
      <c r="G135" s="15">
        <f>H135*F135</f>
        <v>16800</v>
      </c>
      <c r="H135" s="16">
        <v>1</v>
      </c>
      <c r="I135" s="17" t="s">
        <v>13</v>
      </c>
      <c r="J135" s="13" t="s">
        <v>16</v>
      </c>
      <c r="K135">
        <v>16800</v>
      </c>
    </row>
    <row r="136" spans="1:11" ht="20.25" hidden="1" customHeight="1" x14ac:dyDescent="0.25">
      <c r="A136" s="12" t="str">
        <f t="shared" ref="A136" si="71">A135</f>
        <v>ЩР-3</v>
      </c>
      <c r="B136" s="13" t="s">
        <v>12</v>
      </c>
      <c r="C136" s="26" t="s">
        <v>32</v>
      </c>
      <c r="D136" s="12" t="s">
        <v>33</v>
      </c>
      <c r="E136" s="27">
        <v>3172</v>
      </c>
      <c r="F136" s="15">
        <f t="shared" ref="F136:F137" si="72">E136*0.6</f>
        <v>1903.1999999999998</v>
      </c>
      <c r="G136" s="15">
        <f t="shared" ref="G136:G138" si="73">F136*H136</f>
        <v>1903.1999999999998</v>
      </c>
      <c r="H136" s="16">
        <v>1</v>
      </c>
      <c r="I136" s="17" t="s">
        <v>13</v>
      </c>
      <c r="J136" s="13" t="s">
        <v>17</v>
      </c>
      <c r="K136">
        <v>1903.1999999999998</v>
      </c>
    </row>
    <row r="137" spans="1:11" ht="21" hidden="1" customHeight="1" x14ac:dyDescent="0.25">
      <c r="A137" s="12" t="str">
        <f>A136</f>
        <v>ЩР-3</v>
      </c>
      <c r="B137" s="13" t="s">
        <v>25</v>
      </c>
      <c r="C137" s="14" t="s">
        <v>67</v>
      </c>
      <c r="D137" s="12" t="s">
        <v>68</v>
      </c>
      <c r="E137" s="13">
        <v>5280</v>
      </c>
      <c r="F137" s="15">
        <f t="shared" si="72"/>
        <v>3168</v>
      </c>
      <c r="G137" s="15">
        <f t="shared" si="73"/>
        <v>66528</v>
      </c>
      <c r="H137" s="16">
        <v>21</v>
      </c>
      <c r="I137" s="17" t="s">
        <v>13</v>
      </c>
      <c r="J137" s="13" t="s">
        <v>17</v>
      </c>
      <c r="K137">
        <v>66528</v>
      </c>
    </row>
    <row r="138" spans="1:11" ht="24" hidden="1" customHeight="1" x14ac:dyDescent="0.25">
      <c r="A138" s="12" t="str">
        <f t="shared" ref="A138:A140" si="74">A137</f>
        <v>ЩР-3</v>
      </c>
      <c r="B138" s="12" t="s">
        <v>10</v>
      </c>
      <c r="C138" s="18" t="s">
        <v>10</v>
      </c>
      <c r="D138" s="12" t="s">
        <v>10</v>
      </c>
      <c r="E138" s="12">
        <f ca="1">OFFSET(E138,1,2)</f>
        <v>16800</v>
      </c>
      <c r="F138" s="15">
        <f ca="1">E138</f>
        <v>16800</v>
      </c>
      <c r="G138" s="15">
        <f t="shared" ca="1" si="73"/>
        <v>16800</v>
      </c>
      <c r="H138" s="12">
        <v>1</v>
      </c>
      <c r="I138" s="12" t="s">
        <v>13</v>
      </c>
      <c r="J138" s="12" t="s">
        <v>10</v>
      </c>
      <c r="K138">
        <v>16800</v>
      </c>
    </row>
    <row r="139" spans="1:11" ht="21" hidden="1" customHeight="1" x14ac:dyDescent="0.25">
      <c r="A139" s="12" t="str">
        <f t="shared" si="74"/>
        <v>ЩР-3</v>
      </c>
      <c r="B139" s="12" t="s">
        <v>11</v>
      </c>
      <c r="C139" s="18" t="s">
        <v>11</v>
      </c>
      <c r="D139" s="12" t="s">
        <v>11</v>
      </c>
      <c r="E139" s="12">
        <v>2.8</v>
      </c>
      <c r="F139" s="15">
        <v>100</v>
      </c>
      <c r="G139" s="15">
        <f>60*E139*F139</f>
        <v>16800</v>
      </c>
      <c r="H139" s="12">
        <f>60*E139</f>
        <v>168</v>
      </c>
      <c r="I139" s="12" t="s">
        <v>13</v>
      </c>
      <c r="J139" s="12" t="s">
        <v>11</v>
      </c>
      <c r="K139">
        <v>16800</v>
      </c>
    </row>
    <row r="140" spans="1:11" ht="30" customHeight="1" x14ac:dyDescent="0.25">
      <c r="A140" s="12" t="str">
        <f t="shared" si="74"/>
        <v>ЩР-3</v>
      </c>
      <c r="B140" s="19"/>
      <c r="C140" s="20"/>
      <c r="D140" s="21"/>
      <c r="E140" s="23"/>
      <c r="F140" s="25"/>
      <c r="G140" s="24">
        <f ca="1">SUM(G135:G139)</f>
        <v>118831.2</v>
      </c>
      <c r="H140" s="20"/>
      <c r="I140" s="22"/>
      <c r="J140" s="20"/>
      <c r="K140">
        <v>118831.2</v>
      </c>
    </row>
    <row r="141" spans="1:11" ht="39.75" customHeight="1" x14ac:dyDescent="0.25">
      <c r="A141" s="5" t="str">
        <f>D141</f>
        <v>ЩУОВВ ЩМП-1-0 36 УХЛ3</v>
      </c>
      <c r="B141" s="6"/>
      <c r="C141" s="7"/>
      <c r="D141" s="6" t="s">
        <v>128</v>
      </c>
      <c r="E141" s="8"/>
      <c r="F141" s="8"/>
      <c r="G141" s="9"/>
      <c r="H141" s="10">
        <v>1</v>
      </c>
      <c r="I141" s="11" t="s">
        <v>7</v>
      </c>
      <c r="J141" s="6" t="s">
        <v>9</v>
      </c>
    </row>
    <row r="142" spans="1:11" ht="21" hidden="1" customHeight="1" x14ac:dyDescent="0.25">
      <c r="A142" s="12" t="str">
        <f>A141</f>
        <v>ЩУОВВ ЩМП-1-0 36 УХЛ3</v>
      </c>
      <c r="B142" s="13" t="s">
        <v>8</v>
      </c>
      <c r="C142" s="14" t="s">
        <v>158</v>
      </c>
      <c r="D142" s="12" t="s">
        <v>159</v>
      </c>
      <c r="E142" s="13">
        <v>27000</v>
      </c>
      <c r="F142" s="15">
        <f>E142*0.6</f>
        <v>16200</v>
      </c>
      <c r="G142" s="15">
        <f>H142*F142</f>
        <v>16200</v>
      </c>
      <c r="H142" s="16">
        <v>1</v>
      </c>
      <c r="I142" s="17" t="s">
        <v>13</v>
      </c>
      <c r="J142" s="13" t="s">
        <v>16</v>
      </c>
      <c r="K142">
        <v>16200</v>
      </c>
    </row>
    <row r="143" spans="1:11" ht="20.25" hidden="1" customHeight="1" x14ac:dyDescent="0.25">
      <c r="A143" s="12" t="str">
        <f t="shared" ref="A143" si="75">A142</f>
        <v>ЩУОВВ ЩМП-1-0 36 УХЛ3</v>
      </c>
      <c r="B143" s="13" t="s">
        <v>12</v>
      </c>
      <c r="C143" s="26" t="s">
        <v>23</v>
      </c>
      <c r="D143" s="12" t="s">
        <v>24</v>
      </c>
      <c r="E143" s="27">
        <v>2429</v>
      </c>
      <c r="F143" s="15">
        <f t="shared" ref="F143:F145" si="76">E143*0.6</f>
        <v>1457.3999999999999</v>
      </c>
      <c r="G143" s="15">
        <f t="shared" ref="G143" si="77">F143*H143</f>
        <v>1457.3999999999999</v>
      </c>
      <c r="H143" s="16">
        <v>1</v>
      </c>
      <c r="I143" s="17" t="s">
        <v>13</v>
      </c>
      <c r="J143" s="13" t="s">
        <v>17</v>
      </c>
      <c r="K143">
        <v>1457.3999999999999</v>
      </c>
    </row>
    <row r="144" spans="1:11" ht="21" hidden="1" customHeight="1" x14ac:dyDescent="0.25">
      <c r="A144" s="12" t="str">
        <f>A143</f>
        <v>ЩУОВВ ЩМП-1-0 36 УХЛ3</v>
      </c>
      <c r="B144" s="13" t="s">
        <v>25</v>
      </c>
      <c r="C144" s="14" t="s">
        <v>67</v>
      </c>
      <c r="D144" s="12" t="s">
        <v>68</v>
      </c>
      <c r="E144" s="13">
        <v>5280</v>
      </c>
      <c r="F144" s="15">
        <f t="shared" si="76"/>
        <v>3168</v>
      </c>
      <c r="G144" s="15">
        <f t="shared" ref="G144:G147" si="78">F144*H144</f>
        <v>38016</v>
      </c>
      <c r="H144" s="16">
        <v>12</v>
      </c>
      <c r="I144" s="17" t="s">
        <v>13</v>
      </c>
      <c r="J144" s="13" t="s">
        <v>17</v>
      </c>
      <c r="K144">
        <v>38016</v>
      </c>
    </row>
    <row r="145" spans="1:11" ht="21" hidden="1" customHeight="1" x14ac:dyDescent="0.25">
      <c r="A145" s="12" t="str">
        <f t="shared" ref="A145" si="79">A144</f>
        <v>ЩУОВВ ЩМП-1-0 36 УХЛ3</v>
      </c>
      <c r="B145" s="13" t="s">
        <v>12</v>
      </c>
      <c r="C145" s="14" t="s">
        <v>19</v>
      </c>
      <c r="D145" s="12" t="s">
        <v>20</v>
      </c>
      <c r="E145" s="13">
        <v>783</v>
      </c>
      <c r="F145" s="15">
        <f t="shared" si="76"/>
        <v>469.79999999999995</v>
      </c>
      <c r="G145" s="15">
        <f t="shared" si="78"/>
        <v>469.79999999999995</v>
      </c>
      <c r="H145" s="16">
        <v>1</v>
      </c>
      <c r="I145" s="17" t="s">
        <v>13</v>
      </c>
      <c r="J145" s="13" t="s">
        <v>17</v>
      </c>
      <c r="K145">
        <v>469.79999999999995</v>
      </c>
    </row>
    <row r="146" spans="1:11" ht="21" hidden="1" customHeight="1" x14ac:dyDescent="0.25">
      <c r="A146" s="12" t="str">
        <f t="shared" ref="A146" si="80">A145</f>
        <v>ЩУОВВ ЩМП-1-0 36 УХЛ3</v>
      </c>
      <c r="B146" s="13" t="s">
        <v>94</v>
      </c>
      <c r="C146" s="14"/>
      <c r="D146" s="12" t="s">
        <v>93</v>
      </c>
      <c r="E146" s="13">
        <v>80000</v>
      </c>
      <c r="F146" s="15">
        <f t="shared" ref="F146" si="81">E146</f>
        <v>80000</v>
      </c>
      <c r="G146" s="15">
        <f t="shared" ref="G146" si="82">F146*H146</f>
        <v>80000</v>
      </c>
      <c r="H146" s="16">
        <v>1</v>
      </c>
      <c r="I146" s="17" t="s">
        <v>13</v>
      </c>
      <c r="J146" s="13" t="s">
        <v>28</v>
      </c>
      <c r="K146">
        <v>80000</v>
      </c>
    </row>
    <row r="147" spans="1:11" ht="24" hidden="1" customHeight="1" x14ac:dyDescent="0.25">
      <c r="A147" s="12" t="str">
        <f>A144</f>
        <v>ЩУОВВ ЩМП-1-0 36 УХЛ3</v>
      </c>
      <c r="B147" s="12" t="s">
        <v>10</v>
      </c>
      <c r="C147" s="18" t="s">
        <v>10</v>
      </c>
      <c r="D147" s="12" t="s">
        <v>10</v>
      </c>
      <c r="E147" s="12">
        <f ca="1">OFFSET(E147,1,2)</f>
        <v>18000</v>
      </c>
      <c r="F147" s="15">
        <f ca="1">E147</f>
        <v>18000</v>
      </c>
      <c r="G147" s="15">
        <f t="shared" ca="1" si="78"/>
        <v>18000</v>
      </c>
      <c r="H147" s="12">
        <v>1</v>
      </c>
      <c r="I147" s="12" t="s">
        <v>13</v>
      </c>
      <c r="J147" s="12" t="s">
        <v>10</v>
      </c>
      <c r="K147">
        <v>18000</v>
      </c>
    </row>
    <row r="148" spans="1:11" ht="21" hidden="1" customHeight="1" x14ac:dyDescent="0.25">
      <c r="A148" s="12" t="str">
        <f t="shared" ref="A148:A149" si="83">A147</f>
        <v>ЩУОВВ ЩМП-1-0 36 УХЛ3</v>
      </c>
      <c r="B148" s="12" t="s">
        <v>11</v>
      </c>
      <c r="C148" s="18" t="s">
        <v>11</v>
      </c>
      <c r="D148" s="12" t="s">
        <v>11</v>
      </c>
      <c r="E148" s="12">
        <v>3</v>
      </c>
      <c r="F148" s="15">
        <v>100</v>
      </c>
      <c r="G148" s="15">
        <f>60*E148*F148</f>
        <v>18000</v>
      </c>
      <c r="H148" s="12">
        <f>60*E148</f>
        <v>180</v>
      </c>
      <c r="I148" s="12" t="s">
        <v>13</v>
      </c>
      <c r="J148" s="12" t="s">
        <v>11</v>
      </c>
      <c r="K148">
        <v>18000</v>
      </c>
    </row>
    <row r="149" spans="1:11" ht="30" customHeight="1" x14ac:dyDescent="0.25">
      <c r="A149" s="12" t="str">
        <f t="shared" si="83"/>
        <v>ЩУОВВ ЩМП-1-0 36 УХЛ3</v>
      </c>
      <c r="B149" s="19"/>
      <c r="C149" s="20"/>
      <c r="D149" s="21"/>
      <c r="E149" s="23"/>
      <c r="F149" s="25"/>
      <c r="G149" s="24">
        <f ca="1">SUM(G142:G148)</f>
        <v>172143.2</v>
      </c>
      <c r="H149" s="20"/>
      <c r="I149" s="22"/>
      <c r="J149" s="20"/>
      <c r="K149">
        <v>172143.2</v>
      </c>
    </row>
    <row r="150" spans="1:11" ht="39.75" customHeight="1" x14ac:dyDescent="0.25">
      <c r="A150" s="5" t="str">
        <f>D150</f>
        <v>ЩCC</v>
      </c>
      <c r="B150" s="6"/>
      <c r="C150" s="7"/>
      <c r="D150" s="6" t="s">
        <v>95</v>
      </c>
      <c r="E150" s="8"/>
      <c r="F150" s="8"/>
      <c r="G150" s="9"/>
      <c r="H150" s="10">
        <v>1</v>
      </c>
      <c r="I150" s="11" t="s">
        <v>7</v>
      </c>
      <c r="J150" s="6" t="s">
        <v>9</v>
      </c>
    </row>
    <row r="151" spans="1:11" ht="21" hidden="1" customHeight="1" x14ac:dyDescent="0.25">
      <c r="A151" s="12" t="str">
        <f>A150</f>
        <v>ЩCC</v>
      </c>
      <c r="B151" s="13" t="s">
        <v>8</v>
      </c>
      <c r="C151" s="14" t="s">
        <v>135</v>
      </c>
      <c r="D151" s="12" t="s">
        <v>136</v>
      </c>
      <c r="E151" s="13">
        <v>14695</v>
      </c>
      <c r="F151" s="15">
        <f>E151*0.6</f>
        <v>8817</v>
      </c>
      <c r="G151" s="15">
        <f>H151*F151</f>
        <v>8817</v>
      </c>
      <c r="H151" s="16">
        <v>1</v>
      </c>
      <c r="I151" s="17" t="s">
        <v>13</v>
      </c>
      <c r="J151" s="13" t="s">
        <v>16</v>
      </c>
      <c r="K151">
        <v>8817</v>
      </c>
    </row>
    <row r="152" spans="1:11" ht="20.25" hidden="1" customHeight="1" x14ac:dyDescent="0.25">
      <c r="A152" s="12" t="str">
        <f t="shared" ref="A152" si="84">A151</f>
        <v>ЩCC</v>
      </c>
      <c r="B152" s="13" t="s">
        <v>12</v>
      </c>
      <c r="C152" s="26" t="s">
        <v>96</v>
      </c>
      <c r="D152" s="12" t="s">
        <v>97</v>
      </c>
      <c r="E152" s="27">
        <v>1656</v>
      </c>
      <c r="F152" s="15">
        <f t="shared" ref="F152:F154" si="85">E152*0.6</f>
        <v>993.59999999999991</v>
      </c>
      <c r="G152" s="15">
        <f t="shared" ref="G152:G155" si="86">F152*H152</f>
        <v>993.59999999999991</v>
      </c>
      <c r="H152" s="16">
        <v>1</v>
      </c>
      <c r="I152" s="17" t="s">
        <v>13</v>
      </c>
      <c r="J152" s="13" t="s">
        <v>17</v>
      </c>
      <c r="K152">
        <v>993.59999999999991</v>
      </c>
    </row>
    <row r="153" spans="1:11" ht="21" hidden="1" customHeight="1" x14ac:dyDescent="0.25">
      <c r="A153" s="12" t="str">
        <f>A152</f>
        <v>ЩCC</v>
      </c>
      <c r="B153" s="13" t="s">
        <v>25</v>
      </c>
      <c r="C153" s="14" t="s">
        <v>67</v>
      </c>
      <c r="D153" s="12" t="s">
        <v>68</v>
      </c>
      <c r="E153" s="13">
        <v>5280</v>
      </c>
      <c r="F153" s="15">
        <f t="shared" si="85"/>
        <v>3168</v>
      </c>
      <c r="G153" s="15">
        <f t="shared" si="86"/>
        <v>6336</v>
      </c>
      <c r="H153" s="16">
        <v>2</v>
      </c>
      <c r="I153" s="17" t="s">
        <v>13</v>
      </c>
      <c r="J153" s="13" t="s">
        <v>17</v>
      </c>
      <c r="K153">
        <v>6336</v>
      </c>
    </row>
    <row r="154" spans="1:11" ht="21" hidden="1" customHeight="1" x14ac:dyDescent="0.25">
      <c r="A154" s="12" t="str">
        <f t="shared" ref="A154" si="87">A153</f>
        <v>ЩCC</v>
      </c>
      <c r="B154" s="13" t="s">
        <v>12</v>
      </c>
      <c r="C154" s="14" t="s">
        <v>19</v>
      </c>
      <c r="D154" s="12" t="s">
        <v>20</v>
      </c>
      <c r="E154" s="13">
        <v>783</v>
      </c>
      <c r="F154" s="15">
        <f t="shared" si="85"/>
        <v>469.79999999999995</v>
      </c>
      <c r="G154" s="15">
        <f t="shared" si="86"/>
        <v>2818.7999999999997</v>
      </c>
      <c r="H154" s="16">
        <v>6</v>
      </c>
      <c r="I154" s="17" t="s">
        <v>13</v>
      </c>
      <c r="J154" s="13" t="s">
        <v>17</v>
      </c>
      <c r="K154">
        <v>2818.7999999999997</v>
      </c>
    </row>
    <row r="155" spans="1:11" ht="24" hidden="1" customHeight="1" x14ac:dyDescent="0.25">
      <c r="A155" s="12" t="str">
        <f>A153</f>
        <v>ЩCC</v>
      </c>
      <c r="B155" s="12" t="s">
        <v>10</v>
      </c>
      <c r="C155" s="18" t="s">
        <v>10</v>
      </c>
      <c r="D155" s="12" t="s">
        <v>10</v>
      </c>
      <c r="E155" s="12">
        <f ca="1">OFFSET(E155,1,2)</f>
        <v>9000</v>
      </c>
      <c r="F155" s="15">
        <f ca="1">E155</f>
        <v>9000</v>
      </c>
      <c r="G155" s="15">
        <f t="shared" ca="1" si="86"/>
        <v>9000</v>
      </c>
      <c r="H155" s="12">
        <v>1</v>
      </c>
      <c r="I155" s="12" t="s">
        <v>13</v>
      </c>
      <c r="J155" s="12" t="s">
        <v>10</v>
      </c>
      <c r="K155">
        <v>9000</v>
      </c>
    </row>
    <row r="156" spans="1:11" ht="21" hidden="1" customHeight="1" x14ac:dyDescent="0.25">
      <c r="A156" s="12" t="str">
        <f t="shared" ref="A156:A157" si="88">A155</f>
        <v>ЩCC</v>
      </c>
      <c r="B156" s="12" t="s">
        <v>11</v>
      </c>
      <c r="C156" s="18" t="s">
        <v>11</v>
      </c>
      <c r="D156" s="12" t="s">
        <v>11</v>
      </c>
      <c r="E156" s="12">
        <v>1.5</v>
      </c>
      <c r="F156" s="15">
        <v>100</v>
      </c>
      <c r="G156" s="15">
        <f>60*E156*F156</f>
        <v>9000</v>
      </c>
      <c r="H156" s="12">
        <f>60*E156</f>
        <v>90</v>
      </c>
      <c r="I156" s="12" t="s">
        <v>13</v>
      </c>
      <c r="J156" s="12" t="s">
        <v>11</v>
      </c>
      <c r="K156">
        <v>9000</v>
      </c>
    </row>
    <row r="157" spans="1:11" ht="30" customHeight="1" x14ac:dyDescent="0.25">
      <c r="A157" s="12" t="str">
        <f t="shared" si="88"/>
        <v>ЩCC</v>
      </c>
      <c r="B157" s="19"/>
      <c r="C157" s="20"/>
      <c r="D157" s="21"/>
      <c r="E157" s="23"/>
      <c r="F157" s="25"/>
      <c r="G157" s="24">
        <f ca="1">SUM(G151:G156)</f>
        <v>36965.4</v>
      </c>
      <c r="H157" s="20"/>
      <c r="I157" s="22"/>
      <c r="J157" s="20"/>
      <c r="K157">
        <v>36965.4</v>
      </c>
    </row>
    <row r="158" spans="1:11" ht="39.75" customHeight="1" x14ac:dyDescent="0.25">
      <c r="A158" s="5" t="str">
        <f>D158</f>
        <v>ЩCН-1</v>
      </c>
      <c r="B158" s="6"/>
      <c r="C158" s="7"/>
      <c r="D158" s="6" t="s">
        <v>98</v>
      </c>
      <c r="E158" s="8"/>
      <c r="F158" s="8"/>
      <c r="G158" s="9"/>
      <c r="H158" s="10">
        <v>1</v>
      </c>
      <c r="I158" s="11" t="s">
        <v>7</v>
      </c>
      <c r="J158" s="6" t="s">
        <v>9</v>
      </c>
    </row>
    <row r="159" spans="1:11" ht="21" hidden="1" customHeight="1" x14ac:dyDescent="0.25">
      <c r="A159" s="12" t="str">
        <f>A158</f>
        <v>ЩCН-1</v>
      </c>
      <c r="B159" s="13" t="s">
        <v>8</v>
      </c>
      <c r="C159" s="14" t="s">
        <v>141</v>
      </c>
      <c r="D159" s="12" t="s">
        <v>142</v>
      </c>
      <c r="E159" s="13">
        <v>19000</v>
      </c>
      <c r="F159" s="15">
        <f>E159*0.6</f>
        <v>11400</v>
      </c>
      <c r="G159" s="15">
        <f>H159*F159</f>
        <v>11400</v>
      </c>
      <c r="H159" s="16">
        <v>1</v>
      </c>
      <c r="I159" s="17" t="s">
        <v>13</v>
      </c>
      <c r="J159" s="13" t="s">
        <v>16</v>
      </c>
      <c r="K159">
        <v>11400</v>
      </c>
    </row>
    <row r="160" spans="1:11" ht="21" hidden="1" customHeight="1" x14ac:dyDescent="0.25">
      <c r="A160" s="12" t="str">
        <f t="shared" ref="A160:A164" si="89">A159</f>
        <v>ЩCН-1</v>
      </c>
      <c r="B160" s="13" t="s">
        <v>12</v>
      </c>
      <c r="C160" s="14" t="s">
        <v>52</v>
      </c>
      <c r="D160" s="12" t="s">
        <v>53</v>
      </c>
      <c r="E160" s="13">
        <v>2337</v>
      </c>
      <c r="F160" s="15">
        <f t="shared" ref="F160:F161" si="90">E160*0.6</f>
        <v>1402.2</v>
      </c>
      <c r="G160" s="15">
        <f t="shared" ref="G160:G162" si="91">F160*H160</f>
        <v>1402.2</v>
      </c>
      <c r="H160" s="16">
        <v>1</v>
      </c>
      <c r="I160" s="17" t="s">
        <v>13</v>
      </c>
      <c r="J160" s="13" t="s">
        <v>17</v>
      </c>
      <c r="K160">
        <v>1402.2</v>
      </c>
    </row>
    <row r="161" spans="1:11" ht="21" hidden="1" customHeight="1" x14ac:dyDescent="0.25">
      <c r="A161" s="12" t="str">
        <f t="shared" si="89"/>
        <v>ЩCН-1</v>
      </c>
      <c r="B161" s="13" t="s">
        <v>12</v>
      </c>
      <c r="C161" s="14" t="s">
        <v>44</v>
      </c>
      <c r="D161" s="12" t="s">
        <v>45</v>
      </c>
      <c r="E161" s="13">
        <v>2447</v>
      </c>
      <c r="F161" s="15">
        <f t="shared" si="90"/>
        <v>1468.2</v>
      </c>
      <c r="G161" s="15">
        <f t="shared" si="91"/>
        <v>5872.8</v>
      </c>
      <c r="H161" s="16">
        <v>4</v>
      </c>
      <c r="I161" s="17" t="s">
        <v>13</v>
      </c>
      <c r="J161" s="13" t="s">
        <v>17</v>
      </c>
      <c r="K161">
        <v>5872.8</v>
      </c>
    </row>
    <row r="162" spans="1:11" ht="24" hidden="1" customHeight="1" x14ac:dyDescent="0.25">
      <c r="A162" s="12" t="str">
        <f t="shared" si="89"/>
        <v>ЩCН-1</v>
      </c>
      <c r="B162" s="12" t="s">
        <v>10</v>
      </c>
      <c r="C162" s="18" t="s">
        <v>10</v>
      </c>
      <c r="D162" s="12" t="s">
        <v>10</v>
      </c>
      <c r="E162" s="12">
        <f ca="1">OFFSET(E162,1,2)</f>
        <v>9000</v>
      </c>
      <c r="F162" s="15">
        <f ca="1">E162</f>
        <v>9000</v>
      </c>
      <c r="G162" s="15">
        <f t="shared" ca="1" si="91"/>
        <v>9000</v>
      </c>
      <c r="H162" s="12">
        <v>1</v>
      </c>
      <c r="I162" s="12" t="s">
        <v>13</v>
      </c>
      <c r="J162" s="12" t="s">
        <v>10</v>
      </c>
      <c r="K162">
        <v>9000</v>
      </c>
    </row>
    <row r="163" spans="1:11" ht="21" hidden="1" customHeight="1" x14ac:dyDescent="0.25">
      <c r="A163" s="12" t="str">
        <f t="shared" si="89"/>
        <v>ЩCН-1</v>
      </c>
      <c r="B163" s="12" t="s">
        <v>11</v>
      </c>
      <c r="C163" s="18" t="s">
        <v>11</v>
      </c>
      <c r="D163" s="12" t="s">
        <v>11</v>
      </c>
      <c r="E163" s="12">
        <v>1.5</v>
      </c>
      <c r="F163" s="15">
        <v>100</v>
      </c>
      <c r="G163" s="15">
        <f>60*E163*F163</f>
        <v>9000</v>
      </c>
      <c r="H163" s="12">
        <f>60*E163</f>
        <v>90</v>
      </c>
      <c r="I163" s="12" t="s">
        <v>13</v>
      </c>
      <c r="J163" s="12" t="s">
        <v>11</v>
      </c>
      <c r="K163">
        <v>9000</v>
      </c>
    </row>
    <row r="164" spans="1:11" ht="30" customHeight="1" x14ac:dyDescent="0.25">
      <c r="A164" s="12" t="str">
        <f t="shared" si="89"/>
        <v>ЩCН-1</v>
      </c>
      <c r="B164" s="19"/>
      <c r="C164" s="20"/>
      <c r="D164" s="21"/>
      <c r="E164" s="23"/>
      <c r="F164" s="25"/>
      <c r="G164" s="24">
        <f ca="1">SUM(G159:G163)</f>
        <v>36675</v>
      </c>
      <c r="H164" s="20"/>
      <c r="I164" s="22"/>
      <c r="J164" s="20"/>
      <c r="K164">
        <v>36675</v>
      </c>
    </row>
    <row r="165" spans="1:11" ht="39.75" customHeight="1" x14ac:dyDescent="0.25">
      <c r="A165" s="5" t="str">
        <f>D165</f>
        <v>ЩCН-2</v>
      </c>
      <c r="B165" s="6"/>
      <c r="C165" s="7"/>
      <c r="D165" s="6" t="s">
        <v>99</v>
      </c>
      <c r="E165" s="8"/>
      <c r="F165" s="8"/>
      <c r="G165" s="9"/>
      <c r="H165" s="10">
        <v>1</v>
      </c>
      <c r="I165" s="11" t="s">
        <v>7</v>
      </c>
      <c r="J165" s="6" t="s">
        <v>9</v>
      </c>
    </row>
    <row r="166" spans="1:11" ht="21" hidden="1" customHeight="1" x14ac:dyDescent="0.25">
      <c r="A166" s="12" t="str">
        <f>A165</f>
        <v>ЩCН-2</v>
      </c>
      <c r="B166" s="13" t="s">
        <v>8</v>
      </c>
      <c r="C166" s="14" t="s">
        <v>141</v>
      </c>
      <c r="D166" s="12" t="s">
        <v>142</v>
      </c>
      <c r="E166" s="13">
        <v>19000</v>
      </c>
      <c r="F166" s="15">
        <f>E166*0.6</f>
        <v>11400</v>
      </c>
      <c r="G166" s="15">
        <f>H166*F166</f>
        <v>11400</v>
      </c>
      <c r="H166" s="16">
        <v>1</v>
      </c>
      <c r="I166" s="17" t="s">
        <v>13</v>
      </c>
      <c r="J166" s="13" t="s">
        <v>16</v>
      </c>
      <c r="K166">
        <v>11400</v>
      </c>
    </row>
    <row r="167" spans="1:11" ht="20.25" hidden="1" customHeight="1" x14ac:dyDescent="0.25">
      <c r="A167" s="12" t="str">
        <f t="shared" ref="A167:A172" si="92">A166</f>
        <v>ЩCН-2</v>
      </c>
      <c r="B167" s="13" t="s">
        <v>12</v>
      </c>
      <c r="C167" s="26" t="s">
        <v>23</v>
      </c>
      <c r="D167" s="12" t="s">
        <v>24</v>
      </c>
      <c r="E167" s="27">
        <v>2429</v>
      </c>
      <c r="F167" s="15">
        <f t="shared" ref="F167:F169" si="93">E167*0.6</f>
        <v>1457.3999999999999</v>
      </c>
      <c r="G167" s="15">
        <f t="shared" ref="G167:G170" si="94">F167*H167</f>
        <v>1457.3999999999999</v>
      </c>
      <c r="H167" s="16">
        <v>1</v>
      </c>
      <c r="I167" s="17" t="s">
        <v>13</v>
      </c>
      <c r="J167" s="13" t="s">
        <v>17</v>
      </c>
      <c r="K167">
        <v>1457.3999999999999</v>
      </c>
    </row>
    <row r="168" spans="1:11" ht="21" hidden="1" customHeight="1" x14ac:dyDescent="0.25">
      <c r="A168" s="12" t="str">
        <f t="shared" si="92"/>
        <v>ЩCН-2</v>
      </c>
      <c r="B168" s="13" t="s">
        <v>25</v>
      </c>
      <c r="C168" s="14" t="s">
        <v>67</v>
      </c>
      <c r="D168" s="12" t="s">
        <v>68</v>
      </c>
      <c r="E168" s="13">
        <v>5280</v>
      </c>
      <c r="F168" s="15">
        <f t="shared" si="93"/>
        <v>3168</v>
      </c>
      <c r="G168" s="15">
        <f t="shared" si="94"/>
        <v>38016</v>
      </c>
      <c r="H168" s="16">
        <v>12</v>
      </c>
      <c r="I168" s="17" t="s">
        <v>13</v>
      </c>
      <c r="J168" s="13" t="s">
        <v>17</v>
      </c>
      <c r="K168">
        <v>38016</v>
      </c>
    </row>
    <row r="169" spans="1:11" ht="21" hidden="1" customHeight="1" x14ac:dyDescent="0.25">
      <c r="A169" s="12" t="str">
        <f t="shared" si="92"/>
        <v>ЩCН-2</v>
      </c>
      <c r="B169" s="13" t="s">
        <v>12</v>
      </c>
      <c r="C169" s="14" t="s">
        <v>19</v>
      </c>
      <c r="D169" s="12" t="s">
        <v>20</v>
      </c>
      <c r="E169" s="13">
        <v>783</v>
      </c>
      <c r="F169" s="15">
        <f t="shared" si="93"/>
        <v>469.79999999999995</v>
      </c>
      <c r="G169" s="15">
        <f t="shared" si="94"/>
        <v>469.79999999999995</v>
      </c>
      <c r="H169" s="16">
        <v>1</v>
      </c>
      <c r="I169" s="17" t="s">
        <v>13</v>
      </c>
      <c r="J169" s="13" t="s">
        <v>17</v>
      </c>
      <c r="K169">
        <v>469.79999999999995</v>
      </c>
    </row>
    <row r="170" spans="1:11" ht="24" hidden="1" customHeight="1" x14ac:dyDescent="0.25">
      <c r="A170" s="12" t="str">
        <f t="shared" si="92"/>
        <v>ЩCН-2</v>
      </c>
      <c r="B170" s="12" t="s">
        <v>10</v>
      </c>
      <c r="C170" s="18" t="s">
        <v>10</v>
      </c>
      <c r="D170" s="12" t="s">
        <v>10</v>
      </c>
      <c r="E170" s="12">
        <f ca="1">OFFSET(E170,1,2)</f>
        <v>12000</v>
      </c>
      <c r="F170" s="15">
        <f ca="1">E170</f>
        <v>12000</v>
      </c>
      <c r="G170" s="15">
        <f t="shared" ca="1" si="94"/>
        <v>12000</v>
      </c>
      <c r="H170" s="12">
        <v>1</v>
      </c>
      <c r="I170" s="12" t="s">
        <v>13</v>
      </c>
      <c r="J170" s="12" t="s">
        <v>10</v>
      </c>
      <c r="K170">
        <v>12000</v>
      </c>
    </row>
    <row r="171" spans="1:11" ht="21" hidden="1" customHeight="1" x14ac:dyDescent="0.25">
      <c r="A171" s="12" t="str">
        <f t="shared" si="92"/>
        <v>ЩCН-2</v>
      </c>
      <c r="B171" s="12" t="s">
        <v>11</v>
      </c>
      <c r="C171" s="18" t="s">
        <v>11</v>
      </c>
      <c r="D171" s="12" t="s">
        <v>11</v>
      </c>
      <c r="E171" s="12">
        <v>2</v>
      </c>
      <c r="F171" s="15">
        <v>100</v>
      </c>
      <c r="G171" s="15">
        <f>60*E171*F171</f>
        <v>12000</v>
      </c>
      <c r="H171" s="12">
        <f>60*E171</f>
        <v>120</v>
      </c>
      <c r="I171" s="12" t="s">
        <v>13</v>
      </c>
      <c r="J171" s="12" t="s">
        <v>11</v>
      </c>
      <c r="K171">
        <v>12000</v>
      </c>
    </row>
    <row r="172" spans="1:11" ht="30" customHeight="1" x14ac:dyDescent="0.25">
      <c r="A172" s="12" t="str">
        <f t="shared" si="92"/>
        <v>ЩCН-2</v>
      </c>
      <c r="B172" s="19"/>
      <c r="C172" s="20"/>
      <c r="D172" s="21"/>
      <c r="E172" s="23"/>
      <c r="F172" s="25"/>
      <c r="G172" s="24">
        <f ca="1">SUM(G166:G171)</f>
        <v>75343.200000000012</v>
      </c>
      <c r="H172" s="20"/>
      <c r="I172" s="22"/>
      <c r="J172" s="20"/>
      <c r="K172">
        <v>75343.200000000012</v>
      </c>
    </row>
    <row r="173" spans="1:11" ht="39.75" customHeight="1" x14ac:dyDescent="0.25">
      <c r="A173" s="5" t="str">
        <f>D173</f>
        <v>ЩУВ-1</v>
      </c>
      <c r="B173" s="6"/>
      <c r="C173" s="7"/>
      <c r="D173" s="6" t="s">
        <v>100</v>
      </c>
      <c r="E173" s="8"/>
      <c r="F173" s="8"/>
      <c r="G173" s="9"/>
      <c r="H173" s="10">
        <v>1</v>
      </c>
      <c r="I173" s="11" t="s">
        <v>7</v>
      </c>
      <c r="J173" s="6" t="s">
        <v>9</v>
      </c>
    </row>
    <row r="174" spans="1:11" ht="21" hidden="1" customHeight="1" x14ac:dyDescent="0.25">
      <c r="A174" s="12" t="str">
        <f>A173</f>
        <v>ЩУВ-1</v>
      </c>
      <c r="B174" s="13" t="s">
        <v>8</v>
      </c>
      <c r="C174" s="14" t="s">
        <v>65</v>
      </c>
      <c r="D174" s="12" t="s">
        <v>66</v>
      </c>
      <c r="E174" s="13">
        <v>38905</v>
      </c>
      <c r="F174" s="15">
        <f>E174*0.6</f>
        <v>23343</v>
      </c>
      <c r="G174" s="15">
        <f>H174*F174</f>
        <v>23343</v>
      </c>
      <c r="H174" s="16">
        <v>1</v>
      </c>
      <c r="I174" s="17" t="s">
        <v>13</v>
      </c>
      <c r="J174" s="13" t="s">
        <v>16</v>
      </c>
      <c r="K174">
        <v>23343</v>
      </c>
    </row>
    <row r="175" spans="1:11" ht="20.25" hidden="1" customHeight="1" x14ac:dyDescent="0.25">
      <c r="A175" s="12" t="str">
        <f t="shared" ref="A175:A182" si="95">A174</f>
        <v>ЩУВ-1</v>
      </c>
      <c r="B175" s="13" t="s">
        <v>43</v>
      </c>
      <c r="C175" s="26" t="s">
        <v>101</v>
      </c>
      <c r="D175" s="12" t="s">
        <v>102</v>
      </c>
      <c r="E175" s="27">
        <v>74241</v>
      </c>
      <c r="F175" s="15">
        <f t="shared" ref="F175:F179" si="96">E175*0.6</f>
        <v>44544.6</v>
      </c>
      <c r="G175" s="15">
        <f t="shared" ref="G175:G180" si="97">F175*H175</f>
        <v>44544.6</v>
      </c>
      <c r="H175" s="16">
        <v>1</v>
      </c>
      <c r="I175" s="17" t="s">
        <v>13</v>
      </c>
      <c r="J175" s="13" t="s">
        <v>17</v>
      </c>
      <c r="K175">
        <v>44544.6</v>
      </c>
    </row>
    <row r="176" spans="1:11" ht="21" hidden="1" customHeight="1" x14ac:dyDescent="0.25">
      <c r="A176" s="12" t="str">
        <f t="shared" si="95"/>
        <v>ЩУВ-1</v>
      </c>
      <c r="B176" s="13" t="s">
        <v>48</v>
      </c>
      <c r="C176" s="14">
        <v>946965</v>
      </c>
      <c r="D176" s="12" t="s">
        <v>160</v>
      </c>
      <c r="E176" s="13">
        <v>15500</v>
      </c>
      <c r="F176" s="15">
        <f t="shared" si="96"/>
        <v>9300</v>
      </c>
      <c r="G176" s="15">
        <f t="shared" si="97"/>
        <v>9300</v>
      </c>
      <c r="H176" s="16">
        <v>1</v>
      </c>
      <c r="I176" s="17" t="s">
        <v>13</v>
      </c>
      <c r="J176" s="13" t="s">
        <v>17</v>
      </c>
      <c r="K176">
        <v>9300</v>
      </c>
    </row>
    <row r="177" spans="1:11" ht="20.25" hidden="1" customHeight="1" x14ac:dyDescent="0.25">
      <c r="A177" s="12" t="str">
        <f t="shared" ref="A177" si="98">A176</f>
        <v>ЩУВ-1</v>
      </c>
      <c r="B177" s="13" t="s">
        <v>43</v>
      </c>
      <c r="C177" s="26" t="s">
        <v>103</v>
      </c>
      <c r="D177" s="12" t="s">
        <v>104</v>
      </c>
      <c r="E177" s="27">
        <v>73778</v>
      </c>
      <c r="F177" s="15">
        <f t="shared" si="96"/>
        <v>44266.799999999996</v>
      </c>
      <c r="G177" s="15">
        <f t="shared" ref="G177" si="99">F177*H177</f>
        <v>44266.799999999996</v>
      </c>
      <c r="H177" s="16">
        <v>1</v>
      </c>
      <c r="I177" s="17" t="s">
        <v>13</v>
      </c>
      <c r="J177" s="13" t="s">
        <v>17</v>
      </c>
      <c r="K177">
        <v>44266.799999999996</v>
      </c>
    </row>
    <row r="178" spans="1:11" ht="21" hidden="1" customHeight="1" x14ac:dyDescent="0.25">
      <c r="A178" s="12" t="str">
        <f>A176</f>
        <v>ЩУВ-1</v>
      </c>
      <c r="B178" s="13" t="s">
        <v>12</v>
      </c>
      <c r="C178" s="14" t="s">
        <v>23</v>
      </c>
      <c r="D178" s="12" t="s">
        <v>24</v>
      </c>
      <c r="E178" s="13">
        <v>2429</v>
      </c>
      <c r="F178" s="15">
        <f t="shared" si="96"/>
        <v>1457.3999999999999</v>
      </c>
      <c r="G178" s="15">
        <f t="shared" si="97"/>
        <v>1457.3999999999999</v>
      </c>
      <c r="H178" s="16">
        <v>1</v>
      </c>
      <c r="I178" s="17" t="s">
        <v>13</v>
      </c>
      <c r="J178" s="13" t="s">
        <v>17</v>
      </c>
      <c r="K178">
        <v>1457.3999999999999</v>
      </c>
    </row>
    <row r="179" spans="1:11" ht="21" hidden="1" customHeight="1" x14ac:dyDescent="0.25">
      <c r="A179" s="12" t="str">
        <f>A177</f>
        <v>ЩУВ-1</v>
      </c>
      <c r="B179" s="13" t="s">
        <v>12</v>
      </c>
      <c r="C179" s="14" t="s">
        <v>52</v>
      </c>
      <c r="D179" s="12" t="s">
        <v>53</v>
      </c>
      <c r="E179" s="13">
        <v>2337</v>
      </c>
      <c r="F179" s="15">
        <f t="shared" si="96"/>
        <v>1402.2</v>
      </c>
      <c r="G179" s="15">
        <f t="shared" ref="G179" si="100">F179*H179</f>
        <v>4206.6000000000004</v>
      </c>
      <c r="H179" s="16">
        <v>3</v>
      </c>
      <c r="I179" s="17" t="s">
        <v>13</v>
      </c>
      <c r="J179" s="13" t="s">
        <v>17</v>
      </c>
      <c r="K179">
        <v>4206.6000000000004</v>
      </c>
    </row>
    <row r="180" spans="1:11" ht="24" hidden="1" customHeight="1" x14ac:dyDescent="0.25">
      <c r="A180" s="12" t="str">
        <f>A178</f>
        <v>ЩУВ-1</v>
      </c>
      <c r="B180" s="12" t="s">
        <v>10</v>
      </c>
      <c r="C180" s="18" t="s">
        <v>10</v>
      </c>
      <c r="D180" s="12" t="s">
        <v>10</v>
      </c>
      <c r="E180" s="12">
        <f ca="1">OFFSET(E180,1,2)</f>
        <v>36000</v>
      </c>
      <c r="F180" s="15">
        <f ca="1">E180</f>
        <v>36000</v>
      </c>
      <c r="G180" s="15">
        <f t="shared" ca="1" si="97"/>
        <v>36000</v>
      </c>
      <c r="H180" s="12">
        <v>1</v>
      </c>
      <c r="I180" s="12" t="s">
        <v>13</v>
      </c>
      <c r="J180" s="12" t="s">
        <v>10</v>
      </c>
      <c r="K180">
        <v>36000</v>
      </c>
    </row>
    <row r="181" spans="1:11" ht="21" hidden="1" customHeight="1" x14ac:dyDescent="0.25">
      <c r="A181" s="12" t="str">
        <f t="shared" si="95"/>
        <v>ЩУВ-1</v>
      </c>
      <c r="B181" s="12" t="s">
        <v>11</v>
      </c>
      <c r="C181" s="18" t="s">
        <v>11</v>
      </c>
      <c r="D181" s="12" t="s">
        <v>11</v>
      </c>
      <c r="E181" s="12">
        <v>6</v>
      </c>
      <c r="F181" s="15">
        <v>100</v>
      </c>
      <c r="G181" s="15">
        <f>60*E181*F181</f>
        <v>36000</v>
      </c>
      <c r="H181" s="12">
        <f>60*E181</f>
        <v>360</v>
      </c>
      <c r="I181" s="12" t="s">
        <v>13</v>
      </c>
      <c r="J181" s="12" t="s">
        <v>11</v>
      </c>
      <c r="K181">
        <v>36000</v>
      </c>
    </row>
    <row r="182" spans="1:11" ht="30" customHeight="1" x14ac:dyDescent="0.25">
      <c r="A182" s="12" t="str">
        <f t="shared" si="95"/>
        <v>ЩУВ-1</v>
      </c>
      <c r="B182" s="19"/>
      <c r="C182" s="20"/>
      <c r="D182" s="21"/>
      <c r="E182" s="23"/>
      <c r="F182" s="25"/>
      <c r="G182" s="24">
        <f ca="1">SUM(G174:G181)</f>
        <v>199118.4</v>
      </c>
      <c r="H182" s="20"/>
      <c r="I182" s="22"/>
      <c r="J182" s="20"/>
      <c r="K182">
        <v>199118.4</v>
      </c>
    </row>
    <row r="183" spans="1:11" ht="39.75" customHeight="1" x14ac:dyDescent="0.25">
      <c r="A183" s="5" t="str">
        <f>D183</f>
        <v>ЩУВ-2</v>
      </c>
      <c r="B183" s="6"/>
      <c r="C183" s="7"/>
      <c r="D183" s="6" t="s">
        <v>105</v>
      </c>
      <c r="E183" s="8"/>
      <c r="F183" s="8"/>
      <c r="G183" s="9"/>
      <c r="H183" s="10">
        <v>1</v>
      </c>
      <c r="I183" s="11" t="s">
        <v>7</v>
      </c>
      <c r="J183" s="6" t="s">
        <v>9</v>
      </c>
    </row>
    <row r="184" spans="1:11" ht="21" hidden="1" customHeight="1" x14ac:dyDescent="0.25">
      <c r="A184" s="12" t="str">
        <f>A183</f>
        <v>ЩУВ-2</v>
      </c>
      <c r="B184" s="13" t="s">
        <v>8</v>
      </c>
      <c r="C184" s="14" t="s">
        <v>65</v>
      </c>
      <c r="D184" s="12" t="s">
        <v>66</v>
      </c>
      <c r="E184" s="13">
        <v>38905</v>
      </c>
      <c r="F184" s="15">
        <f>E184*0.6</f>
        <v>23343</v>
      </c>
      <c r="G184" s="15">
        <f>H184*F184</f>
        <v>23343</v>
      </c>
      <c r="H184" s="16">
        <v>1</v>
      </c>
      <c r="I184" s="17" t="s">
        <v>13</v>
      </c>
      <c r="J184" s="13" t="s">
        <v>16</v>
      </c>
      <c r="K184">
        <v>23343</v>
      </c>
    </row>
    <row r="185" spans="1:11" ht="20.25" hidden="1" customHeight="1" x14ac:dyDescent="0.25">
      <c r="A185" s="12" t="str">
        <f t="shared" ref="A185:A187" si="101">A184</f>
        <v>ЩУВ-2</v>
      </c>
      <c r="B185" s="13" t="s">
        <v>43</v>
      </c>
      <c r="C185" s="26" t="s">
        <v>101</v>
      </c>
      <c r="D185" s="12" t="s">
        <v>102</v>
      </c>
      <c r="E185" s="27">
        <v>74241</v>
      </c>
      <c r="F185" s="15">
        <f t="shared" ref="F185:F189" si="102">E185*0.6</f>
        <v>44544.6</v>
      </c>
      <c r="G185" s="15">
        <f t="shared" ref="G185:G190" si="103">F185*H185</f>
        <v>44544.6</v>
      </c>
      <c r="H185" s="16">
        <v>1</v>
      </c>
      <c r="I185" s="17" t="s">
        <v>13</v>
      </c>
      <c r="J185" s="13" t="s">
        <v>17</v>
      </c>
      <c r="K185">
        <v>44544.6</v>
      </c>
    </row>
    <row r="186" spans="1:11" ht="21" hidden="1" customHeight="1" x14ac:dyDescent="0.25">
      <c r="A186" s="12" t="str">
        <f t="shared" si="101"/>
        <v>ЩУВ-2</v>
      </c>
      <c r="B186" s="13" t="s">
        <v>48</v>
      </c>
      <c r="C186" s="14">
        <v>946965</v>
      </c>
      <c r="D186" s="12" t="s">
        <v>160</v>
      </c>
      <c r="E186" s="13">
        <v>15500</v>
      </c>
      <c r="F186" s="15">
        <f t="shared" si="102"/>
        <v>9300</v>
      </c>
      <c r="G186" s="15">
        <f t="shared" si="103"/>
        <v>9300</v>
      </c>
      <c r="H186" s="16">
        <v>1</v>
      </c>
      <c r="I186" s="17" t="s">
        <v>13</v>
      </c>
      <c r="J186" s="13" t="s">
        <v>17</v>
      </c>
      <c r="K186">
        <v>9300</v>
      </c>
    </row>
    <row r="187" spans="1:11" ht="20.25" hidden="1" customHeight="1" x14ac:dyDescent="0.25">
      <c r="A187" s="12" t="str">
        <f t="shared" si="101"/>
        <v>ЩУВ-2</v>
      </c>
      <c r="B187" s="13" t="s">
        <v>43</v>
      </c>
      <c r="C187" s="26" t="s">
        <v>103</v>
      </c>
      <c r="D187" s="12" t="s">
        <v>104</v>
      </c>
      <c r="E187" s="27">
        <v>73778</v>
      </c>
      <c r="F187" s="15">
        <f t="shared" si="102"/>
        <v>44266.799999999996</v>
      </c>
      <c r="G187" s="15">
        <f t="shared" si="103"/>
        <v>44266.799999999996</v>
      </c>
      <c r="H187" s="16">
        <v>1</v>
      </c>
      <c r="I187" s="17" t="s">
        <v>13</v>
      </c>
      <c r="J187" s="13" t="s">
        <v>17</v>
      </c>
      <c r="K187">
        <v>44266.799999999996</v>
      </c>
    </row>
    <row r="188" spans="1:11" ht="21" hidden="1" customHeight="1" x14ac:dyDescent="0.25">
      <c r="A188" s="12" t="str">
        <f>A186</f>
        <v>ЩУВ-2</v>
      </c>
      <c r="B188" s="13" t="s">
        <v>12</v>
      </c>
      <c r="C188" s="14" t="s">
        <v>23</v>
      </c>
      <c r="D188" s="12" t="s">
        <v>24</v>
      </c>
      <c r="E188" s="13">
        <v>2429</v>
      </c>
      <c r="F188" s="15">
        <f t="shared" si="102"/>
        <v>1457.3999999999999</v>
      </c>
      <c r="G188" s="15">
        <f t="shared" si="103"/>
        <v>1457.3999999999999</v>
      </c>
      <c r="H188" s="16">
        <v>1</v>
      </c>
      <c r="I188" s="17" t="s">
        <v>13</v>
      </c>
      <c r="J188" s="13" t="s">
        <v>17</v>
      </c>
      <c r="K188">
        <v>1457.3999999999999</v>
      </c>
    </row>
    <row r="189" spans="1:11" ht="21" hidden="1" customHeight="1" x14ac:dyDescent="0.25">
      <c r="A189" s="12" t="str">
        <f>A187</f>
        <v>ЩУВ-2</v>
      </c>
      <c r="B189" s="13" t="s">
        <v>12</v>
      </c>
      <c r="C189" s="14" t="s">
        <v>52</v>
      </c>
      <c r="D189" s="12" t="s">
        <v>53</v>
      </c>
      <c r="E189" s="13">
        <v>2337</v>
      </c>
      <c r="F189" s="15">
        <f t="shared" si="102"/>
        <v>1402.2</v>
      </c>
      <c r="G189" s="15">
        <f t="shared" si="103"/>
        <v>2804.4</v>
      </c>
      <c r="H189" s="16">
        <v>2</v>
      </c>
      <c r="I189" s="17" t="s">
        <v>13</v>
      </c>
      <c r="J189" s="13" t="s">
        <v>17</v>
      </c>
      <c r="K189">
        <v>2804.4</v>
      </c>
    </row>
    <row r="190" spans="1:11" ht="24" hidden="1" customHeight="1" x14ac:dyDescent="0.25">
      <c r="A190" s="12" t="str">
        <f>A188</f>
        <v>ЩУВ-2</v>
      </c>
      <c r="B190" s="12" t="s">
        <v>10</v>
      </c>
      <c r="C190" s="18" t="s">
        <v>10</v>
      </c>
      <c r="D190" s="12" t="s">
        <v>10</v>
      </c>
      <c r="E190" s="12">
        <f ca="1">OFFSET(E190,1,2)</f>
        <v>36000</v>
      </c>
      <c r="F190" s="15">
        <f ca="1">E190</f>
        <v>36000</v>
      </c>
      <c r="G190" s="15">
        <f t="shared" ca="1" si="103"/>
        <v>36000</v>
      </c>
      <c r="H190" s="12">
        <v>1</v>
      </c>
      <c r="I190" s="12" t="s">
        <v>13</v>
      </c>
      <c r="J190" s="12" t="s">
        <v>10</v>
      </c>
      <c r="K190">
        <v>36000</v>
      </c>
    </row>
    <row r="191" spans="1:11" ht="21" hidden="1" customHeight="1" x14ac:dyDescent="0.25">
      <c r="A191" s="12" t="str">
        <f t="shared" ref="A191:A192" si="104">A190</f>
        <v>ЩУВ-2</v>
      </c>
      <c r="B191" s="12" t="s">
        <v>11</v>
      </c>
      <c r="C191" s="18" t="s">
        <v>11</v>
      </c>
      <c r="D191" s="12" t="s">
        <v>11</v>
      </c>
      <c r="E191" s="12">
        <v>6</v>
      </c>
      <c r="F191" s="15">
        <v>100</v>
      </c>
      <c r="G191" s="15">
        <f>60*E191*F191</f>
        <v>36000</v>
      </c>
      <c r="H191" s="12">
        <f>60*E191</f>
        <v>360</v>
      </c>
      <c r="I191" s="12" t="s">
        <v>13</v>
      </c>
      <c r="J191" s="12" t="s">
        <v>11</v>
      </c>
      <c r="K191">
        <v>36000</v>
      </c>
    </row>
    <row r="192" spans="1:11" ht="30" customHeight="1" x14ac:dyDescent="0.25">
      <c r="A192" s="12" t="str">
        <f t="shared" si="104"/>
        <v>ЩУВ-2</v>
      </c>
      <c r="B192" s="19"/>
      <c r="C192" s="20"/>
      <c r="D192" s="21"/>
      <c r="E192" s="23"/>
      <c r="F192" s="25"/>
      <c r="G192" s="24">
        <f ca="1">SUM(G184:G191)</f>
        <v>197716.19999999998</v>
      </c>
      <c r="H192" s="20"/>
      <c r="I192" s="22"/>
      <c r="J192" s="20"/>
      <c r="K192">
        <v>197716.19999999998</v>
      </c>
    </row>
    <row r="193" spans="1:11" ht="39.75" customHeight="1" x14ac:dyDescent="0.25">
      <c r="A193" s="5" t="str">
        <f>D193</f>
        <v>ЩУВ-3</v>
      </c>
      <c r="B193" s="6"/>
      <c r="C193" s="7"/>
      <c r="D193" s="6" t="s">
        <v>106</v>
      </c>
      <c r="E193" s="8"/>
      <c r="F193" s="8"/>
      <c r="G193" s="9"/>
      <c r="H193" s="10">
        <v>1</v>
      </c>
      <c r="I193" s="11" t="s">
        <v>7</v>
      </c>
      <c r="J193" s="6" t="s">
        <v>9</v>
      </c>
    </row>
    <row r="194" spans="1:11" ht="21" hidden="1" customHeight="1" x14ac:dyDescent="0.25">
      <c r="A194" s="12" t="str">
        <f>A193</f>
        <v>ЩУВ-3</v>
      </c>
      <c r="B194" s="13" t="s">
        <v>8</v>
      </c>
      <c r="C194" s="14" t="s">
        <v>143</v>
      </c>
      <c r="D194" s="12" t="s">
        <v>144</v>
      </c>
      <c r="E194" s="13">
        <v>29000</v>
      </c>
      <c r="F194" s="15">
        <f>E194*0.6</f>
        <v>17400</v>
      </c>
      <c r="G194" s="15">
        <f>H194*F194</f>
        <v>17400</v>
      </c>
      <c r="H194" s="16">
        <v>1</v>
      </c>
      <c r="I194" s="17" t="s">
        <v>13</v>
      </c>
      <c r="J194" s="13" t="s">
        <v>16</v>
      </c>
      <c r="K194">
        <v>17400</v>
      </c>
    </row>
    <row r="195" spans="1:11" ht="20.25" hidden="1" customHeight="1" x14ac:dyDescent="0.25">
      <c r="A195" s="12" t="str">
        <f t="shared" ref="A195:A197" si="105">A194</f>
        <v>ЩУВ-3</v>
      </c>
      <c r="B195" s="13" t="s">
        <v>43</v>
      </c>
      <c r="C195" s="26" t="s">
        <v>41</v>
      </c>
      <c r="D195" s="12" t="s">
        <v>42</v>
      </c>
      <c r="E195" s="27">
        <v>19418</v>
      </c>
      <c r="F195" s="15">
        <f t="shared" ref="F195:F199" si="106">E195*0.6</f>
        <v>11650.8</v>
      </c>
      <c r="G195" s="15">
        <f t="shared" ref="G195:G200" si="107">F195*H195</f>
        <v>11650.8</v>
      </c>
      <c r="H195" s="16">
        <v>1</v>
      </c>
      <c r="I195" s="17" t="s">
        <v>13</v>
      </c>
      <c r="J195" s="13" t="s">
        <v>17</v>
      </c>
      <c r="K195">
        <v>11650.8</v>
      </c>
    </row>
    <row r="196" spans="1:11" ht="21" hidden="1" customHeight="1" x14ac:dyDescent="0.25">
      <c r="A196" s="12" t="str">
        <f t="shared" si="105"/>
        <v>ЩУВ-3</v>
      </c>
      <c r="B196" s="13" t="s">
        <v>48</v>
      </c>
      <c r="C196" s="14" t="s">
        <v>107</v>
      </c>
      <c r="D196" s="12" t="s">
        <v>108</v>
      </c>
      <c r="E196" s="13">
        <v>6054</v>
      </c>
      <c r="F196" s="15">
        <f t="shared" si="106"/>
        <v>3632.4</v>
      </c>
      <c r="G196" s="15">
        <f t="shared" si="107"/>
        <v>3632.4</v>
      </c>
      <c r="H196" s="16">
        <v>1</v>
      </c>
      <c r="I196" s="17" t="s">
        <v>13</v>
      </c>
      <c r="J196" s="13" t="s">
        <v>17</v>
      </c>
      <c r="K196">
        <v>3632.4</v>
      </c>
    </row>
    <row r="197" spans="1:11" ht="21" hidden="1" customHeight="1" x14ac:dyDescent="0.25">
      <c r="A197" s="12" t="str">
        <f t="shared" si="105"/>
        <v>ЩУВ-3</v>
      </c>
      <c r="B197" s="13" t="s">
        <v>25</v>
      </c>
      <c r="C197" s="14" t="s">
        <v>67</v>
      </c>
      <c r="D197" s="12" t="s">
        <v>68</v>
      </c>
      <c r="E197" s="13">
        <v>5280</v>
      </c>
      <c r="F197" s="15">
        <f t="shared" si="106"/>
        <v>3168</v>
      </c>
      <c r="G197" s="15">
        <f t="shared" si="107"/>
        <v>3168</v>
      </c>
      <c r="H197" s="16">
        <v>1</v>
      </c>
      <c r="I197" s="17" t="s">
        <v>13</v>
      </c>
      <c r="J197" s="13" t="s">
        <v>17</v>
      </c>
      <c r="K197">
        <v>3168</v>
      </c>
    </row>
    <row r="198" spans="1:11" ht="21" hidden="1" customHeight="1" x14ac:dyDescent="0.25">
      <c r="A198" s="12" t="str">
        <f>A196</f>
        <v>ЩУВ-3</v>
      </c>
      <c r="B198" s="13" t="s">
        <v>12</v>
      </c>
      <c r="C198" s="14" t="s">
        <v>23</v>
      </c>
      <c r="D198" s="12" t="s">
        <v>24</v>
      </c>
      <c r="E198" s="13">
        <v>2429</v>
      </c>
      <c r="F198" s="15">
        <f t="shared" si="106"/>
        <v>1457.3999999999999</v>
      </c>
      <c r="G198" s="15">
        <f t="shared" si="107"/>
        <v>2914.7999999999997</v>
      </c>
      <c r="H198" s="16">
        <v>2</v>
      </c>
      <c r="I198" s="17" t="s">
        <v>13</v>
      </c>
      <c r="J198" s="13" t="s">
        <v>17</v>
      </c>
      <c r="K198">
        <v>2914.7999999999997</v>
      </c>
    </row>
    <row r="199" spans="1:11" ht="21" hidden="1" customHeight="1" x14ac:dyDescent="0.25">
      <c r="A199" s="12" t="str">
        <f>A197</f>
        <v>ЩУВ-3</v>
      </c>
      <c r="B199" s="13" t="s">
        <v>12</v>
      </c>
      <c r="C199" s="14" t="s">
        <v>44</v>
      </c>
      <c r="D199" s="12" t="s">
        <v>45</v>
      </c>
      <c r="E199" s="13">
        <v>2447</v>
      </c>
      <c r="F199" s="15">
        <f t="shared" si="106"/>
        <v>1468.2</v>
      </c>
      <c r="G199" s="15">
        <f t="shared" si="107"/>
        <v>22023</v>
      </c>
      <c r="H199" s="16">
        <v>15</v>
      </c>
      <c r="I199" s="17" t="s">
        <v>13</v>
      </c>
      <c r="J199" s="13" t="s">
        <v>17</v>
      </c>
      <c r="K199">
        <v>22023</v>
      </c>
    </row>
    <row r="200" spans="1:11" ht="24" hidden="1" customHeight="1" x14ac:dyDescent="0.25">
      <c r="A200" s="12" t="str">
        <f>A198</f>
        <v>ЩУВ-3</v>
      </c>
      <c r="B200" s="12" t="s">
        <v>10</v>
      </c>
      <c r="C200" s="18" t="s">
        <v>10</v>
      </c>
      <c r="D200" s="12" t="s">
        <v>10</v>
      </c>
      <c r="E200" s="12">
        <f ca="1">OFFSET(E200,1,2)</f>
        <v>21000</v>
      </c>
      <c r="F200" s="15">
        <f ca="1">E200</f>
        <v>21000</v>
      </c>
      <c r="G200" s="15">
        <f t="shared" ca="1" si="107"/>
        <v>21000</v>
      </c>
      <c r="H200" s="12">
        <v>1</v>
      </c>
      <c r="I200" s="12" t="s">
        <v>13</v>
      </c>
      <c r="J200" s="12" t="s">
        <v>10</v>
      </c>
      <c r="K200">
        <v>21000</v>
      </c>
    </row>
    <row r="201" spans="1:11" ht="21" hidden="1" customHeight="1" x14ac:dyDescent="0.25">
      <c r="A201" s="12" t="str">
        <f t="shared" ref="A201:A202" si="108">A200</f>
        <v>ЩУВ-3</v>
      </c>
      <c r="B201" s="12" t="s">
        <v>11</v>
      </c>
      <c r="C201" s="18" t="s">
        <v>11</v>
      </c>
      <c r="D201" s="12" t="s">
        <v>11</v>
      </c>
      <c r="E201" s="12">
        <v>3.5</v>
      </c>
      <c r="F201" s="15">
        <v>100</v>
      </c>
      <c r="G201" s="15">
        <f>60*E201*F201</f>
        <v>21000</v>
      </c>
      <c r="H201" s="12">
        <f>60*E201</f>
        <v>210</v>
      </c>
      <c r="I201" s="12" t="s">
        <v>13</v>
      </c>
      <c r="J201" s="12" t="s">
        <v>11</v>
      </c>
      <c r="K201">
        <v>21000</v>
      </c>
    </row>
    <row r="202" spans="1:11" ht="30" customHeight="1" x14ac:dyDescent="0.25">
      <c r="A202" s="12" t="str">
        <f t="shared" si="108"/>
        <v>ЩУВ-3</v>
      </c>
      <c r="B202" s="19"/>
      <c r="C202" s="20"/>
      <c r="D202" s="21"/>
      <c r="E202" s="23"/>
      <c r="F202" s="25"/>
      <c r="G202" s="24">
        <f ca="1">SUM(G194:G201)</f>
        <v>102789</v>
      </c>
      <c r="H202" s="20"/>
      <c r="I202" s="22"/>
      <c r="J202" s="20"/>
      <c r="K202">
        <v>102789</v>
      </c>
    </row>
    <row r="203" spans="1:11" ht="39.75" customHeight="1" x14ac:dyDescent="0.25">
      <c r="A203" s="5" t="str">
        <f>D203</f>
        <v>ЩД</v>
      </c>
      <c r="B203" s="6"/>
      <c r="C203" s="7"/>
      <c r="D203" s="6" t="s">
        <v>109</v>
      </c>
      <c r="E203" s="8"/>
      <c r="F203" s="8"/>
      <c r="G203" s="9"/>
      <c r="H203" s="10">
        <v>1</v>
      </c>
      <c r="I203" s="11" t="s">
        <v>7</v>
      </c>
      <c r="J203" s="6" t="s">
        <v>9</v>
      </c>
    </row>
    <row r="204" spans="1:11" ht="21" hidden="1" customHeight="1" x14ac:dyDescent="0.25">
      <c r="A204" s="12" t="str">
        <f>A203</f>
        <v>ЩД</v>
      </c>
      <c r="B204" s="13" t="s">
        <v>8</v>
      </c>
      <c r="C204" s="14" t="s">
        <v>161</v>
      </c>
      <c r="D204" s="12" t="s">
        <v>162</v>
      </c>
      <c r="E204" s="13">
        <v>18920</v>
      </c>
      <c r="F204" s="15">
        <f>E204*0.6</f>
        <v>11352</v>
      </c>
      <c r="G204" s="15">
        <f>H204*F204</f>
        <v>11352</v>
      </c>
      <c r="H204" s="16">
        <v>1</v>
      </c>
      <c r="I204" s="17" t="s">
        <v>13</v>
      </c>
      <c r="J204" s="13" t="s">
        <v>16</v>
      </c>
      <c r="K204">
        <v>11352</v>
      </c>
    </row>
    <row r="205" spans="1:11" ht="20.25" hidden="1" customHeight="1" x14ac:dyDescent="0.25">
      <c r="A205" s="12" t="str">
        <f t="shared" ref="A205:A206" si="109">A204</f>
        <v>ЩД</v>
      </c>
      <c r="B205" s="13" t="s">
        <v>12</v>
      </c>
      <c r="C205" s="26" t="s">
        <v>31</v>
      </c>
      <c r="D205" s="12" t="s">
        <v>30</v>
      </c>
      <c r="E205" s="27">
        <v>2606</v>
      </c>
      <c r="F205" s="15">
        <f t="shared" ref="F205:F209" si="110">E205*0.6</f>
        <v>1563.6</v>
      </c>
      <c r="G205" s="15">
        <f t="shared" ref="G205:G221" si="111">F205*H205</f>
        <v>1563.6</v>
      </c>
      <c r="H205" s="16">
        <v>1</v>
      </c>
      <c r="I205" s="17" t="s">
        <v>13</v>
      </c>
      <c r="J205" s="13" t="s">
        <v>17</v>
      </c>
      <c r="K205">
        <v>1563.6</v>
      </c>
    </row>
    <row r="206" spans="1:11" ht="21" hidden="1" customHeight="1" x14ac:dyDescent="0.25">
      <c r="A206" s="12" t="str">
        <f t="shared" si="109"/>
        <v>ЩД</v>
      </c>
      <c r="B206" s="13" t="s">
        <v>48</v>
      </c>
      <c r="C206" s="14" t="s">
        <v>46</v>
      </c>
      <c r="D206" s="12" t="s">
        <v>47</v>
      </c>
      <c r="E206" s="13">
        <v>5354</v>
      </c>
      <c r="F206" s="15">
        <f t="shared" si="110"/>
        <v>3212.4</v>
      </c>
      <c r="G206" s="15">
        <f t="shared" si="111"/>
        <v>3212.4</v>
      </c>
      <c r="H206" s="16">
        <v>1</v>
      </c>
      <c r="I206" s="17" t="s">
        <v>13</v>
      </c>
      <c r="J206" s="13" t="s">
        <v>17</v>
      </c>
      <c r="K206">
        <v>3212.4</v>
      </c>
    </row>
    <row r="207" spans="1:11" ht="21" hidden="1" customHeight="1" x14ac:dyDescent="0.25">
      <c r="A207" s="12" t="str">
        <f>A206</f>
        <v>ЩД</v>
      </c>
      <c r="B207" s="13" t="s">
        <v>12</v>
      </c>
      <c r="C207" s="14" t="s">
        <v>23</v>
      </c>
      <c r="D207" s="12" t="s">
        <v>24</v>
      </c>
      <c r="E207" s="13">
        <v>2429</v>
      </c>
      <c r="F207" s="15">
        <f t="shared" si="110"/>
        <v>1457.3999999999999</v>
      </c>
      <c r="G207" s="15">
        <f t="shared" si="111"/>
        <v>1457.3999999999999</v>
      </c>
      <c r="H207" s="16">
        <v>1</v>
      </c>
      <c r="I207" s="17" t="s">
        <v>13</v>
      </c>
      <c r="J207" s="13" t="s">
        <v>17</v>
      </c>
      <c r="K207">
        <v>1457.3999999999999</v>
      </c>
    </row>
    <row r="208" spans="1:11" ht="21" hidden="1" customHeight="1" x14ac:dyDescent="0.25">
      <c r="A208" s="12" t="str">
        <f t="shared" ref="A208:A223" si="112">A207</f>
        <v>ЩД</v>
      </c>
      <c r="B208" s="13" t="s">
        <v>12</v>
      </c>
      <c r="C208" s="14" t="s">
        <v>23</v>
      </c>
      <c r="D208" s="12" t="s">
        <v>24</v>
      </c>
      <c r="E208" s="13">
        <v>2429</v>
      </c>
      <c r="F208" s="15">
        <f t="shared" ref="F208" si="113">E208*0.6</f>
        <v>1457.3999999999999</v>
      </c>
      <c r="G208" s="15">
        <f t="shared" ref="G208" si="114">F208*H208</f>
        <v>1457.3999999999999</v>
      </c>
      <c r="H208" s="16">
        <v>1</v>
      </c>
      <c r="I208" s="17" t="s">
        <v>13</v>
      </c>
      <c r="J208" s="13" t="s">
        <v>17</v>
      </c>
      <c r="K208">
        <v>1457.3999999999999</v>
      </c>
    </row>
    <row r="209" spans="1:11" ht="21" hidden="1" customHeight="1" x14ac:dyDescent="0.25">
      <c r="A209" s="12" t="str">
        <f t="shared" si="112"/>
        <v>ЩД</v>
      </c>
      <c r="B209" s="13" t="s">
        <v>12</v>
      </c>
      <c r="C209" s="14" t="s">
        <v>19</v>
      </c>
      <c r="D209" s="12" t="s">
        <v>20</v>
      </c>
      <c r="E209" s="13">
        <v>783</v>
      </c>
      <c r="F209" s="15">
        <f t="shared" si="110"/>
        <v>469.79999999999995</v>
      </c>
      <c r="G209" s="15">
        <f t="shared" si="111"/>
        <v>10335.599999999999</v>
      </c>
      <c r="H209" s="16">
        <v>22</v>
      </c>
      <c r="I209" s="17" t="s">
        <v>13</v>
      </c>
      <c r="J209" s="13" t="s">
        <v>17</v>
      </c>
      <c r="K209">
        <v>10335.599999999999</v>
      </c>
    </row>
    <row r="210" spans="1:11" ht="20.25" hidden="1" customHeight="1" x14ac:dyDescent="0.25">
      <c r="A210" s="12" t="str">
        <f t="shared" si="112"/>
        <v>ЩД</v>
      </c>
      <c r="B210" s="13" t="s">
        <v>12</v>
      </c>
      <c r="C210" s="26" t="s">
        <v>21</v>
      </c>
      <c r="D210" s="12" t="s">
        <v>22</v>
      </c>
      <c r="E210" s="27">
        <v>975</v>
      </c>
      <c r="F210" s="15">
        <f t="shared" ref="F210:F220" si="115">E210*0.6</f>
        <v>585</v>
      </c>
      <c r="G210" s="15">
        <f>F210*H210</f>
        <v>2340</v>
      </c>
      <c r="H210" s="16">
        <v>4</v>
      </c>
      <c r="I210" s="17" t="s">
        <v>13</v>
      </c>
      <c r="J210" s="13" t="s">
        <v>17</v>
      </c>
      <c r="K210">
        <v>2340</v>
      </c>
    </row>
    <row r="211" spans="1:11" ht="21" hidden="1" customHeight="1" x14ac:dyDescent="0.25">
      <c r="A211" s="12" t="str">
        <f t="shared" si="112"/>
        <v>ЩД</v>
      </c>
      <c r="B211" s="13" t="s">
        <v>125</v>
      </c>
      <c r="C211" s="14" t="s">
        <v>110</v>
      </c>
      <c r="D211" s="12" t="s">
        <v>111</v>
      </c>
      <c r="E211" s="13">
        <v>4445</v>
      </c>
      <c r="F211" s="15">
        <f t="shared" si="115"/>
        <v>2667</v>
      </c>
      <c r="G211" s="15">
        <f>F211*H211</f>
        <v>2667</v>
      </c>
      <c r="H211" s="16">
        <v>1</v>
      </c>
      <c r="I211" s="17" t="s">
        <v>13</v>
      </c>
      <c r="J211" s="13" t="s">
        <v>17</v>
      </c>
      <c r="K211">
        <v>2667</v>
      </c>
    </row>
    <row r="212" spans="1:11" ht="21" hidden="1" customHeight="1" x14ac:dyDescent="0.25">
      <c r="A212" s="12" t="str">
        <f t="shared" si="112"/>
        <v>ЩД</v>
      </c>
      <c r="B212" s="13" t="s">
        <v>49</v>
      </c>
      <c r="C212" s="14" t="s">
        <v>50</v>
      </c>
      <c r="D212" s="12" t="s">
        <v>51</v>
      </c>
      <c r="E212" s="13">
        <v>5214</v>
      </c>
      <c r="F212" s="15">
        <f t="shared" si="115"/>
        <v>3128.4</v>
      </c>
      <c r="G212" s="15">
        <f>F212*H212</f>
        <v>3128.4</v>
      </c>
      <c r="H212" s="16">
        <v>1</v>
      </c>
      <c r="I212" s="17" t="s">
        <v>13</v>
      </c>
      <c r="J212" s="13" t="s">
        <v>17</v>
      </c>
      <c r="K212">
        <v>3128.4</v>
      </c>
    </row>
    <row r="213" spans="1:11" ht="21" hidden="1" customHeight="1" x14ac:dyDescent="0.25">
      <c r="A213" s="12" t="str">
        <f t="shared" si="112"/>
        <v>ЩД</v>
      </c>
      <c r="B213" s="13" t="s">
        <v>165</v>
      </c>
      <c r="C213" s="14" t="s">
        <v>112</v>
      </c>
      <c r="D213" s="12" t="s">
        <v>113</v>
      </c>
      <c r="E213" s="13">
        <v>4138</v>
      </c>
      <c r="F213" s="15">
        <f t="shared" si="115"/>
        <v>2482.7999999999997</v>
      </c>
      <c r="G213" s="15">
        <f>F213*H213</f>
        <v>4965.5999999999995</v>
      </c>
      <c r="H213" s="16">
        <v>2</v>
      </c>
      <c r="I213" s="17" t="s">
        <v>13</v>
      </c>
      <c r="J213" s="13" t="s">
        <v>17</v>
      </c>
      <c r="K213">
        <v>4965.5999999999995</v>
      </c>
    </row>
    <row r="214" spans="1:11" ht="21" hidden="1" customHeight="1" x14ac:dyDescent="0.25">
      <c r="A214" s="12" t="str">
        <f t="shared" si="112"/>
        <v>ЩД</v>
      </c>
      <c r="B214" s="13" t="s">
        <v>114</v>
      </c>
      <c r="C214" s="14" t="s">
        <v>117</v>
      </c>
      <c r="D214" s="12" t="s">
        <v>118</v>
      </c>
      <c r="E214" s="13">
        <v>689</v>
      </c>
      <c r="F214" s="15">
        <f t="shared" si="115"/>
        <v>413.4</v>
      </c>
      <c r="G214" s="15">
        <f>F214*H214</f>
        <v>413.4</v>
      </c>
      <c r="H214" s="16">
        <v>1</v>
      </c>
      <c r="I214" s="17" t="s">
        <v>13</v>
      </c>
      <c r="J214" s="13" t="s">
        <v>17</v>
      </c>
      <c r="K214">
        <v>413.4</v>
      </c>
    </row>
    <row r="215" spans="1:11" ht="21" hidden="1" customHeight="1" x14ac:dyDescent="0.25">
      <c r="A215" s="12" t="str">
        <f t="shared" si="112"/>
        <v>ЩД</v>
      </c>
      <c r="B215" s="13" t="s">
        <v>114</v>
      </c>
      <c r="C215" s="14" t="s">
        <v>115</v>
      </c>
      <c r="D215" s="12" t="s">
        <v>116</v>
      </c>
      <c r="E215" s="13">
        <v>689</v>
      </c>
      <c r="F215" s="15">
        <f t="shared" si="115"/>
        <v>413.4</v>
      </c>
      <c r="G215" s="15">
        <f t="shared" ref="G215:G218" si="116">F215*H215</f>
        <v>413.4</v>
      </c>
      <c r="H215" s="16">
        <v>1</v>
      </c>
      <c r="I215" s="17" t="s">
        <v>13</v>
      </c>
      <c r="J215" s="13" t="s">
        <v>17</v>
      </c>
      <c r="K215">
        <v>413.4</v>
      </c>
    </row>
    <row r="216" spans="1:11" ht="21" hidden="1" customHeight="1" x14ac:dyDescent="0.25">
      <c r="A216" s="12" t="str">
        <f t="shared" si="112"/>
        <v>ЩД</v>
      </c>
      <c r="B216" s="13" t="s">
        <v>127</v>
      </c>
      <c r="C216" s="14" t="s">
        <v>119</v>
      </c>
      <c r="D216" s="12" t="s">
        <v>120</v>
      </c>
      <c r="E216" s="13">
        <v>4169</v>
      </c>
      <c r="F216" s="15">
        <f t="shared" si="115"/>
        <v>2501.4</v>
      </c>
      <c r="G216" s="15">
        <f t="shared" si="116"/>
        <v>2501.4</v>
      </c>
      <c r="H216" s="16">
        <v>1</v>
      </c>
      <c r="I216" s="17" t="s">
        <v>13</v>
      </c>
      <c r="J216" s="13" t="s">
        <v>17</v>
      </c>
      <c r="K216">
        <v>2501.4</v>
      </c>
    </row>
    <row r="217" spans="1:11" ht="21" hidden="1" customHeight="1" x14ac:dyDescent="0.25">
      <c r="A217" s="12" t="str">
        <f t="shared" si="112"/>
        <v>ЩД</v>
      </c>
      <c r="B217" s="13" t="s">
        <v>64</v>
      </c>
      <c r="C217" s="14" t="s">
        <v>60</v>
      </c>
      <c r="D217" s="12" t="s">
        <v>61</v>
      </c>
      <c r="E217" s="13">
        <v>589</v>
      </c>
      <c r="F217" s="15">
        <f t="shared" si="115"/>
        <v>353.4</v>
      </c>
      <c r="G217" s="15">
        <f t="shared" si="116"/>
        <v>706.8</v>
      </c>
      <c r="H217" s="16">
        <v>2</v>
      </c>
      <c r="I217" s="17" t="s">
        <v>13</v>
      </c>
      <c r="J217" s="13" t="s">
        <v>17</v>
      </c>
      <c r="K217">
        <v>706.8</v>
      </c>
    </row>
    <row r="218" spans="1:11" ht="21" hidden="1" customHeight="1" x14ac:dyDescent="0.25">
      <c r="A218" s="12" t="str">
        <f t="shared" si="112"/>
        <v>ЩД</v>
      </c>
      <c r="B218" s="13" t="s">
        <v>64</v>
      </c>
      <c r="C218" s="14" t="s">
        <v>62</v>
      </c>
      <c r="D218" s="12" t="s">
        <v>63</v>
      </c>
      <c r="E218" s="13">
        <v>571</v>
      </c>
      <c r="F218" s="15">
        <f t="shared" si="115"/>
        <v>342.59999999999997</v>
      </c>
      <c r="G218" s="15">
        <f t="shared" si="116"/>
        <v>685.19999999999993</v>
      </c>
      <c r="H218" s="16">
        <v>2</v>
      </c>
      <c r="I218" s="17" t="s">
        <v>13</v>
      </c>
      <c r="J218" s="13" t="s">
        <v>17</v>
      </c>
      <c r="K218">
        <v>685.19999999999993</v>
      </c>
    </row>
    <row r="219" spans="1:11" ht="21" hidden="1" customHeight="1" x14ac:dyDescent="0.25">
      <c r="A219" s="12" t="str">
        <f t="shared" si="112"/>
        <v>ЩД</v>
      </c>
      <c r="B219" s="13" t="s">
        <v>125</v>
      </c>
      <c r="C219" s="14" t="s">
        <v>121</v>
      </c>
      <c r="D219" s="12" t="s">
        <v>122</v>
      </c>
      <c r="E219" s="13">
        <v>1575</v>
      </c>
      <c r="F219" s="15">
        <f t="shared" si="115"/>
        <v>945</v>
      </c>
      <c r="G219" s="15">
        <f t="shared" ref="G219" si="117">F219*H219</f>
        <v>945</v>
      </c>
      <c r="H219" s="16">
        <v>1</v>
      </c>
      <c r="I219" s="17" t="s">
        <v>13</v>
      </c>
      <c r="J219" s="13" t="s">
        <v>17</v>
      </c>
      <c r="K219">
        <v>945</v>
      </c>
    </row>
    <row r="220" spans="1:11" ht="21" hidden="1" customHeight="1" x14ac:dyDescent="0.25">
      <c r="A220" s="12" t="str">
        <f t="shared" si="112"/>
        <v>ЩД</v>
      </c>
      <c r="B220" s="13" t="s">
        <v>126</v>
      </c>
      <c r="C220" s="14" t="s">
        <v>123</v>
      </c>
      <c r="D220" s="12" t="s">
        <v>124</v>
      </c>
      <c r="E220" s="13">
        <v>682</v>
      </c>
      <c r="F220" s="15">
        <f t="shared" si="115"/>
        <v>409.2</v>
      </c>
      <c r="G220" s="15">
        <f t="shared" ref="G220" si="118">F220*H220</f>
        <v>409.2</v>
      </c>
      <c r="H220" s="16">
        <v>1</v>
      </c>
      <c r="I220" s="17" t="s">
        <v>13</v>
      </c>
      <c r="J220" s="13" t="s">
        <v>17</v>
      </c>
      <c r="K220">
        <v>409.2</v>
      </c>
    </row>
    <row r="221" spans="1:11" ht="24" hidden="1" customHeight="1" x14ac:dyDescent="0.25">
      <c r="A221" s="12" t="str">
        <f t="shared" si="112"/>
        <v>ЩД</v>
      </c>
      <c r="B221" s="12" t="s">
        <v>10</v>
      </c>
      <c r="C221" s="18" t="s">
        <v>10</v>
      </c>
      <c r="D221" s="12" t="s">
        <v>10</v>
      </c>
      <c r="E221" s="12">
        <f ca="1">OFFSET(E221,1,2)</f>
        <v>18000</v>
      </c>
      <c r="F221" s="15">
        <f ca="1">E221</f>
        <v>18000</v>
      </c>
      <c r="G221" s="15">
        <f t="shared" ca="1" si="111"/>
        <v>18000</v>
      </c>
      <c r="H221" s="12">
        <v>1</v>
      </c>
      <c r="I221" s="12" t="s">
        <v>13</v>
      </c>
      <c r="J221" s="12" t="s">
        <v>10</v>
      </c>
      <c r="K221">
        <v>18000</v>
      </c>
    </row>
    <row r="222" spans="1:11" ht="21" hidden="1" customHeight="1" x14ac:dyDescent="0.25">
      <c r="A222" s="12" t="str">
        <f t="shared" si="112"/>
        <v>ЩД</v>
      </c>
      <c r="B222" s="12" t="s">
        <v>11</v>
      </c>
      <c r="C222" s="18" t="s">
        <v>11</v>
      </c>
      <c r="D222" s="12" t="s">
        <v>11</v>
      </c>
      <c r="E222" s="12">
        <v>3</v>
      </c>
      <c r="F222" s="15">
        <v>100</v>
      </c>
      <c r="G222" s="15">
        <f>60*E222*F222</f>
        <v>18000</v>
      </c>
      <c r="H222" s="12">
        <f>60*E222</f>
        <v>180</v>
      </c>
      <c r="I222" s="12" t="s">
        <v>13</v>
      </c>
      <c r="J222" s="12" t="s">
        <v>11</v>
      </c>
      <c r="K222">
        <v>18000</v>
      </c>
    </row>
    <row r="223" spans="1:11" ht="30" customHeight="1" x14ac:dyDescent="0.25">
      <c r="A223" s="12" t="str">
        <f t="shared" si="112"/>
        <v>ЩД</v>
      </c>
      <c r="B223" s="19"/>
      <c r="C223" s="20"/>
      <c r="D223" s="21"/>
      <c r="E223" s="23"/>
      <c r="F223" s="25"/>
      <c r="G223" s="24">
        <f ca="1">SUM(G204:G222)</f>
        <v>84553.8</v>
      </c>
      <c r="H223" s="20"/>
      <c r="I223" s="22"/>
      <c r="J223" s="20"/>
      <c r="K223">
        <v>84553.8</v>
      </c>
    </row>
  </sheetData>
  <autoFilter ref="A1:J223" xr:uid="{0E2C231C-0991-4FBE-BD8E-9CD4D9BF51D9}">
    <filterColumn colId="8">
      <filters blank="1">
        <filter val="комплект"/>
      </filters>
    </filterColumn>
  </autoFilter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D953AF3-BCAD-4B68-814D-D83C4F2797CF}">
  <dimension ref="A1:J25"/>
  <sheetViews>
    <sheetView tabSelected="1" workbookViewId="0">
      <selection activeCell="E26" sqref="E26"/>
    </sheetView>
  </sheetViews>
  <sheetFormatPr defaultRowHeight="42" customHeight="1" x14ac:dyDescent="0.25"/>
  <cols>
    <col min="3" max="3" width="10" bestFit="1" customWidth="1"/>
    <col min="5" max="5" width="17.42578125" bestFit="1" customWidth="1"/>
  </cols>
  <sheetData>
    <row r="1" spans="1:10" ht="42" customHeight="1" x14ac:dyDescent="0.25">
      <c r="A1" s="2" t="s">
        <v>1</v>
      </c>
      <c r="B1" s="1" t="s">
        <v>14</v>
      </c>
      <c r="C1" s="1" t="s">
        <v>3</v>
      </c>
      <c r="D1" s="1" t="s">
        <v>3</v>
      </c>
      <c r="E1" s="3" t="s">
        <v>6</v>
      </c>
      <c r="F1" s="4" t="s">
        <v>15</v>
      </c>
      <c r="G1" s="4" t="s">
        <v>4</v>
      </c>
      <c r="H1" s="4" t="s">
        <v>5</v>
      </c>
      <c r="I1" t="s">
        <v>6</v>
      </c>
    </row>
    <row r="2" spans="1:10" ht="42" customHeight="1" x14ac:dyDescent="0.25">
      <c r="A2" s="7"/>
      <c r="B2" s="6" t="s">
        <v>69</v>
      </c>
      <c r="C2" s="8">
        <f>ROUNDUP(J2,-3)</f>
        <v>1029000</v>
      </c>
      <c r="D2" s="8">
        <f>C2*0.7</f>
        <v>720300</v>
      </c>
      <c r="E2" s="9">
        <f>D2*F2</f>
        <v>720300</v>
      </c>
      <c r="F2" s="10">
        <v>1</v>
      </c>
      <c r="G2" s="11" t="s">
        <v>7</v>
      </c>
      <c r="H2" s="6" t="s">
        <v>9</v>
      </c>
      <c r="I2">
        <v>447173.4</v>
      </c>
      <c r="J2">
        <f>2.3*I2</f>
        <v>1028498.82</v>
      </c>
    </row>
    <row r="3" spans="1:10" ht="42" customHeight="1" x14ac:dyDescent="0.25">
      <c r="A3" s="7"/>
      <c r="B3" s="6" t="s">
        <v>151</v>
      </c>
      <c r="C3" s="8">
        <f t="shared" ref="C3:C24" si="0">ROUNDUP(J3,-3)</f>
        <v>734000</v>
      </c>
      <c r="D3" s="8">
        <f t="shared" ref="D3:D24" si="1">C3*0.7</f>
        <v>513799.99999999994</v>
      </c>
      <c r="E3" s="9">
        <f t="shared" ref="E3:E24" si="2">D3*F3</f>
        <v>513799.99999999994</v>
      </c>
      <c r="F3" s="10">
        <v>1</v>
      </c>
      <c r="G3" s="11" t="s">
        <v>7</v>
      </c>
      <c r="H3" s="6" t="s">
        <v>9</v>
      </c>
      <c r="I3">
        <v>318927.59999999998</v>
      </c>
      <c r="J3">
        <f t="shared" ref="J3:J24" si="3">2.3*I3</f>
        <v>733533.47999999986</v>
      </c>
    </row>
    <row r="4" spans="1:10" ht="42" customHeight="1" x14ac:dyDescent="0.25">
      <c r="A4" s="7"/>
      <c r="B4" s="6" t="s">
        <v>76</v>
      </c>
      <c r="C4" s="8">
        <f t="shared" si="0"/>
        <v>1029000</v>
      </c>
      <c r="D4" s="8">
        <f t="shared" si="1"/>
        <v>720300</v>
      </c>
      <c r="E4" s="9">
        <f t="shared" si="2"/>
        <v>720300</v>
      </c>
      <c r="F4" s="10">
        <v>1</v>
      </c>
      <c r="G4" s="11" t="s">
        <v>7</v>
      </c>
      <c r="H4" s="6" t="s">
        <v>9</v>
      </c>
      <c r="I4">
        <v>447173.4</v>
      </c>
      <c r="J4">
        <f t="shared" si="3"/>
        <v>1028498.82</v>
      </c>
    </row>
    <row r="5" spans="1:10" ht="42" customHeight="1" x14ac:dyDescent="0.25">
      <c r="A5" s="7"/>
      <c r="B5" s="6" t="s">
        <v>130</v>
      </c>
      <c r="C5" s="8">
        <f t="shared" si="0"/>
        <v>710000</v>
      </c>
      <c r="D5" s="8">
        <f t="shared" si="1"/>
        <v>496999.99999999994</v>
      </c>
      <c r="E5" s="9">
        <f t="shared" si="2"/>
        <v>496999.99999999994</v>
      </c>
      <c r="F5" s="10">
        <v>1</v>
      </c>
      <c r="G5" s="11" t="s">
        <v>7</v>
      </c>
      <c r="H5" s="6" t="s">
        <v>9</v>
      </c>
      <c r="I5">
        <v>308295</v>
      </c>
      <c r="J5">
        <f t="shared" si="3"/>
        <v>709078.5</v>
      </c>
    </row>
    <row r="6" spans="1:10" ht="42" customHeight="1" x14ac:dyDescent="0.25">
      <c r="A6" s="7"/>
      <c r="B6" s="6" t="s">
        <v>77</v>
      </c>
      <c r="C6" s="8">
        <f t="shared" si="0"/>
        <v>110000</v>
      </c>
      <c r="D6" s="8">
        <f t="shared" si="1"/>
        <v>77000</v>
      </c>
      <c r="E6" s="9">
        <f t="shared" si="2"/>
        <v>77000</v>
      </c>
      <c r="F6" s="10">
        <v>1</v>
      </c>
      <c r="G6" s="11" t="s">
        <v>7</v>
      </c>
      <c r="H6" s="6" t="s">
        <v>9</v>
      </c>
      <c r="I6">
        <v>47399.4</v>
      </c>
      <c r="J6">
        <f t="shared" si="3"/>
        <v>109018.62</v>
      </c>
    </row>
    <row r="7" spans="1:10" ht="42" customHeight="1" x14ac:dyDescent="0.25">
      <c r="A7" s="7"/>
      <c r="B7" s="6" t="s">
        <v>129</v>
      </c>
      <c r="C7" s="8">
        <f t="shared" si="0"/>
        <v>616000</v>
      </c>
      <c r="D7" s="8">
        <f t="shared" si="1"/>
        <v>431200</v>
      </c>
      <c r="E7" s="9">
        <f t="shared" si="2"/>
        <v>431200</v>
      </c>
      <c r="F7" s="10">
        <v>1</v>
      </c>
      <c r="G7" s="11" t="s">
        <v>7</v>
      </c>
      <c r="H7" s="6" t="s">
        <v>9</v>
      </c>
      <c r="I7">
        <v>267618</v>
      </c>
      <c r="J7">
        <f t="shared" si="3"/>
        <v>615521.39999999991</v>
      </c>
    </row>
    <row r="8" spans="1:10" ht="42" customHeight="1" x14ac:dyDescent="0.25">
      <c r="A8" s="7"/>
      <c r="B8" s="6" t="s">
        <v>82</v>
      </c>
      <c r="C8" s="8">
        <f t="shared" si="0"/>
        <v>107000</v>
      </c>
      <c r="D8" s="8">
        <f t="shared" si="1"/>
        <v>74900</v>
      </c>
      <c r="E8" s="9">
        <f t="shared" si="2"/>
        <v>74900</v>
      </c>
      <c r="F8" s="10">
        <v>1</v>
      </c>
      <c r="G8" s="11" t="s">
        <v>7</v>
      </c>
      <c r="H8" s="6" t="s">
        <v>9</v>
      </c>
      <c r="I8">
        <v>46431</v>
      </c>
      <c r="J8">
        <f t="shared" si="3"/>
        <v>106791.29999999999</v>
      </c>
    </row>
    <row r="9" spans="1:10" ht="42" customHeight="1" x14ac:dyDescent="0.25">
      <c r="A9" s="7"/>
      <c r="B9" s="6" t="s">
        <v>83</v>
      </c>
      <c r="C9" s="8">
        <f t="shared" si="0"/>
        <v>107000</v>
      </c>
      <c r="D9" s="8">
        <f t="shared" si="1"/>
        <v>74900</v>
      </c>
      <c r="E9" s="9">
        <f t="shared" si="2"/>
        <v>74900</v>
      </c>
      <c r="F9" s="10">
        <v>1</v>
      </c>
      <c r="G9" s="11" t="s">
        <v>7</v>
      </c>
      <c r="H9" s="6" t="s">
        <v>9</v>
      </c>
      <c r="I9">
        <v>46261.2</v>
      </c>
      <c r="J9">
        <f t="shared" si="3"/>
        <v>106400.75999999998</v>
      </c>
    </row>
    <row r="10" spans="1:10" ht="42" customHeight="1" x14ac:dyDescent="0.25">
      <c r="A10" s="7"/>
      <c r="B10" s="6" t="s">
        <v>84</v>
      </c>
      <c r="C10" s="8">
        <f t="shared" si="0"/>
        <v>62000</v>
      </c>
      <c r="D10" s="8">
        <f t="shared" si="1"/>
        <v>43400</v>
      </c>
      <c r="E10" s="9">
        <f t="shared" si="2"/>
        <v>43400</v>
      </c>
      <c r="F10" s="10">
        <v>1</v>
      </c>
      <c r="G10" s="11" t="s">
        <v>7</v>
      </c>
      <c r="H10" s="6" t="s">
        <v>9</v>
      </c>
      <c r="I10">
        <v>26906.400000000001</v>
      </c>
      <c r="J10">
        <f t="shared" si="3"/>
        <v>61884.72</v>
      </c>
    </row>
    <row r="11" spans="1:10" ht="42" customHeight="1" x14ac:dyDescent="0.25">
      <c r="A11" s="7"/>
      <c r="B11" s="6" t="s">
        <v>85</v>
      </c>
      <c r="C11" s="8">
        <f t="shared" si="0"/>
        <v>100000</v>
      </c>
      <c r="D11" s="8">
        <f t="shared" si="1"/>
        <v>70000</v>
      </c>
      <c r="E11" s="9">
        <f t="shared" si="2"/>
        <v>70000</v>
      </c>
      <c r="F11" s="10">
        <v>1</v>
      </c>
      <c r="G11" s="11" t="s">
        <v>7</v>
      </c>
      <c r="H11" s="6" t="s">
        <v>9</v>
      </c>
      <c r="I11">
        <v>43129.2</v>
      </c>
      <c r="J11">
        <f t="shared" si="3"/>
        <v>99197.159999999989</v>
      </c>
    </row>
    <row r="12" spans="1:10" ht="42" customHeight="1" x14ac:dyDescent="0.25">
      <c r="A12" s="7"/>
      <c r="B12" s="6" t="s">
        <v>86</v>
      </c>
      <c r="C12" s="8">
        <f t="shared" si="0"/>
        <v>101000</v>
      </c>
      <c r="D12" s="8">
        <f t="shared" si="1"/>
        <v>70700</v>
      </c>
      <c r="E12" s="9">
        <f t="shared" si="2"/>
        <v>70700</v>
      </c>
      <c r="F12" s="10">
        <v>1</v>
      </c>
      <c r="G12" s="11" t="s">
        <v>7</v>
      </c>
      <c r="H12" s="6" t="s">
        <v>9</v>
      </c>
      <c r="I12">
        <v>43588.2</v>
      </c>
      <c r="J12">
        <f t="shared" si="3"/>
        <v>100252.85999999999</v>
      </c>
    </row>
    <row r="13" spans="1:10" ht="42" customHeight="1" x14ac:dyDescent="0.25">
      <c r="A13" s="7"/>
      <c r="B13" s="6" t="s">
        <v>87</v>
      </c>
      <c r="C13" s="8">
        <f t="shared" si="0"/>
        <v>51000</v>
      </c>
      <c r="D13" s="8">
        <f t="shared" si="1"/>
        <v>35700</v>
      </c>
      <c r="E13" s="9">
        <f t="shared" si="2"/>
        <v>35700</v>
      </c>
      <c r="F13" s="10">
        <v>1</v>
      </c>
      <c r="G13" s="11" t="s">
        <v>7</v>
      </c>
      <c r="H13" s="6" t="s">
        <v>9</v>
      </c>
      <c r="I13">
        <v>22116</v>
      </c>
      <c r="J13">
        <f t="shared" si="3"/>
        <v>50866.799999999996</v>
      </c>
    </row>
    <row r="14" spans="1:10" ht="42" customHeight="1" x14ac:dyDescent="0.25">
      <c r="A14" s="7"/>
      <c r="B14" s="6" t="s">
        <v>88</v>
      </c>
      <c r="C14" s="8">
        <f t="shared" si="0"/>
        <v>221000</v>
      </c>
      <c r="D14" s="8">
        <f t="shared" si="1"/>
        <v>154700</v>
      </c>
      <c r="E14" s="9">
        <f t="shared" si="2"/>
        <v>154700</v>
      </c>
      <c r="F14" s="10">
        <v>1</v>
      </c>
      <c r="G14" s="11" t="s">
        <v>7</v>
      </c>
      <c r="H14" s="6" t="s">
        <v>9</v>
      </c>
      <c r="I14">
        <v>95791.2</v>
      </c>
      <c r="J14">
        <f t="shared" si="3"/>
        <v>220319.75999999998</v>
      </c>
    </row>
    <row r="15" spans="1:10" ht="42" customHeight="1" x14ac:dyDescent="0.25">
      <c r="A15" s="7"/>
      <c r="B15" s="6" t="s">
        <v>89</v>
      </c>
      <c r="C15" s="8">
        <f t="shared" si="0"/>
        <v>400000</v>
      </c>
      <c r="D15" s="8">
        <f t="shared" si="1"/>
        <v>280000</v>
      </c>
      <c r="E15" s="9">
        <f t="shared" si="2"/>
        <v>280000</v>
      </c>
      <c r="F15" s="10">
        <v>1</v>
      </c>
      <c r="G15" s="11" t="s">
        <v>7</v>
      </c>
      <c r="H15" s="6" t="s">
        <v>9</v>
      </c>
      <c r="I15">
        <v>173721</v>
      </c>
      <c r="J15">
        <f t="shared" si="3"/>
        <v>399558.3</v>
      </c>
    </row>
    <row r="16" spans="1:10" ht="42" customHeight="1" x14ac:dyDescent="0.25">
      <c r="A16" s="7"/>
      <c r="B16" s="6" t="s">
        <v>92</v>
      </c>
      <c r="C16" s="8">
        <f t="shared" si="0"/>
        <v>274000</v>
      </c>
      <c r="D16" s="8">
        <f t="shared" si="1"/>
        <v>191800</v>
      </c>
      <c r="E16" s="9">
        <f t="shared" si="2"/>
        <v>191800</v>
      </c>
      <c r="F16" s="10">
        <v>1</v>
      </c>
      <c r="G16" s="11" t="s">
        <v>7</v>
      </c>
      <c r="H16" s="6" t="s">
        <v>9</v>
      </c>
      <c r="I16">
        <v>118831.2</v>
      </c>
      <c r="J16">
        <f t="shared" si="3"/>
        <v>273311.75999999995</v>
      </c>
    </row>
    <row r="17" spans="1:10" ht="42" customHeight="1" x14ac:dyDescent="0.25">
      <c r="A17" s="7"/>
      <c r="B17" s="6" t="s">
        <v>128</v>
      </c>
      <c r="C17" s="8">
        <f t="shared" si="0"/>
        <v>396000</v>
      </c>
      <c r="D17" s="8">
        <f t="shared" si="1"/>
        <v>277200</v>
      </c>
      <c r="E17" s="9">
        <f t="shared" si="2"/>
        <v>277200</v>
      </c>
      <c r="F17" s="10">
        <v>1</v>
      </c>
      <c r="G17" s="11" t="s">
        <v>7</v>
      </c>
      <c r="H17" s="6" t="s">
        <v>9</v>
      </c>
      <c r="I17">
        <v>172143.2</v>
      </c>
      <c r="J17">
        <f t="shared" si="3"/>
        <v>395929.36</v>
      </c>
    </row>
    <row r="18" spans="1:10" ht="42" customHeight="1" x14ac:dyDescent="0.25">
      <c r="A18" s="7"/>
      <c r="B18" s="6" t="s">
        <v>95</v>
      </c>
      <c r="C18" s="8">
        <f t="shared" si="0"/>
        <v>86000</v>
      </c>
      <c r="D18" s="8">
        <f t="shared" si="1"/>
        <v>60199.999999999993</v>
      </c>
      <c r="E18" s="9">
        <f t="shared" si="2"/>
        <v>60199.999999999993</v>
      </c>
      <c r="F18" s="10">
        <v>1</v>
      </c>
      <c r="G18" s="11" t="s">
        <v>7</v>
      </c>
      <c r="H18" s="6" t="s">
        <v>9</v>
      </c>
      <c r="I18">
        <v>36965.4</v>
      </c>
      <c r="J18">
        <f t="shared" si="3"/>
        <v>85020.42</v>
      </c>
    </row>
    <row r="19" spans="1:10" ht="42" customHeight="1" x14ac:dyDescent="0.25">
      <c r="A19" s="7"/>
      <c r="B19" s="6" t="s">
        <v>98</v>
      </c>
      <c r="C19" s="8">
        <f t="shared" si="0"/>
        <v>85000</v>
      </c>
      <c r="D19" s="8">
        <f t="shared" si="1"/>
        <v>59499.999999999993</v>
      </c>
      <c r="E19" s="9">
        <f t="shared" si="2"/>
        <v>59499.999999999993</v>
      </c>
      <c r="F19" s="10">
        <v>1</v>
      </c>
      <c r="G19" s="11" t="s">
        <v>7</v>
      </c>
      <c r="H19" s="6" t="s">
        <v>9</v>
      </c>
      <c r="I19">
        <v>36675</v>
      </c>
      <c r="J19">
        <f t="shared" si="3"/>
        <v>84352.5</v>
      </c>
    </row>
    <row r="20" spans="1:10" ht="42" customHeight="1" x14ac:dyDescent="0.25">
      <c r="A20" s="7"/>
      <c r="B20" s="6" t="s">
        <v>99</v>
      </c>
      <c r="C20" s="8">
        <f t="shared" si="0"/>
        <v>174000</v>
      </c>
      <c r="D20" s="8">
        <f t="shared" si="1"/>
        <v>121799.99999999999</v>
      </c>
      <c r="E20" s="9">
        <f t="shared" si="2"/>
        <v>121799.99999999999</v>
      </c>
      <c r="F20" s="10">
        <v>1</v>
      </c>
      <c r="G20" s="11" t="s">
        <v>7</v>
      </c>
      <c r="H20" s="6" t="s">
        <v>9</v>
      </c>
      <c r="I20">
        <v>75343.200000000012</v>
      </c>
      <c r="J20">
        <f t="shared" si="3"/>
        <v>173289.36000000002</v>
      </c>
    </row>
    <row r="21" spans="1:10" ht="42" customHeight="1" x14ac:dyDescent="0.25">
      <c r="A21" s="7"/>
      <c r="B21" s="6" t="s">
        <v>100</v>
      </c>
      <c r="C21" s="8">
        <f t="shared" si="0"/>
        <v>458000</v>
      </c>
      <c r="D21" s="8">
        <f t="shared" si="1"/>
        <v>320600</v>
      </c>
      <c r="E21" s="9">
        <f t="shared" si="2"/>
        <v>320600</v>
      </c>
      <c r="F21" s="10">
        <v>1</v>
      </c>
      <c r="G21" s="11" t="s">
        <v>7</v>
      </c>
      <c r="H21" s="6" t="s">
        <v>9</v>
      </c>
      <c r="I21">
        <v>199118.4</v>
      </c>
      <c r="J21">
        <f t="shared" si="3"/>
        <v>457972.31999999995</v>
      </c>
    </row>
    <row r="22" spans="1:10" ht="42" customHeight="1" x14ac:dyDescent="0.25">
      <c r="A22" s="7"/>
      <c r="B22" s="6" t="s">
        <v>105</v>
      </c>
      <c r="C22" s="8">
        <f t="shared" si="0"/>
        <v>455000</v>
      </c>
      <c r="D22" s="8">
        <f t="shared" si="1"/>
        <v>318500</v>
      </c>
      <c r="E22" s="9">
        <f t="shared" si="2"/>
        <v>318500</v>
      </c>
      <c r="F22" s="10">
        <v>1</v>
      </c>
      <c r="G22" s="11" t="s">
        <v>7</v>
      </c>
      <c r="H22" s="6" t="s">
        <v>9</v>
      </c>
      <c r="I22">
        <v>197716.19999999998</v>
      </c>
      <c r="J22">
        <f t="shared" si="3"/>
        <v>454747.25999999995</v>
      </c>
    </row>
    <row r="23" spans="1:10" ht="42" customHeight="1" x14ac:dyDescent="0.25">
      <c r="A23" s="7"/>
      <c r="B23" s="6" t="s">
        <v>106</v>
      </c>
      <c r="C23" s="8">
        <f t="shared" si="0"/>
        <v>237000</v>
      </c>
      <c r="D23" s="8">
        <f t="shared" si="1"/>
        <v>165900</v>
      </c>
      <c r="E23" s="9">
        <f t="shared" si="2"/>
        <v>165900</v>
      </c>
      <c r="F23" s="10">
        <v>1</v>
      </c>
      <c r="G23" s="11" t="s">
        <v>7</v>
      </c>
      <c r="H23" s="6" t="s">
        <v>9</v>
      </c>
      <c r="I23">
        <v>102789</v>
      </c>
      <c r="J23">
        <f t="shared" si="3"/>
        <v>236414.69999999998</v>
      </c>
    </row>
    <row r="24" spans="1:10" ht="42" customHeight="1" x14ac:dyDescent="0.25">
      <c r="A24" s="7"/>
      <c r="B24" s="6" t="s">
        <v>109</v>
      </c>
      <c r="C24" s="8">
        <f t="shared" si="0"/>
        <v>195000</v>
      </c>
      <c r="D24" s="8">
        <f t="shared" si="1"/>
        <v>136500</v>
      </c>
      <c r="E24" s="9">
        <f t="shared" si="2"/>
        <v>136500</v>
      </c>
      <c r="F24" s="10">
        <v>1</v>
      </c>
      <c r="G24" s="11" t="s">
        <v>7</v>
      </c>
      <c r="H24" s="6" t="s">
        <v>9</v>
      </c>
      <c r="I24">
        <v>84553.8</v>
      </c>
      <c r="J24">
        <f t="shared" si="3"/>
        <v>194473.74</v>
      </c>
    </row>
    <row r="25" spans="1:10" ht="42" customHeight="1" x14ac:dyDescent="0.25">
      <c r="E25" s="29">
        <f>SUM(E2:E24)</f>
        <v>5415900</v>
      </c>
    </row>
  </sheetData>
  <autoFilter ref="A1:I24" xr:uid="{9D953AF3-BCAD-4B68-814D-D83C4F2797CF}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24</TotalTime>
  <Application>Microsoft Excel</Application>
  <DocSecurity>0</DocSecurity>
  <ScaleCrop>false</ScaleCrop>
  <HeadingPairs>
    <vt:vector size="2" baseType="variant">
      <vt:variant>
        <vt:lpstr>Çalışma Sayfaları</vt:lpstr>
      </vt:variant>
      <vt:variant>
        <vt:i4>2</vt:i4>
      </vt:variant>
    </vt:vector>
  </HeadingPairs>
  <TitlesOfParts>
    <vt:vector size="2" baseType="lpstr">
      <vt:lpstr>Sayfa1</vt:lpstr>
      <vt:lpstr>Sayfa2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Yusuf Kaplan</dc:creator>
  <dc:description/>
  <cp:lastModifiedBy>YUSUF KAPLAN</cp:lastModifiedBy>
  <cp:revision>3</cp:revision>
  <dcterms:created xsi:type="dcterms:W3CDTF">2015-06-05T18:19:34Z</dcterms:created>
  <dcterms:modified xsi:type="dcterms:W3CDTF">2026-07-10T08:48:55Z</dcterms:modified>
  <dc:language>ru-RU</dc:language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AppVersion">
    <vt:lpwstr>16.0300</vt:lpwstr>
  </property>
  <property fmtid="{D5CDD505-2E9C-101B-9397-08002B2CF9AE}" pid="3" name="DocSecurity">
    <vt:i4>0</vt:i4>
  </property>
  <property fmtid="{D5CDD505-2E9C-101B-9397-08002B2CF9AE}" pid="4" name="HyperlinksChanged">
    <vt:bool>false</vt:bool>
  </property>
  <property fmtid="{D5CDD505-2E9C-101B-9397-08002B2CF9AE}" pid="5" name="LinksUpToDate">
    <vt:bool>false</vt:bool>
  </property>
  <property fmtid="{D5CDD505-2E9C-101B-9397-08002B2CF9AE}" pid="6" name="ScaleCrop">
    <vt:bool>false</vt:bool>
  </property>
  <property fmtid="{D5CDD505-2E9C-101B-9397-08002B2CF9AE}" pid="7" name="ShareDoc">
    <vt:bool>false</vt:bool>
  </property>
</Properties>
</file>