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07 eleman gymnasia mektep\"/>
    </mc:Choice>
  </mc:AlternateContent>
  <xr:revisionPtr revIDLastSave="0" documentId="13_ncr:1_{CEFD9E08-867B-40FD-BA72-2DD7E22BA6A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2" sheetId="3" r:id="rId1"/>
  </sheets>
  <definedNames>
    <definedName name="_xlnm._FilterDatabase" localSheetId="0">Sayfa2!$A$1:$G$24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" i="3"/>
  <c r="G25" i="3" s="1"/>
</calcChain>
</file>

<file path=xl/sharedStrings.xml><?xml version="1.0" encoding="utf-8"?>
<sst xmlns="http://schemas.openxmlformats.org/spreadsheetml/2006/main" count="76" uniqueCount="32">
  <si>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</si>
  <si>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</si>
  <si>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</si>
  <si>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</si>
  <si>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</si>
  <si>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</si>
  <si>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</si>
  <si>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</si>
  <si>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</si>
  <si>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ВП-1</t>
  </si>
  <si>
    <t>ВП-2</t>
  </si>
  <si>
    <t>ЩГП</t>
  </si>
  <si>
    <t>ЩО.1</t>
  </si>
  <si>
    <t>ЩО.2</t>
  </si>
  <si>
    <t>ЩО.3</t>
  </si>
  <si>
    <t>ЩАО.-1</t>
  </si>
  <si>
    <t>ЩАО.-2</t>
  </si>
  <si>
    <t>ЩАО.-3</t>
  </si>
  <si>
    <t>ЩР-1</t>
  </si>
  <si>
    <t>2ЩС</t>
  </si>
  <si>
    <t>ЩР-3</t>
  </si>
  <si>
    <t>ЩCC</t>
  </si>
  <si>
    <t>ЩCН-1</t>
  </si>
  <si>
    <t>ЩCН-2</t>
  </si>
  <si>
    <t>ЩУВ-1</t>
  </si>
  <si>
    <t>ЩУВ-2</t>
  </si>
  <si>
    <t>ЩУВ-3</t>
  </si>
  <si>
    <t>ЩД</t>
  </si>
  <si>
    <t>ЩУОВВ ЩМП-1-0 36 УХЛ3</t>
  </si>
  <si>
    <t>ЩИБП</t>
  </si>
  <si>
    <t>РП-2(ВРУ-1-47-00)</t>
  </si>
  <si>
    <t>РП-1 (ВРУ1-47-00)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</si>
</sst>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4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 wrapText="1"/>
    </xf>
    <xf numFmtId="165" fontId="6" fillId="3" borderId="1" xfId="1" applyNumberFormat="1" applyFont="1" applyFill="1" applyBorder="1" applyAlignment="1" applyProtection="1">
      <alignment horizontal="center" vertical="center"/>
    </xf>
    <xf numFmtId="166" fontId="6" fillId="3" borderId="1" xfId="1" applyNumberFormat="1" applyFont="1" applyFill="1" applyBorder="1" applyAlignment="1" applyProtection="1">
      <alignment horizontal="center" vertical="center" wrapText="1"/>
    </xf>
    <xf numFmtId="0" fontId="6" fillId="3" borderId="1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 wrapText="1"/>
    </xf>
    <xf numFmtId="166" fontId="7" fillId="4" borderId="0" xfId="0" applyNumberFormat="1" applyFont="1" applyFill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3AF3-BCAD-4B68-814D-D83C4F2797CF}">
  <dimension ref="A1:G25"/>
  <sheetViews>
    <sheetView tabSelected="1" topLeftCell="A22" workbookViewId="0">
      <selection activeCell="G25" sqref="G25"/>
    </sheetView>
  </sheetViews>
  <sheetFormatPr defaultRowHeight="42" customHeight="1" x14ac:dyDescent="0.25"/>
  <cols>
    <col min="2" max="2" width="41.7109375" customWidth="1"/>
    <col min="6" max="6" width="14.140625" customWidth="1"/>
    <col min="7" max="7" width="23.7109375" bestFit="1" customWidth="1"/>
  </cols>
  <sheetData>
    <row r="1" spans="1:7" ht="42" customHeight="1" x14ac:dyDescent="0.25">
      <c r="A1" s="2" t="s">
        <v>0</v>
      </c>
      <c r="B1" s="1" t="s">
        <v>7</v>
      </c>
      <c r="C1" s="4" t="s">
        <v>8</v>
      </c>
      <c r="D1" s="4" t="s">
        <v>2</v>
      </c>
      <c r="E1" s="4" t="s">
        <v>3</v>
      </c>
      <c r="F1" s="1" t="s">
        <v>1</v>
      </c>
      <c r="G1" s="3" t="s">
        <v>4</v>
      </c>
    </row>
    <row r="2" spans="1:7" ht="42" customHeight="1" x14ac:dyDescent="0.25">
      <c r="A2" s="6"/>
      <c r="B2" s="5" t="s">
        <v>9</v>
      </c>
      <c r="C2" s="9">
        <v>1</v>
      </c>
      <c r="D2" s="10" t="s">
        <v>5</v>
      </c>
      <c r="E2" s="5" t="s">
        <v>6</v>
      </c>
      <c r="F2" s="7">
        <v>1029000</v>
      </c>
      <c r="G2" s="8">
        <f>F2*C2</f>
        <v>1029000</v>
      </c>
    </row>
    <row r="3" spans="1:7" ht="42" customHeight="1" x14ac:dyDescent="0.25">
      <c r="A3" s="6"/>
      <c r="B3" s="5" t="s">
        <v>31</v>
      </c>
      <c r="C3" s="9">
        <v>1</v>
      </c>
      <c r="D3" s="10" t="s">
        <v>5</v>
      </c>
      <c r="E3" s="5" t="s">
        <v>6</v>
      </c>
      <c r="F3" s="7">
        <v>734000</v>
      </c>
      <c r="G3" s="8">
        <f>F3*C3</f>
        <v>734000</v>
      </c>
    </row>
    <row r="4" spans="1:7" ht="42" customHeight="1" x14ac:dyDescent="0.25">
      <c r="A4" s="6"/>
      <c r="B4" s="5" t="s">
        <v>10</v>
      </c>
      <c r="C4" s="9">
        <v>1</v>
      </c>
      <c r="D4" s="10" t="s">
        <v>5</v>
      </c>
      <c r="E4" s="5" t="s">
        <v>6</v>
      </c>
      <c r="F4" s="7">
        <v>1029000</v>
      </c>
      <c r="G4" s="8">
        <f>F4*C4</f>
        <v>1029000</v>
      </c>
    </row>
    <row r="5" spans="1:7" ht="42" customHeight="1" x14ac:dyDescent="0.25">
      <c r="A5" s="6"/>
      <c r="B5" s="5" t="s">
        <v>30</v>
      </c>
      <c r="C5" s="9">
        <v>1</v>
      </c>
      <c r="D5" s="10" t="s">
        <v>5</v>
      </c>
      <c r="E5" s="5" t="s">
        <v>6</v>
      </c>
      <c r="F5" s="7">
        <v>710000</v>
      </c>
      <c r="G5" s="8">
        <f>F5*C5</f>
        <v>710000</v>
      </c>
    </row>
    <row r="6" spans="1:7" ht="42" customHeight="1" x14ac:dyDescent="0.25">
      <c r="A6" s="6"/>
      <c r="B6" s="5" t="s">
        <v>11</v>
      </c>
      <c r="C6" s="9">
        <v>1</v>
      </c>
      <c r="D6" s="10" t="s">
        <v>5</v>
      </c>
      <c r="E6" s="5" t="s">
        <v>6</v>
      </c>
      <c r="F6" s="7">
        <v>110000</v>
      </c>
      <c r="G6" s="8">
        <f>F6*C6</f>
        <v>110000</v>
      </c>
    </row>
    <row r="7" spans="1:7" ht="42" customHeight="1" x14ac:dyDescent="0.25">
      <c r="A7" s="6"/>
      <c r="B7" s="5" t="s">
        <v>29</v>
      </c>
      <c r="C7" s="9">
        <v>1</v>
      </c>
      <c r="D7" s="10" t="s">
        <v>5</v>
      </c>
      <c r="E7" s="5" t="s">
        <v>6</v>
      </c>
      <c r="F7" s="7">
        <v>616000</v>
      </c>
      <c r="G7" s="8">
        <f>F7*C7</f>
        <v>616000</v>
      </c>
    </row>
    <row r="8" spans="1:7" ht="42" customHeight="1" x14ac:dyDescent="0.25">
      <c r="A8" s="6"/>
      <c r="B8" s="5" t="s">
        <v>12</v>
      </c>
      <c r="C8" s="9">
        <v>1</v>
      </c>
      <c r="D8" s="10" t="s">
        <v>5</v>
      </c>
      <c r="E8" s="5" t="s">
        <v>6</v>
      </c>
      <c r="F8" s="7">
        <v>107000</v>
      </c>
      <c r="G8" s="8">
        <f>F8*C8</f>
        <v>107000</v>
      </c>
    </row>
    <row r="9" spans="1:7" ht="42" customHeight="1" x14ac:dyDescent="0.25">
      <c r="A9" s="6"/>
      <c r="B9" s="5" t="s">
        <v>13</v>
      </c>
      <c r="C9" s="9">
        <v>1</v>
      </c>
      <c r="D9" s="10" t="s">
        <v>5</v>
      </c>
      <c r="E9" s="5" t="s">
        <v>6</v>
      </c>
      <c r="F9" s="7">
        <v>107000</v>
      </c>
      <c r="G9" s="8">
        <f>F9*C9</f>
        <v>107000</v>
      </c>
    </row>
    <row r="10" spans="1:7" ht="42" customHeight="1" x14ac:dyDescent="0.25">
      <c r="A10" s="6"/>
      <c r="B10" s="5" t="s">
        <v>14</v>
      </c>
      <c r="C10" s="9">
        <v>1</v>
      </c>
      <c r="D10" s="10" t="s">
        <v>5</v>
      </c>
      <c r="E10" s="5" t="s">
        <v>6</v>
      </c>
      <c r="F10" s="7">
        <v>62000</v>
      </c>
      <c r="G10" s="8">
        <f>F10*C10</f>
        <v>62000</v>
      </c>
    </row>
    <row r="11" spans="1:7" ht="42" customHeight="1" x14ac:dyDescent="0.25">
      <c r="A11" s="6"/>
      <c r="B11" s="5" t="s">
        <v>15</v>
      </c>
      <c r="C11" s="9">
        <v>1</v>
      </c>
      <c r="D11" s="10" t="s">
        <v>5</v>
      </c>
      <c r="E11" s="5" t="s">
        <v>6</v>
      </c>
      <c r="F11" s="7">
        <v>100000</v>
      </c>
      <c r="G11" s="8">
        <f>F11*C11</f>
        <v>100000</v>
      </c>
    </row>
    <row r="12" spans="1:7" ht="42" customHeight="1" x14ac:dyDescent="0.25">
      <c r="A12" s="6"/>
      <c r="B12" s="5" t="s">
        <v>16</v>
      </c>
      <c r="C12" s="9">
        <v>1</v>
      </c>
      <c r="D12" s="10" t="s">
        <v>5</v>
      </c>
      <c r="E12" s="5" t="s">
        <v>6</v>
      </c>
      <c r="F12" s="7">
        <v>101000</v>
      </c>
      <c r="G12" s="8">
        <f>F12*C12</f>
        <v>101000</v>
      </c>
    </row>
    <row r="13" spans="1:7" ht="42" customHeight="1" x14ac:dyDescent="0.25">
      <c r="A13" s="6"/>
      <c r="B13" s="5" t="s">
        <v>17</v>
      </c>
      <c r="C13" s="9">
        <v>1</v>
      </c>
      <c r="D13" s="10" t="s">
        <v>5</v>
      </c>
      <c r="E13" s="5" t="s">
        <v>6</v>
      </c>
      <c r="F13" s="7">
        <v>51000</v>
      </c>
      <c r="G13" s="8">
        <f>F13*C13</f>
        <v>51000</v>
      </c>
    </row>
    <row r="14" spans="1:7" ht="42" customHeight="1" x14ac:dyDescent="0.25">
      <c r="A14" s="6"/>
      <c r="B14" s="5" t="s">
        <v>18</v>
      </c>
      <c r="C14" s="9">
        <v>1</v>
      </c>
      <c r="D14" s="10" t="s">
        <v>5</v>
      </c>
      <c r="E14" s="5" t="s">
        <v>6</v>
      </c>
      <c r="F14" s="7">
        <v>221000</v>
      </c>
      <c r="G14" s="8">
        <f>F14*C14</f>
        <v>221000</v>
      </c>
    </row>
    <row r="15" spans="1:7" ht="42" customHeight="1" x14ac:dyDescent="0.25">
      <c r="A15" s="6"/>
      <c r="B15" s="5" t="s">
        <v>19</v>
      </c>
      <c r="C15" s="9">
        <v>1</v>
      </c>
      <c r="D15" s="10" t="s">
        <v>5</v>
      </c>
      <c r="E15" s="5" t="s">
        <v>6</v>
      </c>
      <c r="F15" s="7">
        <v>400000</v>
      </c>
      <c r="G15" s="8">
        <f>F15*C15</f>
        <v>400000</v>
      </c>
    </row>
    <row r="16" spans="1:7" ht="42" customHeight="1" x14ac:dyDescent="0.25">
      <c r="A16" s="6"/>
      <c r="B16" s="5" t="s">
        <v>20</v>
      </c>
      <c r="C16" s="9">
        <v>1</v>
      </c>
      <c r="D16" s="10" t="s">
        <v>5</v>
      </c>
      <c r="E16" s="5" t="s">
        <v>6</v>
      </c>
      <c r="F16" s="7">
        <v>274000</v>
      </c>
      <c r="G16" s="8">
        <f>F16*C16</f>
        <v>274000</v>
      </c>
    </row>
    <row r="17" spans="1:7" ht="42" customHeight="1" x14ac:dyDescent="0.25">
      <c r="A17" s="6"/>
      <c r="B17" s="5" t="s">
        <v>28</v>
      </c>
      <c r="C17" s="9">
        <v>1</v>
      </c>
      <c r="D17" s="10" t="s">
        <v>5</v>
      </c>
      <c r="E17" s="5" t="s">
        <v>6</v>
      </c>
      <c r="F17" s="7">
        <v>396000</v>
      </c>
      <c r="G17" s="8">
        <f>F17*C17</f>
        <v>396000</v>
      </c>
    </row>
    <row r="18" spans="1:7" ht="42" customHeight="1" x14ac:dyDescent="0.25">
      <c r="A18" s="6"/>
      <c r="B18" s="5" t="s">
        <v>21</v>
      </c>
      <c r="C18" s="9">
        <v>1</v>
      </c>
      <c r="D18" s="10" t="s">
        <v>5</v>
      </c>
      <c r="E18" s="5" t="s">
        <v>6</v>
      </c>
      <c r="F18" s="7">
        <v>86000</v>
      </c>
      <c r="G18" s="8">
        <f>F18*C18</f>
        <v>86000</v>
      </c>
    </row>
    <row r="19" spans="1:7" ht="42" customHeight="1" x14ac:dyDescent="0.25">
      <c r="A19" s="6"/>
      <c r="B19" s="5" t="s">
        <v>22</v>
      </c>
      <c r="C19" s="9">
        <v>1</v>
      </c>
      <c r="D19" s="10" t="s">
        <v>5</v>
      </c>
      <c r="E19" s="5" t="s">
        <v>6</v>
      </c>
      <c r="F19" s="7">
        <v>85000</v>
      </c>
      <c r="G19" s="8">
        <f>F19*C19</f>
        <v>85000</v>
      </c>
    </row>
    <row r="20" spans="1:7" ht="42" customHeight="1" x14ac:dyDescent="0.25">
      <c r="A20" s="6"/>
      <c r="B20" s="5" t="s">
        <v>23</v>
      </c>
      <c r="C20" s="9">
        <v>1</v>
      </c>
      <c r="D20" s="10" t="s">
        <v>5</v>
      </c>
      <c r="E20" s="5" t="s">
        <v>6</v>
      </c>
      <c r="F20" s="7">
        <v>174000</v>
      </c>
      <c r="G20" s="8">
        <f>F20*C20</f>
        <v>174000</v>
      </c>
    </row>
    <row r="21" spans="1:7" ht="42" customHeight="1" x14ac:dyDescent="0.25">
      <c r="A21" s="6"/>
      <c r="B21" s="5" t="s">
        <v>24</v>
      </c>
      <c r="C21" s="9">
        <v>1</v>
      </c>
      <c r="D21" s="10" t="s">
        <v>5</v>
      </c>
      <c r="E21" s="5" t="s">
        <v>6</v>
      </c>
      <c r="F21" s="7">
        <v>458000</v>
      </c>
      <c r="G21" s="8">
        <f>F21*C21</f>
        <v>458000</v>
      </c>
    </row>
    <row r="22" spans="1:7" ht="42" customHeight="1" x14ac:dyDescent="0.25">
      <c r="A22" s="6"/>
      <c r="B22" s="5" t="s">
        <v>25</v>
      </c>
      <c r="C22" s="9">
        <v>1</v>
      </c>
      <c r="D22" s="10" t="s">
        <v>5</v>
      </c>
      <c r="E22" s="5" t="s">
        <v>6</v>
      </c>
      <c r="F22" s="7">
        <v>455000</v>
      </c>
      <c r="G22" s="8">
        <f>F22*C22</f>
        <v>455000</v>
      </c>
    </row>
    <row r="23" spans="1:7" ht="42" customHeight="1" x14ac:dyDescent="0.25">
      <c r="A23" s="6"/>
      <c r="B23" s="5" t="s">
        <v>26</v>
      </c>
      <c r="C23" s="9">
        <v>1</v>
      </c>
      <c r="D23" s="10" t="s">
        <v>5</v>
      </c>
      <c r="E23" s="5" t="s">
        <v>6</v>
      </c>
      <c r="F23" s="7">
        <v>237000</v>
      </c>
      <c r="G23" s="8">
        <f>F23*C23</f>
        <v>237000</v>
      </c>
    </row>
    <row r="24" spans="1:7" ht="42" customHeight="1" x14ac:dyDescent="0.25">
      <c r="A24" s="6"/>
      <c r="B24" s="5" t="s">
        <v>27</v>
      </c>
      <c r="C24" s="9">
        <v>1</v>
      </c>
      <c r="D24" s="10" t="s">
        <v>5</v>
      </c>
      <c r="E24" s="5" t="s">
        <v>6</v>
      </c>
      <c r="F24" s="7">
        <v>195000</v>
      </c>
      <c r="G24" s="8">
        <f>F24*C24</f>
        <v>195000</v>
      </c>
    </row>
    <row r="25" spans="1:7" ht="42" customHeight="1" x14ac:dyDescent="0.3">
      <c r="G25" s="11">
        <f>SUM(G2:G24)</f>
        <v>7737000</v>
      </c>
    </row>
  </sheetData>
  <autoFilter ref="A1:G24" xr:uid="{9D953AF3-BCAD-4B68-814D-D83C4F2797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2026-07-10T08:50:06Z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