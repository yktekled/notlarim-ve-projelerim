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07 eleman gymnasia mektep\"/>
    </mc:Choice>
  </mc:AlternateContent>
  <xr:revisionPtr revIDLastSave="0" documentId="13_ncr:1_{DFFC45C0-40AC-46CF-95FA-8ADC4FF3E100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2" sheetId="3" r:id="rId1"/>
  </sheets>
  <definedNames>
    <definedName name="_xlnm._FilterDatabase" localSheetId="0">Sayfa2!$A$1:$G$13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2" i="3"/>
  <c r="G14" i="3" l="1"/>
</calcChain>
</file>

<file path=xl/sharedStrings.xml><?xml version="1.0" encoding="utf-8"?>
<sst xmlns="http://schemas.openxmlformats.org/spreadsheetml/2006/main" count="43" uniqueCount="21">
  <si>
    <t>Артикул</t>
  </si>
  <si>
    <t>Цена,тг</t>
  </si>
  <si>
    <t>Ед.изм</t>
  </si>
  <si>
    <t>завод из готовитель</t>
  </si>
  <si>
    <t>СУММ.</t>
  </si>
  <si>
    <t>комплект</t>
  </si>
  <si>
    <t>TEKSAN</t>
  </si>
  <si>
    <t>Номенклатура</t>
  </si>
  <si>
    <t>Кол- во</t>
  </si>
  <si>
    <t>ЩС-1</t>
  </si>
  <si>
    <t>ЩС-2</t>
  </si>
  <si>
    <t>ЩС-3</t>
  </si>
  <si>
    <t>ЩС-4</t>
  </si>
  <si>
    <t>ВРУ-1 (ВРУ-1-12-10УХЛ4)</t>
  </si>
  <si>
    <t>ВРУ-2 (ВРУ-1-41-00УХЛ4)</t>
  </si>
  <si>
    <t>ВРУ-3 (ВРУ-1-41-00УХЛ4)</t>
  </si>
  <si>
    <t>ЩВ-1</t>
  </si>
  <si>
    <t>1ЩАО</t>
  </si>
  <si>
    <t>2ЩО</t>
  </si>
  <si>
    <t>3ЩО</t>
  </si>
  <si>
    <t>1ЩО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</si>
</sst>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4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1" applyNumberFormat="1" applyFont="1" applyFill="1" applyBorder="1" applyAlignment="1" applyProtection="1">
      <alignment horizontal="center" vertical="center" wrapText="1"/>
    </xf>
    <xf numFmtId="165" fontId="6" fillId="3" borderId="1" xfId="1" applyNumberFormat="1" applyFont="1" applyFill="1" applyBorder="1" applyAlignment="1" applyProtection="1">
      <alignment horizontal="center" vertical="center"/>
    </xf>
    <xf numFmtId="166" fontId="6" fillId="3" borderId="1" xfId="1" applyNumberFormat="1" applyFont="1" applyFill="1" applyBorder="1" applyAlignment="1" applyProtection="1">
      <alignment horizontal="center" vertical="center" wrapText="1"/>
    </xf>
    <xf numFmtId="0" fontId="6" fillId="3" borderId="1" xfId="1" applyNumberFormat="1" applyFont="1" applyFill="1" applyBorder="1" applyAlignment="1" applyProtection="1">
      <alignment horizontal="center" vertical="center"/>
    </xf>
    <xf numFmtId="165" fontId="6" fillId="3" borderId="1" xfId="1" applyNumberFormat="1" applyFont="1" applyFill="1" applyBorder="1" applyAlignment="1" applyProtection="1">
      <alignment horizontal="center" vertical="center" wrapText="1"/>
    </xf>
    <xf numFmtId="166" fontId="7" fillId="4" borderId="0" xfId="0" applyNumberFormat="1" applyFont="1" applyFill="1"/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8C50-51E2-46BA-82BB-31B1633E5302}">
  <dimension ref="A1:G14"/>
  <sheetViews>
    <sheetView tabSelected="1" workbookViewId="0">
      <selection activeCell="I4" sqref="I4"/>
    </sheetView>
  </sheetViews>
  <sheetFormatPr defaultRowHeight="33" customHeight="1" x14ac:dyDescent="0.25"/>
  <cols>
    <col min="2" max="2" width="29.28515625" customWidth="1"/>
    <col min="6" max="6" width="19.42578125" customWidth="1"/>
    <col min="7" max="7" width="24" customWidth="1"/>
  </cols>
  <sheetData>
    <row r="1" spans="1:7" ht="33" customHeight="1" x14ac:dyDescent="0.25">
      <c r="A1" s="2" t="s">
        <v>0</v>
      </c>
      <c r="B1" s="1" t="s">
        <v>7</v>
      </c>
      <c r="C1" s="4" t="s">
        <v>8</v>
      </c>
      <c r="D1" s="4" t="s">
        <v>2</v>
      </c>
      <c r="E1" s="4" t="s">
        <v>3</v>
      </c>
      <c r="F1" s="1" t="s">
        <v>1</v>
      </c>
      <c r="G1" s="3" t="s">
        <v>4</v>
      </c>
    </row>
    <row r="2" spans="1:7" ht="33" customHeight="1" x14ac:dyDescent="0.25">
      <c r="A2" s="6"/>
      <c r="B2" s="5" t="s">
        <v>13</v>
      </c>
      <c r="C2" s="9">
        <v>1</v>
      </c>
      <c r="D2" s="10" t="s">
        <v>5</v>
      </c>
      <c r="E2" s="5" t="s">
        <v>6</v>
      </c>
      <c r="F2" s="7">
        <v>1214000</v>
      </c>
      <c r="G2" s="8">
        <f>F2*C2</f>
        <v>1214000</v>
      </c>
    </row>
    <row r="3" spans="1:7" ht="33" customHeight="1" x14ac:dyDescent="0.25">
      <c r="A3" s="6"/>
      <c r="B3" s="5" t="s">
        <v>14</v>
      </c>
      <c r="C3" s="9">
        <v>1</v>
      </c>
      <c r="D3" s="10" t="s">
        <v>5</v>
      </c>
      <c r="E3" s="5" t="s">
        <v>6</v>
      </c>
      <c r="F3" s="7">
        <v>487000</v>
      </c>
      <c r="G3" s="8">
        <f>F3*C3</f>
        <v>487000</v>
      </c>
    </row>
    <row r="4" spans="1:7" ht="33" customHeight="1" x14ac:dyDescent="0.25">
      <c r="A4" s="6"/>
      <c r="B4" s="5" t="s">
        <v>15</v>
      </c>
      <c r="C4" s="9">
        <v>1</v>
      </c>
      <c r="D4" s="10" t="s">
        <v>5</v>
      </c>
      <c r="E4" s="5" t="s">
        <v>6</v>
      </c>
      <c r="F4" s="7">
        <v>473000</v>
      </c>
      <c r="G4" s="8">
        <f>F4*C4</f>
        <v>473000</v>
      </c>
    </row>
    <row r="5" spans="1:7" ht="33" customHeight="1" x14ac:dyDescent="0.25">
      <c r="A5" s="6"/>
      <c r="B5" s="5" t="s">
        <v>9</v>
      </c>
      <c r="C5" s="9">
        <v>1</v>
      </c>
      <c r="D5" s="10" t="s">
        <v>5</v>
      </c>
      <c r="E5" s="5" t="s">
        <v>6</v>
      </c>
      <c r="F5" s="7">
        <v>260000</v>
      </c>
      <c r="G5" s="8">
        <f>F5*C5</f>
        <v>260000</v>
      </c>
    </row>
    <row r="6" spans="1:7" ht="33" customHeight="1" x14ac:dyDescent="0.25">
      <c r="A6" s="6"/>
      <c r="B6" s="5" t="s">
        <v>16</v>
      </c>
      <c r="C6" s="9">
        <v>1</v>
      </c>
      <c r="D6" s="10" t="s">
        <v>5</v>
      </c>
      <c r="E6" s="5" t="s">
        <v>6</v>
      </c>
      <c r="F6" s="7">
        <v>53000</v>
      </c>
      <c r="G6" s="8">
        <f>F6*C6</f>
        <v>53000</v>
      </c>
    </row>
    <row r="7" spans="1:7" ht="33" customHeight="1" x14ac:dyDescent="0.25">
      <c r="A7" s="6"/>
      <c r="B7" s="5" t="s">
        <v>10</v>
      </c>
      <c r="C7" s="9">
        <v>1</v>
      </c>
      <c r="D7" s="10" t="s">
        <v>5</v>
      </c>
      <c r="E7" s="5" t="s">
        <v>6</v>
      </c>
      <c r="F7" s="7">
        <v>136000</v>
      </c>
      <c r="G7" s="8">
        <f>F7*C7</f>
        <v>136000</v>
      </c>
    </row>
    <row r="8" spans="1:7" ht="33" customHeight="1" x14ac:dyDescent="0.25">
      <c r="A8" s="6"/>
      <c r="B8" s="5" t="s">
        <v>11</v>
      </c>
      <c r="C8" s="9">
        <v>1</v>
      </c>
      <c r="D8" s="10" t="s">
        <v>5</v>
      </c>
      <c r="E8" s="5" t="s">
        <v>6</v>
      </c>
      <c r="F8" s="7">
        <v>290000</v>
      </c>
      <c r="G8" s="8">
        <f>F8*C8</f>
        <v>290000</v>
      </c>
    </row>
    <row r="9" spans="1:7" ht="33" customHeight="1" x14ac:dyDescent="0.25">
      <c r="A9" s="6"/>
      <c r="B9" s="5" t="s">
        <v>12</v>
      </c>
      <c r="C9" s="9">
        <v>1</v>
      </c>
      <c r="D9" s="10" t="s">
        <v>5</v>
      </c>
      <c r="E9" s="5" t="s">
        <v>6</v>
      </c>
      <c r="F9" s="7">
        <v>176000</v>
      </c>
      <c r="G9" s="8">
        <f>F9*C9</f>
        <v>176000</v>
      </c>
    </row>
    <row r="10" spans="1:7" ht="33" customHeight="1" x14ac:dyDescent="0.25">
      <c r="A10" s="6"/>
      <c r="B10" s="5" t="s">
        <v>20</v>
      </c>
      <c r="C10" s="9">
        <v>1</v>
      </c>
      <c r="D10" s="10" t="s">
        <v>5</v>
      </c>
      <c r="E10" s="5" t="s">
        <v>6</v>
      </c>
      <c r="F10" s="7">
        <v>93000</v>
      </c>
      <c r="G10" s="8">
        <f>F10*C10</f>
        <v>93000</v>
      </c>
    </row>
    <row r="11" spans="1:7" ht="33" customHeight="1" x14ac:dyDescent="0.25">
      <c r="A11" s="6"/>
      <c r="B11" s="5" t="s">
        <v>17</v>
      </c>
      <c r="C11" s="9">
        <v>1</v>
      </c>
      <c r="D11" s="10" t="s">
        <v>5</v>
      </c>
      <c r="E11" s="5" t="s">
        <v>6</v>
      </c>
      <c r="F11" s="7">
        <v>37000</v>
      </c>
      <c r="G11" s="8">
        <f>F11*C11</f>
        <v>37000</v>
      </c>
    </row>
    <row r="12" spans="1:7" ht="33" customHeight="1" x14ac:dyDescent="0.25">
      <c r="A12" s="6"/>
      <c r="B12" s="5" t="s">
        <v>18</v>
      </c>
      <c r="C12" s="9">
        <v>1</v>
      </c>
      <c r="D12" s="10" t="s">
        <v>5</v>
      </c>
      <c r="E12" s="5" t="s">
        <v>6</v>
      </c>
      <c r="F12" s="7">
        <v>94000</v>
      </c>
      <c r="G12" s="8">
        <f>F12*C12</f>
        <v>94000</v>
      </c>
    </row>
    <row r="13" spans="1:7" ht="33" customHeight="1" x14ac:dyDescent="0.25">
      <c r="A13" s="6"/>
      <c r="B13" s="5" t="s">
        <v>19</v>
      </c>
      <c r="C13" s="9">
        <v>1</v>
      </c>
      <c r="D13" s="10" t="s">
        <v>5</v>
      </c>
      <c r="E13" s="5" t="s">
        <v>6</v>
      </c>
      <c r="F13" s="7">
        <v>100000</v>
      </c>
      <c r="G13" s="8">
        <f>F13*C13</f>
        <v>100000</v>
      </c>
    </row>
    <row r="14" spans="1:7" ht="33" customHeight="1" x14ac:dyDescent="0.3">
      <c r="G14" s="11">
        <f>SUM(G2:G13)</f>
        <v>3413000</v>
      </c>
    </row>
  </sheetData>
  <autoFilter ref="A1:G13" xr:uid="{E7178C50-51E2-46BA-82BB-31B1633E53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Sayfa2</vt:lpstr>
      <vt:lpstr>Sayfa2!_VeritabaniniFiltrele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2026-07-16T14:06:27Z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