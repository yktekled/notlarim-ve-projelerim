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rive'ım\2-calisilan\proje\260707 eleman gymnasia mektep\"/>
    </mc:Choice>
  </mc:AlternateContent>
  <xr:revisionPtr revIDLastSave="0" documentId="13_ncr:1_{72EF1AF2-F90D-4E60-A478-E9D90C2A428F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Sayfa1" sheetId="2" r:id="rId1"/>
    <sheet name="Sayfa2" sheetId="3" r:id="rId2"/>
  </sheets>
  <definedNames>
    <definedName name="_xlnm._FilterDatabase" localSheetId="0" hidden="1">Sayfa1!$A$1:$J$108</definedName>
    <definedName name="_xlnm._FilterDatabase" localSheetId="1" hidden="1">Sayfa2!$A$1:$I$13</definedName>
    <definedName name="sayac">Sayfa1!#REF!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3" l="1"/>
  <c r="I14" i="3"/>
  <c r="E14" i="3"/>
  <c r="E3" i="3"/>
  <c r="E4" i="3"/>
  <c r="E5" i="3"/>
  <c r="E6" i="3"/>
  <c r="E7" i="3"/>
  <c r="E8" i="3"/>
  <c r="E9" i="3"/>
  <c r="E10" i="3"/>
  <c r="E11" i="3"/>
  <c r="E12" i="3"/>
  <c r="E13" i="3"/>
  <c r="E2" i="3"/>
  <c r="D3" i="3"/>
  <c r="D4" i="3"/>
  <c r="D5" i="3"/>
  <c r="D6" i="3"/>
  <c r="D7" i="3"/>
  <c r="D8" i="3"/>
  <c r="D9" i="3"/>
  <c r="D10" i="3"/>
  <c r="D11" i="3"/>
  <c r="D12" i="3"/>
  <c r="D13" i="3"/>
  <c r="D2" i="3"/>
  <c r="C3" i="3"/>
  <c r="C4" i="3"/>
  <c r="C5" i="3"/>
  <c r="C6" i="3"/>
  <c r="C7" i="3"/>
  <c r="C8" i="3"/>
  <c r="C9" i="3"/>
  <c r="C10" i="3"/>
  <c r="C11" i="3"/>
  <c r="C12" i="3"/>
  <c r="C13" i="3"/>
  <c r="C2" i="3"/>
  <c r="J3" i="3"/>
  <c r="J4" i="3"/>
  <c r="J5" i="3"/>
  <c r="J6" i="3"/>
  <c r="J7" i="3"/>
  <c r="J8" i="3"/>
  <c r="J9" i="3"/>
  <c r="J10" i="3"/>
  <c r="J11" i="3"/>
  <c r="J12" i="3"/>
  <c r="J13" i="3"/>
  <c r="J2" i="3"/>
  <c r="G72" i="2"/>
  <c r="G71" i="2"/>
  <c r="G32" i="2"/>
  <c r="G5" i="2"/>
  <c r="G4" i="2"/>
  <c r="F33" i="2"/>
  <c r="G33" i="2" s="1"/>
  <c r="F22" i="2"/>
  <c r="G22" i="2" s="1"/>
  <c r="F11" i="2"/>
  <c r="G11" i="2" s="1"/>
  <c r="F10" i="2"/>
  <c r="G10" i="2" s="1"/>
  <c r="F9" i="2"/>
  <c r="G9" i="2" s="1"/>
  <c r="F5" i="2"/>
  <c r="F4" i="2"/>
  <c r="F105" i="2"/>
  <c r="G105" i="2" s="1"/>
  <c r="F104" i="2"/>
  <c r="G104" i="2" s="1"/>
  <c r="F103" i="2"/>
  <c r="G103" i="2" s="1"/>
  <c r="F97" i="2"/>
  <c r="G97" i="2" s="1"/>
  <c r="F96" i="2"/>
  <c r="G96" i="2" s="1"/>
  <c r="F95" i="2"/>
  <c r="G95" i="2" s="1"/>
  <c r="F89" i="2"/>
  <c r="G89" i="2" s="1"/>
  <c r="F88" i="2"/>
  <c r="G88" i="2" s="1"/>
  <c r="F82" i="2"/>
  <c r="G82" i="2" s="1"/>
  <c r="F81" i="2"/>
  <c r="G81" i="2" s="1"/>
  <c r="F80" i="2"/>
  <c r="G80" i="2" s="1"/>
  <c r="F74" i="2"/>
  <c r="G74" i="2" s="1"/>
  <c r="F73" i="2"/>
  <c r="G73" i="2" s="1"/>
  <c r="F72" i="2"/>
  <c r="F71" i="2"/>
  <c r="F70" i="2"/>
  <c r="G70" i="2" s="1"/>
  <c r="F64" i="2"/>
  <c r="G64" i="2" s="1"/>
  <c r="F63" i="2"/>
  <c r="G63" i="2" s="1"/>
  <c r="F57" i="2"/>
  <c r="G57" i="2" s="1"/>
  <c r="F56" i="2"/>
  <c r="G56" i="2" s="1"/>
  <c r="F50" i="2"/>
  <c r="G50" i="2" s="1"/>
  <c r="F49" i="2"/>
  <c r="G49" i="2" s="1"/>
  <c r="F48" i="2"/>
  <c r="G48" i="2" s="1"/>
  <c r="F42" i="2"/>
  <c r="G42" i="2" s="1"/>
  <c r="F41" i="2"/>
  <c r="G41" i="2" s="1"/>
  <c r="F40" i="2"/>
  <c r="G40" i="2" s="1"/>
  <c r="F39" i="2"/>
  <c r="G39" i="2" s="1"/>
  <c r="F32" i="2"/>
  <c r="F31" i="2"/>
  <c r="G31" i="2" s="1"/>
  <c r="F30" i="2"/>
  <c r="G30" i="2" s="1"/>
  <c r="F29" i="2"/>
  <c r="G29" i="2" s="1"/>
  <c r="F28" i="2"/>
  <c r="G28" i="2" s="1"/>
  <c r="F21" i="2"/>
  <c r="G21" i="2" s="1"/>
  <c r="F20" i="2"/>
  <c r="G20" i="2" s="1"/>
  <c r="F19" i="2"/>
  <c r="G19" i="2" s="1"/>
  <c r="F18" i="2"/>
  <c r="G18" i="2" s="1"/>
  <c r="F17" i="2"/>
  <c r="G17" i="2" s="1"/>
  <c r="F8" i="2"/>
  <c r="G8" i="2" s="1"/>
  <c r="F7" i="2"/>
  <c r="G7" i="2" s="1"/>
  <c r="H107" i="2" l="1"/>
  <c r="G107" i="2" s="1"/>
  <c r="E106" i="2" s="1"/>
  <c r="F106" i="2" s="1"/>
  <c r="G106" i="2" s="1"/>
  <c r="F102" i="2"/>
  <c r="G102" i="2" s="1"/>
  <c r="A101" i="2"/>
  <c r="A102" i="2" s="1"/>
  <c r="A103" i="2" s="1"/>
  <c r="A104" i="2" s="1"/>
  <c r="H99" i="2"/>
  <c r="G99" i="2" s="1"/>
  <c r="E98" i="2"/>
  <c r="F98" i="2" s="1"/>
  <c r="G98" i="2" s="1"/>
  <c r="F94" i="2"/>
  <c r="G94" i="2" s="1"/>
  <c r="A93" i="2"/>
  <c r="A94" i="2" s="1"/>
  <c r="A95" i="2" s="1"/>
  <c r="A96" i="2" s="1"/>
  <c r="H91" i="2"/>
  <c r="G91" i="2" s="1"/>
  <c r="E90" i="2"/>
  <c r="F90" i="2" s="1"/>
  <c r="G90" i="2" s="1"/>
  <c r="F87" i="2"/>
  <c r="G87" i="2" s="1"/>
  <c r="A86" i="2"/>
  <c r="A87" i="2" s="1"/>
  <c r="A88" i="2" s="1"/>
  <c r="A89" i="2" s="1"/>
  <c r="H84" i="2"/>
  <c r="G84" i="2" s="1"/>
  <c r="E83" i="2" s="1"/>
  <c r="F83" i="2" s="1"/>
  <c r="G83" i="2" s="1"/>
  <c r="F79" i="2"/>
  <c r="G79" i="2" s="1"/>
  <c r="A78" i="2"/>
  <c r="A79" i="2" s="1"/>
  <c r="A80" i="2" s="1"/>
  <c r="A81" i="2" s="1"/>
  <c r="H76" i="2"/>
  <c r="G76" i="2" s="1"/>
  <c r="E75" i="2"/>
  <c r="F75" i="2" s="1"/>
  <c r="G75" i="2" s="1"/>
  <c r="F69" i="2"/>
  <c r="G69" i="2" s="1"/>
  <c r="A68" i="2"/>
  <c r="A69" i="2" s="1"/>
  <c r="A71" i="2" s="1"/>
  <c r="A74" i="2" s="1"/>
  <c r="H59" i="2"/>
  <c r="G59" i="2" s="1"/>
  <c r="E58" i="2"/>
  <c r="F58" i="2" s="1"/>
  <c r="G58" i="2" s="1"/>
  <c r="F55" i="2"/>
  <c r="G55" i="2" s="1"/>
  <c r="A54" i="2"/>
  <c r="A55" i="2" s="1"/>
  <c r="A57" i="2" s="1"/>
  <c r="H35" i="2"/>
  <c r="G35" i="2" s="1"/>
  <c r="E34" i="2" s="1"/>
  <c r="F34" i="2" s="1"/>
  <c r="G34" i="2" s="1"/>
  <c r="F27" i="2"/>
  <c r="G27" i="2" s="1"/>
  <c r="A26" i="2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H13" i="2"/>
  <c r="G13" i="2" s="1"/>
  <c r="F62" i="2"/>
  <c r="G62" i="2" s="1"/>
  <c r="F47" i="2"/>
  <c r="G47" i="2" s="1"/>
  <c r="F38" i="2"/>
  <c r="G38" i="2" s="1"/>
  <c r="F16" i="2"/>
  <c r="G16" i="2" s="1"/>
  <c r="F3" i="2"/>
  <c r="A61" i="2"/>
  <c r="A46" i="2"/>
  <c r="A37" i="2"/>
  <c r="A15" i="2"/>
  <c r="A16" i="2" s="1"/>
  <c r="F6" i="2"/>
  <c r="G6" i="2" s="1"/>
  <c r="A2" i="2"/>
  <c r="A3" i="2" s="1"/>
  <c r="G100" i="2" l="1"/>
  <c r="G108" i="2"/>
  <c r="A105" i="2"/>
  <c r="A106" i="2"/>
  <c r="A107" i="2" s="1"/>
  <c r="A108" i="2" s="1"/>
  <c r="A97" i="2"/>
  <c r="A98" i="2"/>
  <c r="A99" i="2" s="1"/>
  <c r="A100" i="2" s="1"/>
  <c r="G92" i="2"/>
  <c r="A90" i="2"/>
  <c r="A91" i="2" s="1"/>
  <c r="A92" i="2" s="1"/>
  <c r="A83" i="2"/>
  <c r="A84" i="2" s="1"/>
  <c r="A85" i="2" s="1"/>
  <c r="A82" i="2"/>
  <c r="G85" i="2"/>
  <c r="A70" i="2"/>
  <c r="G77" i="2"/>
  <c r="G60" i="2"/>
  <c r="A56" i="2"/>
  <c r="A58" i="2"/>
  <c r="A59" i="2" s="1"/>
  <c r="A60" i="2" s="1"/>
  <c r="G36" i="2"/>
  <c r="E12" i="2"/>
  <c r="F12" i="2" s="1"/>
  <c r="G12" i="2" s="1"/>
  <c r="G3" i="2"/>
  <c r="A62" i="2"/>
  <c r="A47" i="2"/>
  <c r="A38" i="2"/>
  <c r="A4" i="2"/>
  <c r="A5" i="2" s="1"/>
  <c r="A17" i="2"/>
  <c r="A18" i="2" s="1"/>
  <c r="A19" i="2" s="1"/>
  <c r="A20" i="2" s="1"/>
  <c r="A21" i="2" s="1"/>
  <c r="A22" i="2" s="1"/>
  <c r="A23" i="2" s="1"/>
  <c r="A24" i="2" s="1"/>
  <c r="A25" i="2" s="1"/>
  <c r="A73" i="2" l="1"/>
  <c r="A75" i="2" s="1"/>
  <c r="A76" i="2" s="1"/>
  <c r="A77" i="2" s="1"/>
  <c r="A72" i="2"/>
  <c r="A48" i="2"/>
  <c r="A50" i="2" s="1"/>
  <c r="A49" i="2"/>
  <c r="A63" i="2"/>
  <c r="A64" i="2" s="1"/>
  <c r="A39" i="2"/>
  <c r="A41" i="2" s="1"/>
  <c r="A40" i="2"/>
  <c r="A6" i="2"/>
  <c r="A7" i="2" s="1"/>
  <c r="A8" i="2" s="1"/>
  <c r="A9" i="2" s="1"/>
  <c r="A10" i="2" s="1"/>
  <c r="A11" i="2" s="1"/>
  <c r="A12" i="2" s="1"/>
  <c r="A13" i="2" s="1"/>
  <c r="A14" i="2" s="1"/>
  <c r="A42" i="2" l="1"/>
  <c r="A65" i="2"/>
  <c r="A66" i="2" s="1"/>
  <c r="A67" i="2" s="1"/>
  <c r="A43" i="2"/>
  <c r="A44" i="2" s="1"/>
  <c r="A45" i="2" s="1"/>
  <c r="A51" i="2"/>
  <c r="A52" i="2" s="1"/>
  <c r="A53" i="2" s="1"/>
  <c r="H44" i="2" l="1"/>
  <c r="G44" i="2" s="1"/>
  <c r="E43" i="2" s="1"/>
  <c r="F43" i="2" s="1"/>
  <c r="G43" i="2" s="1"/>
  <c r="H66" i="2"/>
  <c r="G66" i="2" s="1"/>
  <c r="E65" i="2" s="1"/>
  <c r="F65" i="2" s="1"/>
  <c r="G65" i="2" s="1"/>
  <c r="H52" i="2"/>
  <c r="G52" i="2" s="1"/>
  <c r="E51" i="2" s="1"/>
  <c r="F51" i="2" s="1"/>
  <c r="G51" i="2" s="1"/>
  <c r="G14" i="2" l="1"/>
  <c r="G53" i="2" l="1"/>
  <c r="G45" i="2"/>
  <c r="G67" i="2"/>
  <c r="E23" i="2" l="1"/>
  <c r="H24" i="2"/>
  <c r="G24" i="2" s="1"/>
  <c r="F23" i="2" l="1"/>
  <c r="G23" i="2" l="1"/>
  <c r="G25" i="2" s="1"/>
</calcChain>
</file>

<file path=xl/sharedStrings.xml><?xml version="1.0" encoding="utf-8"?>
<sst xmlns="http://schemas.openxmlformats.org/spreadsheetml/2006/main" count="504" uniqueCount="99">
  <si>
    <t>malzeme</t>
  </si>
  <si>
    <t>Артикул</t>
  </si>
  <si>
    <t>Наименование</t>
  </si>
  <si>
    <t>Цена,тг</t>
  </si>
  <si>
    <t>Ед.изм</t>
  </si>
  <si>
    <t>завод из готовитель</t>
  </si>
  <si>
    <t>СУММ.</t>
  </si>
  <si>
    <t>комплект</t>
  </si>
  <si>
    <t>korpus</t>
  </si>
  <si>
    <t>TEKSAN</t>
  </si>
  <si>
    <t>монтажный материал</t>
  </si>
  <si>
    <t>монтажная работа</t>
  </si>
  <si>
    <t>oto</t>
  </si>
  <si>
    <t xml:space="preserve"> ШТ. </t>
  </si>
  <si>
    <t>Номенклатура</t>
  </si>
  <si>
    <t>Кол- во</t>
  </si>
  <si>
    <t>chint</t>
  </si>
  <si>
    <t>sayac</t>
  </si>
  <si>
    <t>296708</t>
  </si>
  <si>
    <t>Авт. выкл. NXB-63S 1P 6А 4.5kA х-ка C (R)</t>
  </si>
  <si>
    <t>296829</t>
  </si>
  <si>
    <t>Авт. выкл. NXB-63S 3P 25А 4.5kA х-ка C (R)</t>
  </si>
  <si>
    <t>dif</t>
  </si>
  <si>
    <t>pys</t>
  </si>
  <si>
    <t>tt</t>
  </si>
  <si>
    <t>bh</t>
  </si>
  <si>
    <t>lamb</t>
  </si>
  <si>
    <t>521213</t>
  </si>
  <si>
    <t>Плавкая вставка предохранителя RT36-2-400, габарит 2, 250А</t>
  </si>
  <si>
    <t>521368</t>
  </si>
  <si>
    <t>Держатель плавкой вставки RT36-2-400, габарит 2, 400А</t>
  </si>
  <si>
    <t>rubilnik</t>
  </si>
  <si>
    <t>ppn</t>
  </si>
  <si>
    <t>condencator</t>
  </si>
  <si>
    <t>296828</t>
  </si>
  <si>
    <t>Авт. выкл. NXB-63S 3P 20А 4.5kA х-ка C (R)</t>
  </si>
  <si>
    <t>270100161_</t>
  </si>
  <si>
    <t>193183</t>
  </si>
  <si>
    <t>Выключатель нагрузки NXHB-125 3P 63A (R)</t>
  </si>
  <si>
    <t>193180</t>
  </si>
  <si>
    <t>Выключатель нагрузки NXHB-125 3P 20A (R)</t>
  </si>
  <si>
    <t>ЩС-1</t>
  </si>
  <si>
    <t>515381</t>
  </si>
  <si>
    <t>Диф. авт. выкл. NXBLE-63YH 1P+N C16 30mA тип A, 6kA (R)</t>
  </si>
  <si>
    <t>515387</t>
  </si>
  <si>
    <t>Диф. авт. выкл. NXBLE-63YH 1P+N C20 30mA тип AC, 6kA (R)</t>
  </si>
  <si>
    <t>ЩС-2</t>
  </si>
  <si>
    <t>ЩС-3</t>
  </si>
  <si>
    <t>ЩС-4</t>
  </si>
  <si>
    <t>539847</t>
  </si>
  <si>
    <t>Диф. авт. выкл. NXBLE-63YH 3P+N C16 30mA тип AC, 6kA (R)</t>
  </si>
  <si>
    <t>193181</t>
  </si>
  <si>
    <t>Выключатель нагрузки NXHB-125 3P 32A ® (25A)</t>
  </si>
  <si>
    <t>193182</t>
  </si>
  <si>
    <t>Выключатель нагрузки NXHB-125 3P 40A (R)</t>
  </si>
  <si>
    <t>296827</t>
  </si>
  <si>
    <t>Авт. выкл. NXB-63S 3P 16А 4.5kA х-ка C (R)</t>
  </si>
  <si>
    <t>296710</t>
  </si>
  <si>
    <t>Авт. выкл. NXB-63S 1P 16А 4.5kA х-ка C (R)</t>
  </si>
  <si>
    <t>713-15005</t>
  </si>
  <si>
    <t>Pano met.ShRv-12b/o(319х277х120)S/A36IP31(TS)</t>
  </si>
  <si>
    <t>719-15043</t>
  </si>
  <si>
    <t>Мет. Щит ВРУ 1700х800х450+10CM База</t>
  </si>
  <si>
    <t>ВРУ-1 (ВРУ-1-12-10УХЛ4)</t>
  </si>
  <si>
    <t>ITT20-2-05-0250</t>
  </si>
  <si>
    <t xml:space="preserve"> Трансформатор тока ТТИ-30  250/5А 5ВА 0,5 IEK E-PRO</t>
  </si>
  <si>
    <t>Рубильник ВР-32-37  В71250-400А на 2 направления (+6камер) UNIT (1/6)</t>
  </si>
  <si>
    <t>ВРУ-2 (ВРУ-1-41-00УХЛ4)</t>
  </si>
  <si>
    <t>521260</t>
  </si>
  <si>
    <t>Держатель плавкой вставки RT36-00-160, габарит 00, 160А</t>
  </si>
  <si>
    <t>521340</t>
  </si>
  <si>
    <t>Плавкая вставка предохранителя RT36-00-160, габарит 00, 25А</t>
  </si>
  <si>
    <t>521344</t>
  </si>
  <si>
    <t>Плавкая вставка предохранителя RT36-00-160, габарит 00, 40А</t>
  </si>
  <si>
    <t>521347</t>
  </si>
  <si>
    <t>Плавкая вставка предохранителя RT36-00-160, габарит 00, 63А</t>
  </si>
  <si>
    <t>521349</t>
  </si>
  <si>
    <t>Плавкая вставка предохранителя RT36-00-160, габарит 00, 100А</t>
  </si>
  <si>
    <t>ВРУ-3 (ВРУ-1-41-00УХЛ4)</t>
  </si>
  <si>
    <t>ЩВ-1</t>
  </si>
  <si>
    <t>105524</t>
  </si>
  <si>
    <t>Диф. авт. выкл. NXBLE-63Y 1P+N 16А 10mA электронный тип AС, х-ка С, 4.5kA (R)</t>
  </si>
  <si>
    <t>1ЩАО</t>
  </si>
  <si>
    <t>2ЩО</t>
  </si>
  <si>
    <t>3ЩО</t>
  </si>
  <si>
    <t>1ЩО</t>
  </si>
  <si>
    <t>713-15024</t>
  </si>
  <si>
    <t>ЩРВ- 72 (670x450x125) (TS)</t>
  </si>
  <si>
    <t>711-03034</t>
  </si>
  <si>
    <t>Щит расп. x12, пластик., c/у, крышка бел., IP40, к</t>
  </si>
  <si>
    <t>713-15010</t>
  </si>
  <si>
    <t>Pano met.ShRv-24b/o(320х405х120)S/A36IP31(TS)</t>
  </si>
  <si>
    <t>DEA00022</t>
  </si>
  <si>
    <t>К73-28-1 0,47мкФ, 1000В/380В, 100А, Конденсатор
подавления ЭМП (проходной)\СКЗ</t>
  </si>
  <si>
    <t>711-03014</t>
  </si>
  <si>
    <t>Щит расп. x32, пластик., с/у, крышка проз., серия NEXUS (TEKLED ELECTRIC)5</t>
  </si>
  <si>
    <t>IA</t>
  </si>
  <si>
    <t>ДАЛА СА4У-Э720 R TX OP П RS1 Д W  (3x220/380V 5-7,5A)</t>
  </si>
  <si>
    <t>kaztek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</si>
</sst>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-* #,##0_-;\-* #,##0_-;_-* \-??_-;_-@_-"/>
    <numFmt numFmtId="166" formatCode="_-* #,##0.00\ _X_D_R_-;\-* #,##0.00\ _X_D_R_-;_-* \-??\ _X_D_R_-;_-@_-"/>
  </numFmts>
  <fonts count="13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rgb="FFFFFF9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164" fontId="4" fillId="0" borderId="0" applyBorder="0" applyProtection="0"/>
    <xf numFmtId="0" fontId="3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30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165" fontId="6" fillId="2" borderId="1" xfId="1" applyNumberFormat="1" applyFont="1" applyFill="1" applyBorder="1" applyAlignment="1" applyProtection="1">
      <alignment horizontal="center" vertical="center" wrapText="1"/>
    </xf>
    <xf numFmtId="0" fontId="6" fillId="2" borderId="1" xfId="1" applyNumberFormat="1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3" fontId="6" fillId="6" borderId="1" xfId="1" applyNumberFormat="1" applyFont="1" applyFill="1" applyBorder="1" applyAlignment="1" applyProtection="1">
      <alignment horizontal="center" vertical="center" wrapText="1"/>
    </xf>
    <xf numFmtId="165" fontId="6" fillId="6" borderId="1" xfId="1" applyNumberFormat="1" applyFont="1" applyFill="1" applyBorder="1" applyAlignment="1" applyProtection="1">
      <alignment horizontal="center" vertical="center"/>
    </xf>
    <xf numFmtId="166" fontId="6" fillId="6" borderId="1" xfId="1" applyNumberFormat="1" applyFont="1" applyFill="1" applyBorder="1" applyAlignment="1" applyProtection="1">
      <alignment horizontal="center" vertical="center" wrapText="1"/>
    </xf>
    <xf numFmtId="0" fontId="6" fillId="6" borderId="1" xfId="1" applyNumberFormat="1" applyFont="1" applyFill="1" applyBorder="1" applyAlignment="1" applyProtection="1">
      <alignment horizontal="center" vertical="center"/>
    </xf>
    <xf numFmtId="165" fontId="6" fillId="6" borderId="1" xfId="1" applyNumberFormat="1" applyFont="1" applyFill="1" applyBorder="1" applyAlignment="1" applyProtection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3" fontId="6" fillId="4" borderId="1" xfId="1" applyNumberFormat="1" applyFont="1" applyFill="1" applyBorder="1" applyAlignment="1" applyProtection="1">
      <alignment horizontal="center" vertical="center" wrapText="1"/>
    </xf>
    <xf numFmtId="165" fontId="6" fillId="4" borderId="1" xfId="1" applyNumberFormat="1" applyFont="1" applyFill="1" applyBorder="1" applyAlignment="1" applyProtection="1">
      <alignment horizontal="center" vertical="center"/>
    </xf>
    <xf numFmtId="0" fontId="6" fillId="4" borderId="1" xfId="1" applyNumberFormat="1" applyFont="1" applyFill="1" applyBorder="1" applyAlignment="1" applyProtection="1">
      <alignment horizontal="center" vertical="center"/>
    </xf>
    <xf numFmtId="165" fontId="6" fillId="4" borderId="1" xfId="1" applyNumberFormat="1" applyFont="1" applyFill="1" applyBorder="1" applyAlignment="1" applyProtection="1">
      <alignment horizontal="center" vertical="center" wrapText="1"/>
    </xf>
    <xf numFmtId="3" fontId="6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1" fontId="10" fillId="0" borderId="1" xfId="0" quotePrefix="1" applyNumberFormat="1" applyFont="1" applyBorder="1" applyAlignment="1">
      <alignment horizontal="center" vertical="center"/>
    </xf>
    <xf numFmtId="165" fontId="12" fillId="4" borderId="1" xfId="1" applyNumberFormat="1" applyFont="1" applyFill="1" applyBorder="1" applyAlignment="1" applyProtection="1">
      <alignment horizontal="center" vertical="center" wrapText="1"/>
    </xf>
    <xf numFmtId="3" fontId="11" fillId="0" borderId="2" xfId="0" applyNumberFormat="1" applyFont="1" applyBorder="1" applyAlignment="1">
      <alignment horizontal="center" vertical="center" wrapText="1"/>
    </xf>
    <xf numFmtId="3" fontId="11" fillId="0" borderId="3" xfId="0" applyNumberFormat="1" applyFont="1" applyBorder="1" applyAlignment="1">
      <alignment horizontal="center" vertical="center" wrapText="1"/>
    </xf>
    <xf numFmtId="3" fontId="11" fillId="0" borderId="1" xfId="0" applyNumberFormat="1" applyFont="1" applyBorder="1" applyAlignment="1">
      <alignment horizontal="center" vertical="center" wrapText="1"/>
    </xf>
    <xf numFmtId="0" fontId="6" fillId="4" borderId="1" xfId="1" applyNumberFormat="1" applyFont="1" applyFill="1" applyBorder="1" applyAlignment="1" applyProtection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166" fontId="0" fillId="0" borderId="0" xfId="0" applyNumberFormat="1"/>
    <xf numFmtId="166" fontId="6" fillId="6" borderId="0" xfId="1" applyNumberFormat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2" xfId="4" xr:uid="{58983704-5E2B-4916-A376-1020AEBA7112}"/>
    <cellStyle name="Virgül" xfId="1" builtinId="3"/>
    <cellStyle name="Обычный 2" xfId="2" xr:uid="{9F91089A-2C01-471B-9845-EF702ED3C33C}"/>
    <cellStyle name="Обычный 2 2" xfId="3" xr:uid="{E01E0257-FF99-4AF9-B452-D8F88D301A3A}"/>
    <cellStyle name="Обычный 2 2 2" xfId="6" xr:uid="{F7C7FA61-46D9-4882-A799-DFAFF2386462}"/>
    <cellStyle name="Обычный 2 3" xfId="5" xr:uid="{CD09FCFD-EFD6-4824-A0CB-AF049C27D85C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C231C-0991-4FBE-BD8E-9CD4D9BF51D9}">
  <sheetPr filterMode="1"/>
  <dimension ref="A1:K108"/>
  <sheetViews>
    <sheetView zoomScale="85" zoomScaleNormal="85" workbookViewId="0">
      <pane ySplit="1" topLeftCell="A53" activePane="bottomLeft" state="frozen"/>
      <selection pane="bottomLeft" activeCell="C1" sqref="C1:K108"/>
    </sheetView>
  </sheetViews>
  <sheetFormatPr defaultRowHeight="21" customHeight="1" x14ac:dyDescent="0.25"/>
  <cols>
    <col min="1" max="1" width="36.42578125" customWidth="1"/>
    <col min="3" max="3" width="20.140625" customWidth="1"/>
    <col min="4" max="4" width="72.42578125" customWidth="1"/>
    <col min="5" max="6" width="10" bestFit="1" customWidth="1"/>
    <col min="7" max="7" width="15.7109375" bestFit="1" customWidth="1"/>
    <col min="8" max="8" width="9.28515625" bestFit="1" customWidth="1"/>
  </cols>
  <sheetData>
    <row r="1" spans="1:11" ht="39.75" customHeight="1" x14ac:dyDescent="0.25">
      <c r="A1" s="1" t="s">
        <v>2</v>
      </c>
      <c r="B1" s="1" t="s">
        <v>0</v>
      </c>
      <c r="C1" s="2" t="s">
        <v>1</v>
      </c>
      <c r="D1" s="1" t="s">
        <v>14</v>
      </c>
      <c r="E1" s="1" t="s">
        <v>3</v>
      </c>
      <c r="F1" s="1" t="s">
        <v>3</v>
      </c>
      <c r="G1" s="3" t="s">
        <v>6</v>
      </c>
      <c r="H1" s="4" t="s">
        <v>15</v>
      </c>
      <c r="I1" s="4" t="s">
        <v>4</v>
      </c>
      <c r="J1" s="4" t="s">
        <v>5</v>
      </c>
      <c r="K1" t="s">
        <v>6</v>
      </c>
    </row>
    <row r="2" spans="1:11" ht="39.75" customHeight="1" x14ac:dyDescent="0.25">
      <c r="A2" s="5" t="str">
        <f>D2</f>
        <v>ВРУ-1 (ВРУ-1-12-10УХЛ4)</v>
      </c>
      <c r="B2" s="6"/>
      <c r="C2" s="7"/>
      <c r="D2" s="6" t="s">
        <v>63</v>
      </c>
      <c r="E2" s="8"/>
      <c r="F2" s="8"/>
      <c r="G2" s="9"/>
      <c r="H2" s="10">
        <v>1</v>
      </c>
      <c r="I2" s="11" t="s">
        <v>7</v>
      </c>
      <c r="J2" s="6" t="s">
        <v>9</v>
      </c>
    </row>
    <row r="3" spans="1:11" ht="21" hidden="1" customHeight="1" x14ac:dyDescent="0.25">
      <c r="A3" s="12" t="str">
        <f>A2</f>
        <v>ВРУ-1 (ВРУ-1-12-10УХЛ4)</v>
      </c>
      <c r="B3" s="13" t="s">
        <v>8</v>
      </c>
      <c r="C3" s="14" t="s">
        <v>61</v>
      </c>
      <c r="D3" s="12" t="s">
        <v>62</v>
      </c>
      <c r="E3" s="13">
        <v>155000</v>
      </c>
      <c r="F3" s="15">
        <f>E3*0.6</f>
        <v>93000</v>
      </c>
      <c r="G3" s="15">
        <f>H3*F3</f>
        <v>93000</v>
      </c>
      <c r="H3" s="16">
        <v>1</v>
      </c>
      <c r="I3" s="17" t="s">
        <v>13</v>
      </c>
      <c r="J3" s="13" t="s">
        <v>98</v>
      </c>
      <c r="K3">
        <v>93000</v>
      </c>
    </row>
    <row r="4" spans="1:11" ht="21" hidden="1" customHeight="1" x14ac:dyDescent="0.25">
      <c r="A4" s="12" t="str">
        <f t="shared" ref="A4:A14" si="0">A3</f>
        <v>ВРУ-1 (ВРУ-1-12-10УХЛ4)</v>
      </c>
      <c r="B4" s="13" t="s">
        <v>24</v>
      </c>
      <c r="C4" s="14" t="s">
        <v>64</v>
      </c>
      <c r="D4" s="12" t="s">
        <v>65</v>
      </c>
      <c r="E4" s="13">
        <v>6500</v>
      </c>
      <c r="F4" s="15">
        <f>E4</f>
        <v>6500</v>
      </c>
      <c r="G4" s="15">
        <f t="shared" ref="G4:G13" si="1">H4*F4</f>
        <v>39000</v>
      </c>
      <c r="H4" s="16">
        <v>6</v>
      </c>
      <c r="I4" s="17" t="s">
        <v>13</v>
      </c>
      <c r="J4" s="13" t="s">
        <v>23</v>
      </c>
      <c r="K4">
        <v>39000</v>
      </c>
    </row>
    <row r="5" spans="1:11" ht="21" hidden="1" customHeight="1" x14ac:dyDescent="0.25">
      <c r="A5" s="12" t="str">
        <f t="shared" si="0"/>
        <v>ВРУ-1 (ВРУ-1-12-10УХЛ4)</v>
      </c>
      <c r="B5" s="13" t="s">
        <v>31</v>
      </c>
      <c r="C5" s="14" t="s">
        <v>36</v>
      </c>
      <c r="D5" s="12" t="s">
        <v>66</v>
      </c>
      <c r="E5" s="13">
        <v>21950</v>
      </c>
      <c r="F5" s="15">
        <f>E5</f>
        <v>21950</v>
      </c>
      <c r="G5" s="15">
        <f t="shared" si="1"/>
        <v>43900</v>
      </c>
      <c r="H5" s="16">
        <v>2</v>
      </c>
      <c r="I5" s="17" t="s">
        <v>13</v>
      </c>
      <c r="J5" s="13" t="s">
        <v>23</v>
      </c>
      <c r="K5">
        <v>43900</v>
      </c>
    </row>
    <row r="6" spans="1:11" ht="21" hidden="1" customHeight="1" x14ac:dyDescent="0.25">
      <c r="A6" s="12" t="str">
        <f t="shared" si="0"/>
        <v>ВРУ-1 (ВРУ-1-12-10УХЛ4)</v>
      </c>
      <c r="B6" s="13" t="s">
        <v>32</v>
      </c>
      <c r="C6" s="14" t="s">
        <v>27</v>
      </c>
      <c r="D6" s="12" t="s">
        <v>28</v>
      </c>
      <c r="E6" s="13">
        <v>4932</v>
      </c>
      <c r="F6" s="15">
        <f t="shared" ref="F6:F8" si="2">E6*0.6</f>
        <v>2959.2</v>
      </c>
      <c r="G6" s="15">
        <f t="shared" si="1"/>
        <v>17755.199999999997</v>
      </c>
      <c r="H6" s="16">
        <v>6</v>
      </c>
      <c r="I6" s="17" t="s">
        <v>13</v>
      </c>
      <c r="J6" s="13" t="s">
        <v>16</v>
      </c>
      <c r="K6">
        <v>17755.199999999997</v>
      </c>
    </row>
    <row r="7" spans="1:11" ht="21" hidden="1" customHeight="1" x14ac:dyDescent="0.25">
      <c r="A7" s="12" t="str">
        <f t="shared" si="0"/>
        <v>ВРУ-1 (ВРУ-1-12-10УХЛ4)</v>
      </c>
      <c r="B7" s="13" t="s">
        <v>32</v>
      </c>
      <c r="C7" s="14" t="s">
        <v>29</v>
      </c>
      <c r="D7" s="12" t="s">
        <v>30</v>
      </c>
      <c r="E7" s="13">
        <v>7443</v>
      </c>
      <c r="F7" s="15">
        <f t="shared" si="2"/>
        <v>4465.8</v>
      </c>
      <c r="G7" s="15">
        <f t="shared" si="1"/>
        <v>26794.800000000003</v>
      </c>
      <c r="H7" s="16">
        <v>6</v>
      </c>
      <c r="I7" s="17" t="s">
        <v>13</v>
      </c>
      <c r="J7" s="13" t="s">
        <v>16</v>
      </c>
      <c r="K7">
        <v>26794.800000000003</v>
      </c>
    </row>
    <row r="8" spans="1:11" ht="21" hidden="1" customHeight="1" x14ac:dyDescent="0.25">
      <c r="A8" s="12" t="str">
        <f t="shared" si="0"/>
        <v>ВРУ-1 (ВРУ-1-12-10УХЛ4)</v>
      </c>
      <c r="B8" s="13" t="s">
        <v>12</v>
      </c>
      <c r="C8" s="14" t="s">
        <v>18</v>
      </c>
      <c r="D8" s="12" t="s">
        <v>19</v>
      </c>
      <c r="E8" s="13">
        <v>975</v>
      </c>
      <c r="F8" s="15">
        <f t="shared" si="2"/>
        <v>585</v>
      </c>
      <c r="G8" s="15">
        <f t="shared" si="1"/>
        <v>1170</v>
      </c>
      <c r="H8" s="16">
        <v>2</v>
      </c>
      <c r="I8" s="17" t="s">
        <v>13</v>
      </c>
      <c r="J8" s="13" t="s">
        <v>16</v>
      </c>
      <c r="K8">
        <v>1170</v>
      </c>
    </row>
    <row r="9" spans="1:11" ht="22.5" hidden="1" customHeight="1" x14ac:dyDescent="0.25">
      <c r="A9" s="12" t="str">
        <f t="shared" si="0"/>
        <v>ВРУ-1 (ВРУ-1-12-10УХЛ4)</v>
      </c>
      <c r="B9" s="13" t="s">
        <v>17</v>
      </c>
      <c r="C9" s="14" t="s">
        <v>96</v>
      </c>
      <c r="D9" s="12" t="s">
        <v>97</v>
      </c>
      <c r="E9" s="13">
        <v>90500</v>
      </c>
      <c r="F9" s="15">
        <f t="shared" ref="F9:F11" si="3">E9</f>
        <v>90500</v>
      </c>
      <c r="G9" s="15">
        <f t="shared" si="1"/>
        <v>181000</v>
      </c>
      <c r="H9" s="16">
        <v>2</v>
      </c>
      <c r="I9" s="17" t="s">
        <v>13</v>
      </c>
      <c r="J9" s="13" t="s">
        <v>23</v>
      </c>
      <c r="K9">
        <v>181000</v>
      </c>
    </row>
    <row r="10" spans="1:11" ht="21" hidden="1" customHeight="1" x14ac:dyDescent="0.25">
      <c r="A10" s="12" t="str">
        <f t="shared" si="0"/>
        <v>ВРУ-1 (ВРУ-1-12-10УХЛ4)</v>
      </c>
      <c r="B10" s="13" t="s">
        <v>33</v>
      </c>
      <c r="C10" s="14" t="s">
        <v>92</v>
      </c>
      <c r="D10" s="12" t="s">
        <v>93</v>
      </c>
      <c r="E10" s="13">
        <v>4700</v>
      </c>
      <c r="F10" s="15">
        <f t="shared" si="3"/>
        <v>4700</v>
      </c>
      <c r="G10" s="15">
        <f t="shared" si="1"/>
        <v>28200</v>
      </c>
      <c r="H10" s="16">
        <v>6</v>
      </c>
      <c r="I10" s="17" t="s">
        <v>13</v>
      </c>
      <c r="J10" s="13" t="s">
        <v>23</v>
      </c>
      <c r="K10">
        <v>28200</v>
      </c>
    </row>
    <row r="11" spans="1:11" ht="21" hidden="1" customHeight="1" x14ac:dyDescent="0.25">
      <c r="A11" s="12" t="str">
        <f t="shared" si="0"/>
        <v>ВРУ-1 (ВРУ-1-12-10УХЛ4)</v>
      </c>
      <c r="B11" s="13" t="s">
        <v>26</v>
      </c>
      <c r="C11" s="14"/>
      <c r="D11" s="12" t="s">
        <v>26</v>
      </c>
      <c r="E11" s="13">
        <v>1000</v>
      </c>
      <c r="F11" s="15">
        <f t="shared" si="3"/>
        <v>1000</v>
      </c>
      <c r="G11" s="15">
        <f t="shared" si="1"/>
        <v>1000</v>
      </c>
      <c r="H11" s="16">
        <v>1</v>
      </c>
      <c r="I11" s="17" t="s">
        <v>13</v>
      </c>
      <c r="J11" s="13" t="s">
        <v>23</v>
      </c>
      <c r="K11">
        <v>1000</v>
      </c>
    </row>
    <row r="12" spans="1:11" ht="24" hidden="1" customHeight="1" x14ac:dyDescent="0.25">
      <c r="A12" s="12" t="str">
        <f t="shared" si="0"/>
        <v>ВРУ-1 (ВРУ-1-12-10УХЛ4)</v>
      </c>
      <c r="B12" s="12" t="s">
        <v>10</v>
      </c>
      <c r="C12" s="18" t="s">
        <v>10</v>
      </c>
      <c r="D12" s="12" t="s">
        <v>10</v>
      </c>
      <c r="E12" s="12">
        <f ca="1">OFFSET(E12,1,2)</f>
        <v>48000</v>
      </c>
      <c r="F12" s="15">
        <f ca="1">E12</f>
        <v>48000</v>
      </c>
      <c r="G12" s="15">
        <f t="shared" ca="1" si="1"/>
        <v>48000</v>
      </c>
      <c r="H12" s="12">
        <v>1</v>
      </c>
      <c r="I12" s="12" t="s">
        <v>13</v>
      </c>
      <c r="J12" s="12" t="s">
        <v>10</v>
      </c>
      <c r="K12">
        <v>48000</v>
      </c>
    </row>
    <row r="13" spans="1:11" ht="21" hidden="1" customHeight="1" x14ac:dyDescent="0.25">
      <c r="A13" s="12" t="str">
        <f t="shared" si="0"/>
        <v>ВРУ-1 (ВРУ-1-12-10УХЛ4)</v>
      </c>
      <c r="B13" s="12" t="s">
        <v>11</v>
      </c>
      <c r="C13" s="18" t="s">
        <v>11</v>
      </c>
      <c r="D13" s="12" t="s">
        <v>11</v>
      </c>
      <c r="E13" s="12">
        <v>8</v>
      </c>
      <c r="F13" s="15">
        <v>100</v>
      </c>
      <c r="G13" s="15">
        <f t="shared" si="1"/>
        <v>48000</v>
      </c>
      <c r="H13" s="12">
        <f>60*E13</f>
        <v>480</v>
      </c>
      <c r="I13" s="12" t="s">
        <v>13</v>
      </c>
      <c r="J13" s="12" t="s">
        <v>11</v>
      </c>
      <c r="K13">
        <v>48000</v>
      </c>
    </row>
    <row r="14" spans="1:11" ht="30" customHeight="1" x14ac:dyDescent="0.25">
      <c r="A14" s="12" t="str">
        <f t="shared" si="0"/>
        <v>ВРУ-1 (ВРУ-1-12-10УХЛ4)</v>
      </c>
      <c r="B14" s="19"/>
      <c r="C14" s="20"/>
      <c r="D14" s="21"/>
      <c r="E14" s="23"/>
      <c r="F14" s="25"/>
      <c r="G14" s="24">
        <f ca="1">SUM(G3:G13)</f>
        <v>527820</v>
      </c>
      <c r="H14" s="20"/>
      <c r="I14" s="22"/>
      <c r="J14" s="20"/>
      <c r="K14">
        <v>527820</v>
      </c>
    </row>
    <row r="15" spans="1:11" ht="39.75" customHeight="1" x14ac:dyDescent="0.25">
      <c r="A15" s="5" t="str">
        <f>D15</f>
        <v>ВРУ-2 (ВРУ-1-41-00УХЛ4)</v>
      </c>
      <c r="B15" s="6"/>
      <c r="C15" s="7"/>
      <c r="D15" s="6" t="s">
        <v>67</v>
      </c>
      <c r="E15" s="8"/>
      <c r="F15" s="8"/>
      <c r="G15" s="9"/>
      <c r="H15" s="10">
        <v>1</v>
      </c>
      <c r="I15" s="11" t="s">
        <v>7</v>
      </c>
      <c r="J15" s="6" t="s">
        <v>9</v>
      </c>
    </row>
    <row r="16" spans="1:11" ht="21" hidden="1" customHeight="1" x14ac:dyDescent="0.25">
      <c r="A16" s="12" t="str">
        <f>A15</f>
        <v>ВРУ-2 (ВРУ-1-41-00УХЛ4)</v>
      </c>
      <c r="B16" s="13" t="s">
        <v>8</v>
      </c>
      <c r="C16" s="14" t="s">
        <v>61</v>
      </c>
      <c r="D16" s="12" t="s">
        <v>62</v>
      </c>
      <c r="E16" s="13">
        <v>155000</v>
      </c>
      <c r="F16" s="15">
        <f>E16*0.6</f>
        <v>93000</v>
      </c>
      <c r="G16" s="15">
        <f t="shared" ref="G16:G24" si="4">H16*F16</f>
        <v>93000</v>
      </c>
      <c r="H16" s="16">
        <v>1</v>
      </c>
      <c r="I16" s="17" t="s">
        <v>13</v>
      </c>
      <c r="J16" s="13" t="s">
        <v>98</v>
      </c>
      <c r="K16">
        <v>93000</v>
      </c>
    </row>
    <row r="17" spans="1:11" ht="21" hidden="1" customHeight="1" x14ac:dyDescent="0.25">
      <c r="A17" s="12" t="str">
        <f t="shared" ref="A17:A25" si="5">A16</f>
        <v>ВРУ-2 (ВРУ-1-41-00УХЛ4)</v>
      </c>
      <c r="B17" s="13" t="s">
        <v>32</v>
      </c>
      <c r="C17" s="14" t="s">
        <v>68</v>
      </c>
      <c r="D17" s="12" t="s">
        <v>69</v>
      </c>
      <c r="E17" s="13">
        <v>2038</v>
      </c>
      <c r="F17" s="15">
        <f t="shared" ref="F17:F21" si="6">E17*0.6</f>
        <v>1222.8</v>
      </c>
      <c r="G17" s="15">
        <f t="shared" si="4"/>
        <v>33015.599999999999</v>
      </c>
      <c r="H17" s="16">
        <v>27</v>
      </c>
      <c r="I17" s="17" t="s">
        <v>13</v>
      </c>
      <c r="J17" s="13" t="s">
        <v>16</v>
      </c>
      <c r="K17">
        <v>33015.599999999999</v>
      </c>
    </row>
    <row r="18" spans="1:11" ht="21" hidden="1" customHeight="1" x14ac:dyDescent="0.25">
      <c r="A18" s="12" t="str">
        <f t="shared" si="5"/>
        <v>ВРУ-2 (ВРУ-1-41-00УХЛ4)</v>
      </c>
      <c r="B18" s="13" t="s">
        <v>32</v>
      </c>
      <c r="C18" s="14" t="s">
        <v>76</v>
      </c>
      <c r="D18" s="12" t="s">
        <v>77</v>
      </c>
      <c r="E18" s="13">
        <v>1545</v>
      </c>
      <c r="F18" s="15">
        <f t="shared" si="6"/>
        <v>927</v>
      </c>
      <c r="G18" s="15">
        <f t="shared" si="4"/>
        <v>2781</v>
      </c>
      <c r="H18" s="16">
        <v>3</v>
      </c>
      <c r="I18" s="17" t="s">
        <v>13</v>
      </c>
      <c r="J18" s="13" t="s">
        <v>16</v>
      </c>
      <c r="K18">
        <v>2781</v>
      </c>
    </row>
    <row r="19" spans="1:11" ht="21" hidden="1" customHeight="1" x14ac:dyDescent="0.25">
      <c r="A19" s="12" t="str">
        <f t="shared" si="5"/>
        <v>ВРУ-2 (ВРУ-1-41-00УХЛ4)</v>
      </c>
      <c r="B19" s="13" t="s">
        <v>32</v>
      </c>
      <c r="C19" s="14" t="s">
        <v>74</v>
      </c>
      <c r="D19" s="12" t="s">
        <v>75</v>
      </c>
      <c r="E19" s="13">
        <v>1525</v>
      </c>
      <c r="F19" s="15">
        <f t="shared" si="6"/>
        <v>915</v>
      </c>
      <c r="G19" s="15">
        <f t="shared" si="4"/>
        <v>5490</v>
      </c>
      <c r="H19" s="16">
        <v>6</v>
      </c>
      <c r="I19" s="17" t="s">
        <v>13</v>
      </c>
      <c r="J19" s="13" t="s">
        <v>16</v>
      </c>
      <c r="K19">
        <v>5490</v>
      </c>
    </row>
    <row r="20" spans="1:11" ht="21" hidden="1" customHeight="1" x14ac:dyDescent="0.25">
      <c r="A20" s="12" t="str">
        <f t="shared" si="5"/>
        <v>ВРУ-2 (ВРУ-1-41-00УХЛ4)</v>
      </c>
      <c r="B20" s="13" t="s">
        <v>32</v>
      </c>
      <c r="C20" s="14" t="s">
        <v>72</v>
      </c>
      <c r="D20" s="12" t="s">
        <v>73</v>
      </c>
      <c r="E20" s="13">
        <v>1525</v>
      </c>
      <c r="F20" s="15">
        <f t="shared" si="6"/>
        <v>915</v>
      </c>
      <c r="G20" s="15">
        <f t="shared" si="4"/>
        <v>5490</v>
      </c>
      <c r="H20" s="16">
        <v>6</v>
      </c>
      <c r="I20" s="17" t="s">
        <v>13</v>
      </c>
      <c r="J20" s="13" t="s">
        <v>16</v>
      </c>
      <c r="K20">
        <v>5490</v>
      </c>
    </row>
    <row r="21" spans="1:11" ht="21" hidden="1" customHeight="1" x14ac:dyDescent="0.25">
      <c r="A21" s="12" t="str">
        <f t="shared" si="5"/>
        <v>ВРУ-2 (ВРУ-1-41-00УХЛ4)</v>
      </c>
      <c r="B21" s="13" t="s">
        <v>32</v>
      </c>
      <c r="C21" s="14" t="s">
        <v>70</v>
      </c>
      <c r="D21" s="12" t="s">
        <v>71</v>
      </c>
      <c r="E21" s="13">
        <v>1510</v>
      </c>
      <c r="F21" s="15">
        <f t="shared" si="6"/>
        <v>906</v>
      </c>
      <c r="G21" s="15">
        <f t="shared" si="4"/>
        <v>10872</v>
      </c>
      <c r="H21" s="16">
        <v>12</v>
      </c>
      <c r="I21" s="17" t="s">
        <v>13</v>
      </c>
      <c r="J21" s="13" t="s">
        <v>16</v>
      </c>
      <c r="K21">
        <v>10872</v>
      </c>
    </row>
    <row r="22" spans="1:11" ht="21" hidden="1" customHeight="1" x14ac:dyDescent="0.25">
      <c r="A22" s="12" t="str">
        <f t="shared" si="5"/>
        <v>ВРУ-2 (ВРУ-1-41-00УХЛ4)</v>
      </c>
      <c r="B22" s="13" t="s">
        <v>26</v>
      </c>
      <c r="C22" s="14"/>
      <c r="D22" s="12" t="s">
        <v>26</v>
      </c>
      <c r="E22" s="13">
        <v>1000</v>
      </c>
      <c r="F22" s="15">
        <f>E22</f>
        <v>1000</v>
      </c>
      <c r="G22" s="15">
        <f t="shared" si="4"/>
        <v>1000</v>
      </c>
      <c r="H22" s="16">
        <v>1</v>
      </c>
      <c r="I22" s="17" t="s">
        <v>13</v>
      </c>
      <c r="J22" s="13" t="s">
        <v>23</v>
      </c>
      <c r="K22">
        <v>1000</v>
      </c>
    </row>
    <row r="23" spans="1:11" ht="24" hidden="1" customHeight="1" x14ac:dyDescent="0.25">
      <c r="A23" s="12" t="str">
        <f t="shared" si="5"/>
        <v>ВРУ-2 (ВРУ-1-41-00УХЛ4)</v>
      </c>
      <c r="B23" s="12" t="s">
        <v>10</v>
      </c>
      <c r="C23" s="18" t="s">
        <v>10</v>
      </c>
      <c r="D23" s="12" t="s">
        <v>10</v>
      </c>
      <c r="E23" s="12">
        <f ca="1">OFFSET(E23,1,2)</f>
        <v>30000</v>
      </c>
      <c r="F23" s="15">
        <f ca="1">E23</f>
        <v>30000</v>
      </c>
      <c r="G23" s="15">
        <f t="shared" ca="1" si="4"/>
        <v>30000</v>
      </c>
      <c r="H23" s="12">
        <v>1</v>
      </c>
      <c r="I23" s="12" t="s">
        <v>13</v>
      </c>
      <c r="J23" s="12" t="s">
        <v>10</v>
      </c>
      <c r="K23">
        <v>30000</v>
      </c>
    </row>
    <row r="24" spans="1:11" ht="21" hidden="1" customHeight="1" x14ac:dyDescent="0.25">
      <c r="A24" s="12" t="str">
        <f t="shared" si="5"/>
        <v>ВРУ-2 (ВРУ-1-41-00УХЛ4)</v>
      </c>
      <c r="B24" s="12" t="s">
        <v>11</v>
      </c>
      <c r="C24" s="18" t="s">
        <v>11</v>
      </c>
      <c r="D24" s="12" t="s">
        <v>11</v>
      </c>
      <c r="E24" s="12">
        <v>5</v>
      </c>
      <c r="F24" s="15">
        <v>100</v>
      </c>
      <c r="G24" s="15">
        <f t="shared" si="4"/>
        <v>30000</v>
      </c>
      <c r="H24" s="12">
        <f>60*E24</f>
        <v>300</v>
      </c>
      <c r="I24" s="12" t="s">
        <v>13</v>
      </c>
      <c r="J24" s="12" t="s">
        <v>11</v>
      </c>
      <c r="K24">
        <v>30000</v>
      </c>
    </row>
    <row r="25" spans="1:11" ht="30" customHeight="1" x14ac:dyDescent="0.25">
      <c r="A25" s="12" t="str">
        <f t="shared" si="5"/>
        <v>ВРУ-2 (ВРУ-1-41-00УХЛ4)</v>
      </c>
      <c r="B25" s="19"/>
      <c r="C25" s="20"/>
      <c r="D25" s="21"/>
      <c r="E25" s="23"/>
      <c r="F25" s="25"/>
      <c r="G25" s="24">
        <f ca="1">SUM(G16:G24)</f>
        <v>211648.6</v>
      </c>
      <c r="H25" s="20"/>
      <c r="I25" s="22"/>
      <c r="J25" s="20"/>
      <c r="K25">
        <v>211648.6</v>
      </c>
    </row>
    <row r="26" spans="1:11" ht="39.75" customHeight="1" x14ac:dyDescent="0.25">
      <c r="A26" s="5" t="str">
        <f>D26</f>
        <v>ВРУ-3 (ВРУ-1-41-00УХЛ4)</v>
      </c>
      <c r="B26" s="6"/>
      <c r="C26" s="7"/>
      <c r="D26" s="6" t="s">
        <v>78</v>
      </c>
      <c r="E26" s="8"/>
      <c r="F26" s="8"/>
      <c r="G26" s="9"/>
      <c r="H26" s="10">
        <v>1</v>
      </c>
      <c r="I26" s="11" t="s">
        <v>7</v>
      </c>
      <c r="J26" s="6" t="s">
        <v>9</v>
      </c>
    </row>
    <row r="27" spans="1:11" ht="21" hidden="1" customHeight="1" x14ac:dyDescent="0.25">
      <c r="A27" s="12" t="str">
        <f>A26</f>
        <v>ВРУ-3 (ВРУ-1-41-00УХЛ4)</v>
      </c>
      <c r="B27" s="13" t="s">
        <v>8</v>
      </c>
      <c r="C27" s="14" t="s">
        <v>61</v>
      </c>
      <c r="D27" s="12" t="s">
        <v>62</v>
      </c>
      <c r="E27" s="13">
        <v>155000</v>
      </c>
      <c r="F27" s="15">
        <f>E27*0.6</f>
        <v>93000</v>
      </c>
      <c r="G27" s="15">
        <f t="shared" ref="G27:G35" si="7">H27*F27</f>
        <v>93000</v>
      </c>
      <c r="H27" s="16">
        <v>1</v>
      </c>
      <c r="I27" s="17" t="s">
        <v>13</v>
      </c>
      <c r="J27" s="13" t="s">
        <v>98</v>
      </c>
      <c r="K27">
        <v>93000</v>
      </c>
    </row>
    <row r="28" spans="1:11" ht="21" hidden="1" customHeight="1" x14ac:dyDescent="0.25">
      <c r="A28" s="12" t="str">
        <f t="shared" ref="A28:A36" si="8">A27</f>
        <v>ВРУ-3 (ВРУ-1-41-00УХЛ4)</v>
      </c>
      <c r="B28" s="13" t="s">
        <v>32</v>
      </c>
      <c r="C28" s="14" t="s">
        <v>68</v>
      </c>
      <c r="D28" s="12" t="s">
        <v>69</v>
      </c>
      <c r="E28" s="13">
        <v>2038</v>
      </c>
      <c r="F28" s="15">
        <f t="shared" ref="F28:F32" si="9">E28*0.6</f>
        <v>1222.8</v>
      </c>
      <c r="G28" s="15">
        <f t="shared" si="7"/>
        <v>29347.199999999997</v>
      </c>
      <c r="H28" s="16">
        <v>24</v>
      </c>
      <c r="I28" s="17" t="s">
        <v>13</v>
      </c>
      <c r="J28" s="13" t="s">
        <v>16</v>
      </c>
      <c r="K28">
        <v>29347.199999999997</v>
      </c>
    </row>
    <row r="29" spans="1:11" ht="21" hidden="1" customHeight="1" x14ac:dyDescent="0.25">
      <c r="A29" s="12" t="str">
        <f t="shared" si="8"/>
        <v>ВРУ-3 (ВРУ-1-41-00УХЛ4)</v>
      </c>
      <c r="B29" s="13" t="s">
        <v>32</v>
      </c>
      <c r="C29" s="14" t="s">
        <v>76</v>
      </c>
      <c r="D29" s="12" t="s">
        <v>77</v>
      </c>
      <c r="E29" s="13">
        <v>1545</v>
      </c>
      <c r="F29" s="15">
        <f t="shared" si="9"/>
        <v>927</v>
      </c>
      <c r="G29" s="15">
        <f t="shared" si="7"/>
        <v>11124</v>
      </c>
      <c r="H29" s="16">
        <v>12</v>
      </c>
      <c r="I29" s="17" t="s">
        <v>13</v>
      </c>
      <c r="J29" s="13" t="s">
        <v>16</v>
      </c>
      <c r="K29">
        <v>11124</v>
      </c>
    </row>
    <row r="30" spans="1:11" ht="21" hidden="1" customHeight="1" x14ac:dyDescent="0.25">
      <c r="A30" s="12" t="str">
        <f t="shared" si="8"/>
        <v>ВРУ-3 (ВРУ-1-41-00УХЛ4)</v>
      </c>
      <c r="B30" s="13" t="s">
        <v>32</v>
      </c>
      <c r="C30" s="14" t="s">
        <v>74</v>
      </c>
      <c r="D30" s="12" t="s">
        <v>75</v>
      </c>
      <c r="E30" s="13">
        <v>1525</v>
      </c>
      <c r="F30" s="15">
        <f t="shared" si="9"/>
        <v>915</v>
      </c>
      <c r="G30" s="15">
        <f t="shared" si="7"/>
        <v>2745</v>
      </c>
      <c r="H30" s="16">
        <v>3</v>
      </c>
      <c r="I30" s="17" t="s">
        <v>13</v>
      </c>
      <c r="J30" s="13" t="s">
        <v>16</v>
      </c>
      <c r="K30">
        <v>2745</v>
      </c>
    </row>
    <row r="31" spans="1:11" ht="21" hidden="1" customHeight="1" x14ac:dyDescent="0.25">
      <c r="A31" s="12" t="str">
        <f t="shared" si="8"/>
        <v>ВРУ-3 (ВРУ-1-41-00УХЛ4)</v>
      </c>
      <c r="B31" s="13" t="s">
        <v>32</v>
      </c>
      <c r="C31" s="14" t="s">
        <v>72</v>
      </c>
      <c r="D31" s="12" t="s">
        <v>73</v>
      </c>
      <c r="E31" s="13">
        <v>1525</v>
      </c>
      <c r="F31" s="15">
        <f t="shared" si="9"/>
        <v>915</v>
      </c>
      <c r="G31" s="15">
        <f t="shared" si="7"/>
        <v>5490</v>
      </c>
      <c r="H31" s="16">
        <v>6</v>
      </c>
      <c r="I31" s="17" t="s">
        <v>13</v>
      </c>
      <c r="J31" s="13" t="s">
        <v>16</v>
      </c>
      <c r="K31">
        <v>5490</v>
      </c>
    </row>
    <row r="32" spans="1:11" ht="21" hidden="1" customHeight="1" x14ac:dyDescent="0.25">
      <c r="A32" s="12" t="str">
        <f t="shared" si="8"/>
        <v>ВРУ-3 (ВРУ-1-41-00УХЛ4)</v>
      </c>
      <c r="B32" s="13" t="s">
        <v>32</v>
      </c>
      <c r="C32" s="14" t="s">
        <v>70</v>
      </c>
      <c r="D32" s="12" t="s">
        <v>71</v>
      </c>
      <c r="E32" s="13">
        <v>1510</v>
      </c>
      <c r="F32" s="15">
        <f t="shared" si="9"/>
        <v>906</v>
      </c>
      <c r="G32" s="15">
        <f t="shared" si="7"/>
        <v>2718</v>
      </c>
      <c r="H32" s="16">
        <v>3</v>
      </c>
      <c r="I32" s="17" t="s">
        <v>13</v>
      </c>
      <c r="J32" s="13" t="s">
        <v>16</v>
      </c>
      <c r="K32">
        <v>2718</v>
      </c>
    </row>
    <row r="33" spans="1:11" ht="21" hidden="1" customHeight="1" x14ac:dyDescent="0.25">
      <c r="A33" s="12" t="str">
        <f t="shared" si="8"/>
        <v>ВРУ-3 (ВРУ-1-41-00УХЛ4)</v>
      </c>
      <c r="B33" s="13" t="s">
        <v>26</v>
      </c>
      <c r="C33" s="14"/>
      <c r="D33" s="12" t="s">
        <v>26</v>
      </c>
      <c r="E33" s="13">
        <v>1000</v>
      </c>
      <c r="F33" s="15">
        <f>E33</f>
        <v>1000</v>
      </c>
      <c r="G33" s="15">
        <f t="shared" si="7"/>
        <v>1000</v>
      </c>
      <c r="H33" s="16">
        <v>1</v>
      </c>
      <c r="I33" s="17" t="s">
        <v>13</v>
      </c>
      <c r="J33" s="13" t="s">
        <v>23</v>
      </c>
      <c r="K33">
        <v>1000</v>
      </c>
    </row>
    <row r="34" spans="1:11" ht="24" hidden="1" customHeight="1" x14ac:dyDescent="0.25">
      <c r="A34" s="12" t="str">
        <f t="shared" si="8"/>
        <v>ВРУ-3 (ВРУ-1-41-00УХЛ4)</v>
      </c>
      <c r="B34" s="12" t="s">
        <v>10</v>
      </c>
      <c r="C34" s="18" t="s">
        <v>10</v>
      </c>
      <c r="D34" s="12" t="s">
        <v>10</v>
      </c>
      <c r="E34" s="12">
        <f ca="1">OFFSET(E34,1,2)</f>
        <v>30000</v>
      </c>
      <c r="F34" s="15">
        <f ca="1">E34</f>
        <v>30000</v>
      </c>
      <c r="G34" s="15">
        <f t="shared" ca="1" si="7"/>
        <v>30000</v>
      </c>
      <c r="H34" s="12">
        <v>1</v>
      </c>
      <c r="I34" s="12" t="s">
        <v>13</v>
      </c>
      <c r="J34" s="12" t="s">
        <v>10</v>
      </c>
      <c r="K34">
        <v>30000</v>
      </c>
    </row>
    <row r="35" spans="1:11" ht="21" hidden="1" customHeight="1" x14ac:dyDescent="0.25">
      <c r="A35" s="12" t="str">
        <f t="shared" si="8"/>
        <v>ВРУ-3 (ВРУ-1-41-00УХЛ4)</v>
      </c>
      <c r="B35" s="12" t="s">
        <v>11</v>
      </c>
      <c r="C35" s="18" t="s">
        <v>11</v>
      </c>
      <c r="D35" s="12" t="s">
        <v>11</v>
      </c>
      <c r="E35" s="12">
        <v>5</v>
      </c>
      <c r="F35" s="15">
        <v>100</v>
      </c>
      <c r="G35" s="15">
        <f t="shared" si="7"/>
        <v>30000</v>
      </c>
      <c r="H35" s="12">
        <f>60*E35</f>
        <v>300</v>
      </c>
      <c r="I35" s="12" t="s">
        <v>13</v>
      </c>
      <c r="J35" s="12" t="s">
        <v>11</v>
      </c>
      <c r="K35">
        <v>30000</v>
      </c>
    </row>
    <row r="36" spans="1:11" ht="30" customHeight="1" x14ac:dyDescent="0.25">
      <c r="A36" s="12" t="str">
        <f t="shared" si="8"/>
        <v>ВРУ-3 (ВРУ-1-41-00УХЛ4)</v>
      </c>
      <c r="B36" s="19"/>
      <c r="C36" s="20"/>
      <c r="D36" s="21"/>
      <c r="E36" s="23"/>
      <c r="F36" s="25"/>
      <c r="G36" s="24">
        <f ca="1">SUM(G27:G35)</f>
        <v>205424.2</v>
      </c>
      <c r="H36" s="20"/>
      <c r="I36" s="22"/>
      <c r="J36" s="20"/>
      <c r="K36">
        <v>205424.2</v>
      </c>
    </row>
    <row r="37" spans="1:11" ht="39.75" customHeight="1" x14ac:dyDescent="0.25">
      <c r="A37" s="5" t="str">
        <f>D37</f>
        <v>ЩС-1</v>
      </c>
      <c r="B37" s="6"/>
      <c r="C37" s="7"/>
      <c r="D37" s="6" t="s">
        <v>41</v>
      </c>
      <c r="E37" s="8"/>
      <c r="F37" s="8"/>
      <c r="G37" s="9"/>
      <c r="H37" s="10">
        <v>1</v>
      </c>
      <c r="I37" s="11" t="s">
        <v>7</v>
      </c>
      <c r="J37" s="6" t="s">
        <v>9</v>
      </c>
    </row>
    <row r="38" spans="1:11" ht="21" hidden="1" customHeight="1" x14ac:dyDescent="0.25">
      <c r="A38" s="12" t="str">
        <f>A37</f>
        <v>ЩС-1</v>
      </c>
      <c r="B38" s="13" t="s">
        <v>8</v>
      </c>
      <c r="C38" s="14" t="s">
        <v>86</v>
      </c>
      <c r="D38" s="12" t="s">
        <v>87</v>
      </c>
      <c r="E38" s="13">
        <v>29000</v>
      </c>
      <c r="F38" s="15">
        <f>E38*0.6</f>
        <v>17400</v>
      </c>
      <c r="G38" s="15">
        <f t="shared" ref="G38:G44" si="10">H38*F38</f>
        <v>17400</v>
      </c>
      <c r="H38" s="16">
        <v>1</v>
      </c>
      <c r="I38" s="17" t="s">
        <v>13</v>
      </c>
      <c r="J38" s="13" t="s">
        <v>98</v>
      </c>
      <c r="K38">
        <v>17400</v>
      </c>
    </row>
    <row r="39" spans="1:11" ht="20.25" hidden="1" customHeight="1" x14ac:dyDescent="0.25">
      <c r="A39" s="12" t="str">
        <f t="shared" ref="A39:A45" si="11">A38</f>
        <v>ЩС-1</v>
      </c>
      <c r="B39" s="13" t="s">
        <v>25</v>
      </c>
      <c r="C39" s="14" t="s">
        <v>37</v>
      </c>
      <c r="D39" s="12" t="s">
        <v>38</v>
      </c>
      <c r="E39" s="13">
        <v>4217</v>
      </c>
      <c r="F39" s="15">
        <f t="shared" ref="F39:F42" si="12">E39*0.6</f>
        <v>2530.1999999999998</v>
      </c>
      <c r="G39" s="15">
        <f t="shared" si="10"/>
        <v>2530.1999999999998</v>
      </c>
      <c r="H39" s="16">
        <v>1</v>
      </c>
      <c r="I39" s="17" t="s">
        <v>13</v>
      </c>
      <c r="J39" s="13" t="s">
        <v>16</v>
      </c>
      <c r="K39">
        <v>2530.1999999999998</v>
      </c>
    </row>
    <row r="40" spans="1:11" ht="21" hidden="1" customHeight="1" x14ac:dyDescent="0.25">
      <c r="A40" s="12" t="str">
        <f>A38</f>
        <v>ЩС-1</v>
      </c>
      <c r="B40" s="13" t="s">
        <v>12</v>
      </c>
      <c r="C40" s="14" t="s">
        <v>55</v>
      </c>
      <c r="D40" s="12" t="s">
        <v>56</v>
      </c>
      <c r="E40" s="13">
        <v>2337</v>
      </c>
      <c r="F40" s="15">
        <f t="shared" si="12"/>
        <v>1402.2</v>
      </c>
      <c r="G40" s="15">
        <f t="shared" si="10"/>
        <v>1402.2</v>
      </c>
      <c r="H40" s="16">
        <v>1</v>
      </c>
      <c r="I40" s="17" t="s">
        <v>13</v>
      </c>
      <c r="J40" s="13" t="s">
        <v>16</v>
      </c>
      <c r="K40">
        <v>1402.2</v>
      </c>
    </row>
    <row r="41" spans="1:11" ht="21" hidden="1" customHeight="1" x14ac:dyDescent="0.25">
      <c r="A41" s="12" t="str">
        <f>A39</f>
        <v>ЩС-1</v>
      </c>
      <c r="B41" s="13" t="s">
        <v>22</v>
      </c>
      <c r="C41" s="14" t="s">
        <v>42</v>
      </c>
      <c r="D41" s="12" t="s">
        <v>43</v>
      </c>
      <c r="E41" s="13">
        <v>5104</v>
      </c>
      <c r="F41" s="15">
        <f t="shared" si="12"/>
        <v>3062.4</v>
      </c>
      <c r="G41" s="15">
        <f t="shared" si="10"/>
        <v>45936</v>
      </c>
      <c r="H41" s="16">
        <v>15</v>
      </c>
      <c r="I41" s="17" t="s">
        <v>13</v>
      </c>
      <c r="J41" s="13" t="s">
        <v>16</v>
      </c>
      <c r="K41">
        <v>45936</v>
      </c>
    </row>
    <row r="42" spans="1:11" ht="21" hidden="1" customHeight="1" x14ac:dyDescent="0.25">
      <c r="A42" s="12" t="str">
        <f t="shared" ref="A42" si="13">A41</f>
        <v>ЩС-1</v>
      </c>
      <c r="B42" s="13" t="s">
        <v>22</v>
      </c>
      <c r="C42" s="14" t="s">
        <v>44</v>
      </c>
      <c r="D42" s="12" t="s">
        <v>45</v>
      </c>
      <c r="E42" s="13">
        <v>5632</v>
      </c>
      <c r="F42" s="15">
        <f t="shared" si="12"/>
        <v>3379.2</v>
      </c>
      <c r="G42" s="15">
        <f t="shared" si="10"/>
        <v>3379.2</v>
      </c>
      <c r="H42" s="16">
        <v>1</v>
      </c>
      <c r="I42" s="17" t="s">
        <v>13</v>
      </c>
      <c r="J42" s="13" t="s">
        <v>16</v>
      </c>
      <c r="K42">
        <v>3379.2</v>
      </c>
    </row>
    <row r="43" spans="1:11" ht="24" hidden="1" customHeight="1" x14ac:dyDescent="0.25">
      <c r="A43" s="12" t="str">
        <f>A41</f>
        <v>ЩС-1</v>
      </c>
      <c r="B43" s="12" t="s">
        <v>10</v>
      </c>
      <c r="C43" s="18" t="s">
        <v>10</v>
      </c>
      <c r="D43" s="12" t="s">
        <v>10</v>
      </c>
      <c r="E43" s="12">
        <f ca="1">OFFSET(E43,1,2)</f>
        <v>21000</v>
      </c>
      <c r="F43" s="15">
        <f ca="1">E43</f>
        <v>21000</v>
      </c>
      <c r="G43" s="15">
        <f t="shared" ca="1" si="10"/>
        <v>21000</v>
      </c>
      <c r="H43" s="12">
        <v>1</v>
      </c>
      <c r="I43" s="12" t="s">
        <v>13</v>
      </c>
      <c r="J43" s="12" t="s">
        <v>10</v>
      </c>
      <c r="K43">
        <v>21000</v>
      </c>
    </row>
    <row r="44" spans="1:11" ht="21" hidden="1" customHeight="1" x14ac:dyDescent="0.25">
      <c r="A44" s="12" t="str">
        <f t="shared" si="11"/>
        <v>ЩС-1</v>
      </c>
      <c r="B44" s="12" t="s">
        <v>11</v>
      </c>
      <c r="C44" s="18" t="s">
        <v>11</v>
      </c>
      <c r="D44" s="12" t="s">
        <v>11</v>
      </c>
      <c r="E44" s="12">
        <v>3.5</v>
      </c>
      <c r="F44" s="15">
        <v>100</v>
      </c>
      <c r="G44" s="15">
        <f t="shared" si="10"/>
        <v>21000</v>
      </c>
      <c r="H44" s="12">
        <f>60*E44</f>
        <v>210</v>
      </c>
      <c r="I44" s="12" t="s">
        <v>13</v>
      </c>
      <c r="J44" s="12" t="s">
        <v>11</v>
      </c>
      <c r="K44">
        <v>21000</v>
      </c>
    </row>
    <row r="45" spans="1:11" ht="30" customHeight="1" x14ac:dyDescent="0.25">
      <c r="A45" s="12" t="str">
        <f t="shared" si="11"/>
        <v>ЩС-1</v>
      </c>
      <c r="B45" s="19"/>
      <c r="C45" s="20"/>
      <c r="D45" s="21"/>
      <c r="E45" s="23"/>
      <c r="F45" s="25"/>
      <c r="G45" s="24">
        <f ca="1">SUM(G38:G44)</f>
        <v>112647.59999999999</v>
      </c>
      <c r="H45" s="20"/>
      <c r="I45" s="22"/>
      <c r="J45" s="20"/>
      <c r="K45">
        <v>112647.59999999999</v>
      </c>
    </row>
    <row r="46" spans="1:11" ht="39.75" customHeight="1" x14ac:dyDescent="0.25">
      <c r="A46" s="5" t="str">
        <f>D46</f>
        <v>ЩВ-1</v>
      </c>
      <c r="B46" s="6"/>
      <c r="C46" s="7"/>
      <c r="D46" s="6" t="s">
        <v>79</v>
      </c>
      <c r="E46" s="8"/>
      <c r="F46" s="8"/>
      <c r="G46" s="9"/>
      <c r="H46" s="10">
        <v>1</v>
      </c>
      <c r="I46" s="11" t="s">
        <v>7</v>
      </c>
      <c r="J46" s="6" t="s">
        <v>9</v>
      </c>
    </row>
    <row r="47" spans="1:11" ht="21" hidden="1" customHeight="1" x14ac:dyDescent="0.25">
      <c r="A47" s="12" t="str">
        <f>A46</f>
        <v>ЩВ-1</v>
      </c>
      <c r="B47" s="13" t="s">
        <v>8</v>
      </c>
      <c r="C47" s="14" t="s">
        <v>59</v>
      </c>
      <c r="D47" s="12" t="s">
        <v>60</v>
      </c>
      <c r="E47" s="13">
        <v>9825</v>
      </c>
      <c r="F47" s="15">
        <f>E47*0.6</f>
        <v>5895</v>
      </c>
      <c r="G47" s="15">
        <f t="shared" ref="G47:G52" si="14">H47*F47</f>
        <v>5895</v>
      </c>
      <c r="H47" s="16">
        <v>1</v>
      </c>
      <c r="I47" s="17" t="s">
        <v>13</v>
      </c>
      <c r="J47" s="13" t="s">
        <v>98</v>
      </c>
      <c r="K47">
        <v>5895</v>
      </c>
    </row>
    <row r="48" spans="1:11" ht="20.25" hidden="1" customHeight="1" x14ac:dyDescent="0.25">
      <c r="A48" s="12" t="str">
        <f t="shared" ref="A48" si="15">A47</f>
        <v>ЩВ-1</v>
      </c>
      <c r="B48" s="13" t="s">
        <v>12</v>
      </c>
      <c r="C48" s="14" t="s">
        <v>34</v>
      </c>
      <c r="D48" s="12" t="s">
        <v>35</v>
      </c>
      <c r="E48" s="13">
        <v>2499</v>
      </c>
      <c r="F48" s="15">
        <f t="shared" ref="F48:F50" si="16">E48*0.6</f>
        <v>1499.3999999999999</v>
      </c>
      <c r="G48" s="15">
        <f t="shared" si="14"/>
        <v>1499.3999999999999</v>
      </c>
      <c r="H48" s="16">
        <v>1</v>
      </c>
      <c r="I48" s="17" t="s">
        <v>13</v>
      </c>
      <c r="J48" s="13" t="s">
        <v>16</v>
      </c>
      <c r="K48">
        <v>1499.3999999999999</v>
      </c>
    </row>
    <row r="49" spans="1:11" ht="21" hidden="1" customHeight="1" x14ac:dyDescent="0.25">
      <c r="A49" s="12" t="str">
        <f>A47</f>
        <v>ЩВ-1</v>
      </c>
      <c r="B49" s="13" t="s">
        <v>12</v>
      </c>
      <c r="C49" s="14" t="s">
        <v>55</v>
      </c>
      <c r="D49" s="12" t="s">
        <v>56</v>
      </c>
      <c r="E49" s="13">
        <v>2337</v>
      </c>
      <c r="F49" s="15">
        <f t="shared" si="16"/>
        <v>1402.2</v>
      </c>
      <c r="G49" s="15">
        <f t="shared" si="14"/>
        <v>2804.4</v>
      </c>
      <c r="H49" s="16">
        <v>2</v>
      </c>
      <c r="I49" s="17" t="s">
        <v>13</v>
      </c>
      <c r="J49" s="13" t="s">
        <v>16</v>
      </c>
      <c r="K49">
        <v>2804.4</v>
      </c>
    </row>
    <row r="50" spans="1:11" ht="21" hidden="1" customHeight="1" x14ac:dyDescent="0.25">
      <c r="A50" s="12" t="str">
        <f>A48</f>
        <v>ЩВ-1</v>
      </c>
      <c r="B50" s="13" t="s">
        <v>12</v>
      </c>
      <c r="C50" s="14" t="s">
        <v>57</v>
      </c>
      <c r="D50" s="12" t="s">
        <v>58</v>
      </c>
      <c r="E50" s="13">
        <v>783</v>
      </c>
      <c r="F50" s="15">
        <f t="shared" si="16"/>
        <v>469.79999999999995</v>
      </c>
      <c r="G50" s="15">
        <f t="shared" si="14"/>
        <v>469.79999999999995</v>
      </c>
      <c r="H50" s="16">
        <v>1</v>
      </c>
      <c r="I50" s="17" t="s">
        <v>13</v>
      </c>
      <c r="J50" s="13" t="s">
        <v>16</v>
      </c>
      <c r="K50">
        <v>469.79999999999995</v>
      </c>
    </row>
    <row r="51" spans="1:11" ht="24" hidden="1" customHeight="1" x14ac:dyDescent="0.25">
      <c r="A51" s="12" t="str">
        <f>A49</f>
        <v>ЩВ-1</v>
      </c>
      <c r="B51" s="12" t="s">
        <v>10</v>
      </c>
      <c r="C51" s="18" t="s">
        <v>10</v>
      </c>
      <c r="D51" s="12" t="s">
        <v>10</v>
      </c>
      <c r="E51" s="12">
        <f ca="1">OFFSET(E51,1,2)</f>
        <v>6000</v>
      </c>
      <c r="F51" s="15">
        <f ca="1">E51</f>
        <v>6000</v>
      </c>
      <c r="G51" s="15">
        <f t="shared" ca="1" si="14"/>
        <v>6000</v>
      </c>
      <c r="H51" s="12">
        <v>1</v>
      </c>
      <c r="I51" s="12" t="s">
        <v>13</v>
      </c>
      <c r="J51" s="12" t="s">
        <v>10</v>
      </c>
      <c r="K51">
        <v>6000</v>
      </c>
    </row>
    <row r="52" spans="1:11" ht="21" hidden="1" customHeight="1" x14ac:dyDescent="0.25">
      <c r="A52" s="12" t="str">
        <f t="shared" ref="A52:A53" si="17">A51</f>
        <v>ЩВ-1</v>
      </c>
      <c r="B52" s="12" t="s">
        <v>11</v>
      </c>
      <c r="C52" s="18" t="s">
        <v>11</v>
      </c>
      <c r="D52" s="12" t="s">
        <v>11</v>
      </c>
      <c r="E52" s="12">
        <v>1</v>
      </c>
      <c r="F52" s="15">
        <v>100</v>
      </c>
      <c r="G52" s="15">
        <f t="shared" si="14"/>
        <v>6000</v>
      </c>
      <c r="H52" s="12">
        <f>60*E52</f>
        <v>60</v>
      </c>
      <c r="I52" s="12" t="s">
        <v>13</v>
      </c>
      <c r="J52" s="12" t="s">
        <v>11</v>
      </c>
      <c r="K52">
        <v>6000</v>
      </c>
    </row>
    <row r="53" spans="1:11" ht="30" customHeight="1" x14ac:dyDescent="0.25">
      <c r="A53" s="12" t="str">
        <f t="shared" si="17"/>
        <v>ЩВ-1</v>
      </c>
      <c r="B53" s="19"/>
      <c r="C53" s="20"/>
      <c r="D53" s="21"/>
      <c r="E53" s="23"/>
      <c r="F53" s="25"/>
      <c r="G53" s="24">
        <f ca="1">SUM(G47:G52)</f>
        <v>22668.6</v>
      </c>
      <c r="H53" s="20"/>
      <c r="I53" s="22"/>
      <c r="J53" s="20"/>
      <c r="K53">
        <v>22668.6</v>
      </c>
    </row>
    <row r="54" spans="1:11" ht="39.75" customHeight="1" x14ac:dyDescent="0.25">
      <c r="A54" s="5" t="str">
        <f>D54</f>
        <v>ЩС-2</v>
      </c>
      <c r="B54" s="6"/>
      <c r="C54" s="7"/>
      <c r="D54" s="6" t="s">
        <v>46</v>
      </c>
      <c r="E54" s="8"/>
      <c r="F54" s="8"/>
      <c r="G54" s="9"/>
      <c r="H54" s="10">
        <v>1</v>
      </c>
      <c r="I54" s="11" t="s">
        <v>7</v>
      </c>
      <c r="J54" s="6" t="s">
        <v>9</v>
      </c>
    </row>
    <row r="55" spans="1:11" ht="21" hidden="1" customHeight="1" x14ac:dyDescent="0.25">
      <c r="A55" s="12" t="str">
        <f>A54</f>
        <v>ЩС-2</v>
      </c>
      <c r="B55" s="13" t="s">
        <v>8</v>
      </c>
      <c r="C55" s="14" t="s">
        <v>94</v>
      </c>
      <c r="D55" s="12" t="s">
        <v>95</v>
      </c>
      <c r="E55" s="13">
        <v>13900</v>
      </c>
      <c r="F55" s="15">
        <f>E55*0.6</f>
        <v>8340</v>
      </c>
      <c r="G55" s="15">
        <f t="shared" ref="G55:G59" si="18">H55*F55</f>
        <v>8340</v>
      </c>
      <c r="H55" s="16">
        <v>1</v>
      </c>
      <c r="I55" s="17" t="s">
        <v>13</v>
      </c>
      <c r="J55" s="13" t="s">
        <v>98</v>
      </c>
      <c r="K55">
        <v>8340</v>
      </c>
    </row>
    <row r="56" spans="1:11" ht="20.25" hidden="1" customHeight="1" x14ac:dyDescent="0.25">
      <c r="A56" s="12" t="str">
        <f t="shared" ref="A56" si="19">A55</f>
        <v>ЩС-2</v>
      </c>
      <c r="B56" s="13" t="s">
        <v>25</v>
      </c>
      <c r="C56" s="14" t="s">
        <v>51</v>
      </c>
      <c r="D56" s="12" t="s">
        <v>52</v>
      </c>
      <c r="E56" s="13">
        <v>3372</v>
      </c>
      <c r="F56" s="15">
        <f t="shared" ref="F56:F57" si="20">E56*0.6</f>
        <v>2023.1999999999998</v>
      </c>
      <c r="G56" s="15">
        <f t="shared" si="18"/>
        <v>2023.1999999999998</v>
      </c>
      <c r="H56" s="16">
        <v>1</v>
      </c>
      <c r="I56" s="17" t="s">
        <v>13</v>
      </c>
      <c r="J56" s="13" t="s">
        <v>16</v>
      </c>
      <c r="K56">
        <v>2023.1999999999998</v>
      </c>
    </row>
    <row r="57" spans="1:11" ht="21" hidden="1" customHeight="1" x14ac:dyDescent="0.25">
      <c r="A57" s="12" t="str">
        <f>A55</f>
        <v>ЩС-2</v>
      </c>
      <c r="B57" s="13" t="s">
        <v>22</v>
      </c>
      <c r="C57" s="14" t="s">
        <v>42</v>
      </c>
      <c r="D57" s="12" t="s">
        <v>43</v>
      </c>
      <c r="E57" s="13">
        <v>5104</v>
      </c>
      <c r="F57" s="15">
        <f t="shared" si="20"/>
        <v>3062.4</v>
      </c>
      <c r="G57" s="15">
        <f t="shared" si="18"/>
        <v>30624</v>
      </c>
      <c r="H57" s="16">
        <v>10</v>
      </c>
      <c r="I57" s="17" t="s">
        <v>13</v>
      </c>
      <c r="J57" s="13" t="s">
        <v>16</v>
      </c>
      <c r="K57">
        <v>30624</v>
      </c>
    </row>
    <row r="58" spans="1:11" ht="24" hidden="1" customHeight="1" x14ac:dyDescent="0.25">
      <c r="A58" s="12" t="str">
        <f>A57</f>
        <v>ЩС-2</v>
      </c>
      <c r="B58" s="12" t="s">
        <v>10</v>
      </c>
      <c r="C58" s="18" t="s">
        <v>10</v>
      </c>
      <c r="D58" s="12" t="s">
        <v>10</v>
      </c>
      <c r="E58" s="12">
        <f ca="1">OFFSET(E58,1,2)</f>
        <v>9000</v>
      </c>
      <c r="F58" s="15">
        <f ca="1">E58</f>
        <v>9000</v>
      </c>
      <c r="G58" s="15">
        <f t="shared" ca="1" si="18"/>
        <v>9000</v>
      </c>
      <c r="H58" s="12">
        <v>1</v>
      </c>
      <c r="I58" s="12" t="s">
        <v>13</v>
      </c>
      <c r="J58" s="12" t="s">
        <v>10</v>
      </c>
      <c r="K58">
        <v>9000</v>
      </c>
    </row>
    <row r="59" spans="1:11" ht="21" hidden="1" customHeight="1" x14ac:dyDescent="0.25">
      <c r="A59" s="12" t="str">
        <f t="shared" ref="A59:A60" si="21">A58</f>
        <v>ЩС-2</v>
      </c>
      <c r="B59" s="12" t="s">
        <v>11</v>
      </c>
      <c r="C59" s="18" t="s">
        <v>11</v>
      </c>
      <c r="D59" s="12" t="s">
        <v>11</v>
      </c>
      <c r="E59" s="12">
        <v>1.5</v>
      </c>
      <c r="F59" s="15">
        <v>100</v>
      </c>
      <c r="G59" s="15">
        <f t="shared" si="18"/>
        <v>9000</v>
      </c>
      <c r="H59" s="12">
        <f>60*E59</f>
        <v>90</v>
      </c>
      <c r="I59" s="12" t="s">
        <v>13</v>
      </c>
      <c r="J59" s="12" t="s">
        <v>11</v>
      </c>
      <c r="K59">
        <v>9000</v>
      </c>
    </row>
    <row r="60" spans="1:11" ht="30" customHeight="1" x14ac:dyDescent="0.25">
      <c r="A60" s="12" t="str">
        <f t="shared" si="21"/>
        <v>ЩС-2</v>
      </c>
      <c r="B60" s="19"/>
      <c r="C60" s="20"/>
      <c r="D60" s="21"/>
      <c r="E60" s="23"/>
      <c r="F60" s="25"/>
      <c r="G60" s="24">
        <f ca="1">SUM(G55:G59)</f>
        <v>58987.199999999997</v>
      </c>
      <c r="H60" s="20"/>
      <c r="I60" s="22"/>
      <c r="J60" s="20"/>
      <c r="K60">
        <v>58987.199999999997</v>
      </c>
    </row>
    <row r="61" spans="1:11" ht="39.75" customHeight="1" x14ac:dyDescent="0.25">
      <c r="A61" s="5" t="str">
        <f>D61</f>
        <v>ЩС-3</v>
      </c>
      <c r="B61" s="6"/>
      <c r="C61" s="7"/>
      <c r="D61" s="6" t="s">
        <v>47</v>
      </c>
      <c r="E61" s="8"/>
      <c r="F61" s="8"/>
      <c r="G61" s="9"/>
      <c r="H61" s="10">
        <v>1</v>
      </c>
      <c r="I61" s="11" t="s">
        <v>7</v>
      </c>
      <c r="J61" s="6" t="s">
        <v>9</v>
      </c>
    </row>
    <row r="62" spans="1:11" ht="21" hidden="1" customHeight="1" x14ac:dyDescent="0.25">
      <c r="A62" s="12" t="str">
        <f>A61</f>
        <v>ЩС-3</v>
      </c>
      <c r="B62" s="13" t="s">
        <v>8</v>
      </c>
      <c r="C62" s="14" t="s">
        <v>86</v>
      </c>
      <c r="D62" s="12" t="s">
        <v>87</v>
      </c>
      <c r="E62" s="13">
        <v>29000</v>
      </c>
      <c r="F62" s="15">
        <f>E62*0.6</f>
        <v>17400</v>
      </c>
      <c r="G62" s="15">
        <f t="shared" ref="G62:G66" si="22">H62*F62</f>
        <v>17400</v>
      </c>
      <c r="H62" s="16">
        <v>1</v>
      </c>
      <c r="I62" s="17" t="s">
        <v>13</v>
      </c>
      <c r="J62" s="13" t="s">
        <v>98</v>
      </c>
      <c r="K62">
        <v>17400</v>
      </c>
    </row>
    <row r="63" spans="1:11" ht="20.25" hidden="1" customHeight="1" x14ac:dyDescent="0.25">
      <c r="A63" s="12" t="str">
        <f t="shared" ref="A63" si="23">A62</f>
        <v>ЩС-3</v>
      </c>
      <c r="B63" s="13" t="s">
        <v>25</v>
      </c>
      <c r="C63" s="14" t="s">
        <v>53</v>
      </c>
      <c r="D63" s="12" t="s">
        <v>54</v>
      </c>
      <c r="E63" s="13">
        <v>3372</v>
      </c>
      <c r="F63" s="15">
        <f t="shared" ref="F63:F64" si="24">E63*0.6</f>
        <v>2023.1999999999998</v>
      </c>
      <c r="G63" s="15">
        <f t="shared" si="22"/>
        <v>2023.1999999999998</v>
      </c>
      <c r="H63" s="16">
        <v>1</v>
      </c>
      <c r="I63" s="17" t="s">
        <v>13</v>
      </c>
      <c r="J63" s="13" t="s">
        <v>16</v>
      </c>
      <c r="K63">
        <v>2023.1999999999998</v>
      </c>
    </row>
    <row r="64" spans="1:11" ht="21" hidden="1" customHeight="1" x14ac:dyDescent="0.25">
      <c r="A64" s="12" t="str">
        <f>A63</f>
        <v>ЩС-3</v>
      </c>
      <c r="B64" s="13" t="s">
        <v>22</v>
      </c>
      <c r="C64" s="14" t="s">
        <v>42</v>
      </c>
      <c r="D64" s="12" t="s">
        <v>43</v>
      </c>
      <c r="E64" s="13">
        <v>5104</v>
      </c>
      <c r="F64" s="15">
        <f t="shared" si="24"/>
        <v>3062.4</v>
      </c>
      <c r="G64" s="15">
        <f t="shared" si="22"/>
        <v>64310.400000000001</v>
      </c>
      <c r="H64" s="16">
        <v>21</v>
      </c>
      <c r="I64" s="17" t="s">
        <v>13</v>
      </c>
      <c r="J64" s="13" t="s">
        <v>16</v>
      </c>
      <c r="K64">
        <v>64310.400000000001</v>
      </c>
    </row>
    <row r="65" spans="1:11" ht="24" hidden="1" customHeight="1" x14ac:dyDescent="0.25">
      <c r="A65" s="12" t="str">
        <f>A64</f>
        <v>ЩС-3</v>
      </c>
      <c r="B65" s="12" t="s">
        <v>10</v>
      </c>
      <c r="C65" s="18" t="s">
        <v>10</v>
      </c>
      <c r="D65" s="12" t="s">
        <v>10</v>
      </c>
      <c r="E65" s="12">
        <f ca="1">OFFSET(E65,1,2)</f>
        <v>21000</v>
      </c>
      <c r="F65" s="15">
        <f ca="1">E65</f>
        <v>21000</v>
      </c>
      <c r="G65" s="15">
        <f t="shared" ca="1" si="22"/>
        <v>21000</v>
      </c>
      <c r="H65" s="12">
        <v>1</v>
      </c>
      <c r="I65" s="12" t="s">
        <v>13</v>
      </c>
      <c r="J65" s="12" t="s">
        <v>10</v>
      </c>
      <c r="K65">
        <v>21000</v>
      </c>
    </row>
    <row r="66" spans="1:11" ht="21" hidden="1" customHeight="1" x14ac:dyDescent="0.25">
      <c r="A66" s="12" t="str">
        <f t="shared" ref="A66:A67" si="25">A65</f>
        <v>ЩС-3</v>
      </c>
      <c r="B66" s="12" t="s">
        <v>11</v>
      </c>
      <c r="C66" s="18" t="s">
        <v>11</v>
      </c>
      <c r="D66" s="12" t="s">
        <v>11</v>
      </c>
      <c r="E66" s="12">
        <v>3.5</v>
      </c>
      <c r="F66" s="15">
        <v>100</v>
      </c>
      <c r="G66" s="15">
        <f t="shared" si="22"/>
        <v>21000</v>
      </c>
      <c r="H66" s="12">
        <f>60*E66</f>
        <v>210</v>
      </c>
      <c r="I66" s="12" t="s">
        <v>13</v>
      </c>
      <c r="J66" s="12" t="s">
        <v>11</v>
      </c>
      <c r="K66">
        <v>21000</v>
      </c>
    </row>
    <row r="67" spans="1:11" ht="30" customHeight="1" x14ac:dyDescent="0.25">
      <c r="A67" s="12" t="str">
        <f t="shared" si="25"/>
        <v>ЩС-3</v>
      </c>
      <c r="B67" s="19"/>
      <c r="C67" s="20"/>
      <c r="D67" s="21"/>
      <c r="E67" s="23"/>
      <c r="F67" s="25"/>
      <c r="G67" s="24">
        <f ca="1">SUM(G62:G66)</f>
        <v>125733.6</v>
      </c>
      <c r="H67" s="20"/>
      <c r="I67" s="22"/>
      <c r="J67" s="20"/>
      <c r="K67">
        <v>125733.6</v>
      </c>
    </row>
    <row r="68" spans="1:11" ht="39.75" customHeight="1" x14ac:dyDescent="0.25">
      <c r="A68" s="5" t="str">
        <f>D68</f>
        <v>ЩС-4</v>
      </c>
      <c r="B68" s="6"/>
      <c r="C68" s="7"/>
      <c r="D68" s="6" t="s">
        <v>48</v>
      </c>
      <c r="E68" s="8"/>
      <c r="F68" s="8"/>
      <c r="G68" s="9"/>
      <c r="H68" s="10">
        <v>1</v>
      </c>
      <c r="I68" s="11" t="s">
        <v>7</v>
      </c>
      <c r="J68" s="6" t="s">
        <v>9</v>
      </c>
    </row>
    <row r="69" spans="1:11" ht="21" hidden="1" customHeight="1" x14ac:dyDescent="0.25">
      <c r="A69" s="12" t="str">
        <f>A68</f>
        <v>ЩС-4</v>
      </c>
      <c r="B69" s="13" t="s">
        <v>8</v>
      </c>
      <c r="C69" s="14" t="s">
        <v>94</v>
      </c>
      <c r="D69" s="12" t="s">
        <v>95</v>
      </c>
      <c r="E69" s="13">
        <v>13900</v>
      </c>
      <c r="F69" s="15">
        <f>E69*0.6</f>
        <v>8340</v>
      </c>
      <c r="G69" s="15">
        <f t="shared" ref="G69:G76" si="26">H69*F69</f>
        <v>8340</v>
      </c>
      <c r="H69" s="16">
        <v>1</v>
      </c>
      <c r="I69" s="17" t="s">
        <v>13</v>
      </c>
      <c r="J69" s="13" t="s">
        <v>98</v>
      </c>
      <c r="K69">
        <v>8340</v>
      </c>
    </row>
    <row r="70" spans="1:11" ht="20.25" hidden="1" customHeight="1" x14ac:dyDescent="0.25">
      <c r="A70" s="12" t="str">
        <f t="shared" ref="A70" si="27">A69</f>
        <v>ЩС-4</v>
      </c>
      <c r="B70" s="13" t="s">
        <v>25</v>
      </c>
      <c r="C70" s="14" t="s">
        <v>53</v>
      </c>
      <c r="D70" s="12" t="s">
        <v>54</v>
      </c>
      <c r="E70" s="13">
        <v>3372</v>
      </c>
      <c r="F70" s="15">
        <f t="shared" ref="F70:F74" si="28">E70*0.6</f>
        <v>2023.1999999999998</v>
      </c>
      <c r="G70" s="15">
        <f t="shared" si="26"/>
        <v>2023.1999999999998</v>
      </c>
      <c r="H70" s="16">
        <v>1</v>
      </c>
      <c r="I70" s="17" t="s">
        <v>13</v>
      </c>
      <c r="J70" s="13" t="s">
        <v>16</v>
      </c>
      <c r="K70">
        <v>2023.1999999999998</v>
      </c>
    </row>
    <row r="71" spans="1:11" ht="21" hidden="1" customHeight="1" x14ac:dyDescent="0.25">
      <c r="A71" s="12" t="str">
        <f>A69</f>
        <v>ЩС-4</v>
      </c>
      <c r="B71" s="13" t="s">
        <v>22</v>
      </c>
      <c r="C71" s="14" t="s">
        <v>49</v>
      </c>
      <c r="D71" s="12" t="s">
        <v>50</v>
      </c>
      <c r="E71" s="13">
        <v>8352</v>
      </c>
      <c r="F71" s="15">
        <f t="shared" si="28"/>
        <v>5011.2</v>
      </c>
      <c r="G71" s="15">
        <f t="shared" si="26"/>
        <v>5011.2</v>
      </c>
      <c r="H71" s="16">
        <v>1</v>
      </c>
      <c r="I71" s="17" t="s">
        <v>13</v>
      </c>
      <c r="J71" s="13" t="s">
        <v>16</v>
      </c>
      <c r="K71">
        <v>5011.2</v>
      </c>
    </row>
    <row r="72" spans="1:11" ht="21" hidden="1" customHeight="1" x14ac:dyDescent="0.25">
      <c r="A72" s="12" t="str">
        <f>A70</f>
        <v>ЩС-4</v>
      </c>
      <c r="B72" s="13" t="s">
        <v>22</v>
      </c>
      <c r="C72" s="14" t="s">
        <v>44</v>
      </c>
      <c r="D72" s="12" t="s">
        <v>45</v>
      </c>
      <c r="E72" s="13">
        <v>5632</v>
      </c>
      <c r="F72" s="15">
        <f t="shared" si="28"/>
        <v>3379.2</v>
      </c>
      <c r="G72" s="15">
        <f t="shared" si="26"/>
        <v>6758.4</v>
      </c>
      <c r="H72" s="16">
        <v>2</v>
      </c>
      <c r="I72" s="17" t="s">
        <v>13</v>
      </c>
      <c r="J72" s="13" t="s">
        <v>16</v>
      </c>
      <c r="K72">
        <v>6758.4</v>
      </c>
    </row>
    <row r="73" spans="1:11" ht="21" hidden="1" customHeight="1" x14ac:dyDescent="0.25">
      <c r="A73" s="12" t="str">
        <f>A70</f>
        <v>ЩС-4</v>
      </c>
      <c r="B73" s="13" t="s">
        <v>22</v>
      </c>
      <c r="C73" s="14" t="s">
        <v>42</v>
      </c>
      <c r="D73" s="12" t="s">
        <v>43</v>
      </c>
      <c r="E73" s="13">
        <v>5104</v>
      </c>
      <c r="F73" s="15">
        <f t="shared" si="28"/>
        <v>3062.4</v>
      </c>
      <c r="G73" s="15">
        <f t="shared" si="26"/>
        <v>15312</v>
      </c>
      <c r="H73" s="16">
        <v>5</v>
      </c>
      <c r="I73" s="17" t="s">
        <v>13</v>
      </c>
      <c r="J73" s="13" t="s">
        <v>16</v>
      </c>
      <c r="K73">
        <v>15312</v>
      </c>
    </row>
    <row r="74" spans="1:11" ht="21" hidden="1" customHeight="1" x14ac:dyDescent="0.25">
      <c r="A74" s="12" t="str">
        <f>A71</f>
        <v>ЩС-4</v>
      </c>
      <c r="B74" s="13" t="s">
        <v>12</v>
      </c>
      <c r="C74" s="14" t="s">
        <v>20</v>
      </c>
      <c r="D74" s="12" t="s">
        <v>21</v>
      </c>
      <c r="E74" s="13">
        <v>2429</v>
      </c>
      <c r="F74" s="15">
        <f t="shared" si="28"/>
        <v>1457.3999999999999</v>
      </c>
      <c r="G74" s="15">
        <f t="shared" si="26"/>
        <v>2914.7999999999997</v>
      </c>
      <c r="H74" s="16">
        <v>2</v>
      </c>
      <c r="I74" s="17" t="s">
        <v>13</v>
      </c>
      <c r="J74" s="13" t="s">
        <v>16</v>
      </c>
      <c r="K74">
        <v>2914.7999999999997</v>
      </c>
    </row>
    <row r="75" spans="1:11" ht="24" hidden="1" customHeight="1" x14ac:dyDescent="0.25">
      <c r="A75" s="12" t="str">
        <f>A73</f>
        <v>ЩС-4</v>
      </c>
      <c r="B75" s="12" t="s">
        <v>10</v>
      </c>
      <c r="C75" s="18" t="s">
        <v>10</v>
      </c>
      <c r="D75" s="12" t="s">
        <v>10</v>
      </c>
      <c r="E75" s="12">
        <f ca="1">OFFSET(E75,1,2)</f>
        <v>18000</v>
      </c>
      <c r="F75" s="15">
        <f ca="1">E75</f>
        <v>18000</v>
      </c>
      <c r="G75" s="15">
        <f t="shared" ca="1" si="26"/>
        <v>18000</v>
      </c>
      <c r="H75" s="12">
        <v>1</v>
      </c>
      <c r="I75" s="12" t="s">
        <v>13</v>
      </c>
      <c r="J75" s="12" t="s">
        <v>10</v>
      </c>
      <c r="K75">
        <v>18000</v>
      </c>
    </row>
    <row r="76" spans="1:11" ht="21" hidden="1" customHeight="1" x14ac:dyDescent="0.25">
      <c r="A76" s="12" t="str">
        <f t="shared" ref="A76:A77" si="29">A75</f>
        <v>ЩС-4</v>
      </c>
      <c r="B76" s="12" t="s">
        <v>11</v>
      </c>
      <c r="C76" s="18" t="s">
        <v>11</v>
      </c>
      <c r="D76" s="12" t="s">
        <v>11</v>
      </c>
      <c r="E76" s="12">
        <v>3</v>
      </c>
      <c r="F76" s="15">
        <v>100</v>
      </c>
      <c r="G76" s="15">
        <f t="shared" si="26"/>
        <v>18000</v>
      </c>
      <c r="H76" s="12">
        <f>60*E76</f>
        <v>180</v>
      </c>
      <c r="I76" s="12" t="s">
        <v>13</v>
      </c>
      <c r="J76" s="12" t="s">
        <v>11</v>
      </c>
      <c r="K76">
        <v>18000</v>
      </c>
    </row>
    <row r="77" spans="1:11" ht="30" customHeight="1" x14ac:dyDescent="0.25">
      <c r="A77" s="12" t="str">
        <f t="shared" si="29"/>
        <v>ЩС-4</v>
      </c>
      <c r="B77" s="19"/>
      <c r="C77" s="20"/>
      <c r="D77" s="21"/>
      <c r="E77" s="23"/>
      <c r="F77" s="25"/>
      <c r="G77" s="24">
        <f ca="1">SUM(G69:G76)</f>
        <v>76359.600000000006</v>
      </c>
      <c r="H77" s="20"/>
      <c r="I77" s="22"/>
      <c r="J77" s="20"/>
      <c r="K77">
        <v>76359.600000000006</v>
      </c>
    </row>
    <row r="78" spans="1:11" ht="39.75" customHeight="1" x14ac:dyDescent="0.25">
      <c r="A78" s="5" t="str">
        <f>D78</f>
        <v>1ЩО</v>
      </c>
      <c r="B78" s="6"/>
      <c r="C78" s="7"/>
      <c r="D78" s="6" t="s">
        <v>85</v>
      </c>
      <c r="E78" s="8"/>
      <c r="F78" s="8"/>
      <c r="G78" s="9"/>
      <c r="H78" s="10">
        <v>1</v>
      </c>
      <c r="I78" s="11" t="s">
        <v>7</v>
      </c>
      <c r="J78" s="6" t="s">
        <v>9</v>
      </c>
    </row>
    <row r="79" spans="1:11" ht="21" hidden="1" customHeight="1" x14ac:dyDescent="0.25">
      <c r="A79" s="12" t="str">
        <f>A78</f>
        <v>1ЩО</v>
      </c>
      <c r="B79" s="13" t="s">
        <v>8</v>
      </c>
      <c r="C79" s="14" t="s">
        <v>90</v>
      </c>
      <c r="D79" s="12" t="s">
        <v>91</v>
      </c>
      <c r="E79" s="13">
        <v>16000</v>
      </c>
      <c r="F79" s="15">
        <f>E79*0.6</f>
        <v>9600</v>
      </c>
      <c r="G79" s="15">
        <f t="shared" ref="G79:G84" si="30">H79*F79</f>
        <v>9600</v>
      </c>
      <c r="H79" s="16">
        <v>1</v>
      </c>
      <c r="I79" s="17" t="s">
        <v>13</v>
      </c>
      <c r="J79" s="13" t="s">
        <v>98</v>
      </c>
      <c r="K79">
        <v>9600</v>
      </c>
    </row>
    <row r="80" spans="1:11" ht="20.25" hidden="1" customHeight="1" x14ac:dyDescent="0.25">
      <c r="A80" s="12" t="str">
        <f t="shared" ref="A80" si="31">A79</f>
        <v>1ЩО</v>
      </c>
      <c r="B80" s="13" t="s">
        <v>12</v>
      </c>
      <c r="C80" s="26" t="s">
        <v>34</v>
      </c>
      <c r="D80" s="12" t="s">
        <v>35</v>
      </c>
      <c r="E80" s="27">
        <v>2499</v>
      </c>
      <c r="F80" s="15">
        <f t="shared" ref="F80:F82" si="32">E80*0.6</f>
        <v>1499.3999999999999</v>
      </c>
      <c r="G80" s="15">
        <f t="shared" si="30"/>
        <v>1499.3999999999999</v>
      </c>
      <c r="H80" s="16">
        <v>1</v>
      </c>
      <c r="I80" s="17" t="s">
        <v>13</v>
      </c>
      <c r="J80" s="13" t="s">
        <v>16</v>
      </c>
      <c r="K80">
        <v>1499.3999999999999</v>
      </c>
    </row>
    <row r="81" spans="1:11" ht="21" hidden="1" customHeight="1" x14ac:dyDescent="0.25">
      <c r="A81" s="12" t="str">
        <f>A80</f>
        <v>1ЩО</v>
      </c>
      <c r="B81" s="13" t="s">
        <v>12</v>
      </c>
      <c r="C81" s="14" t="s">
        <v>57</v>
      </c>
      <c r="D81" s="12" t="s">
        <v>58</v>
      </c>
      <c r="E81" s="13">
        <v>783</v>
      </c>
      <c r="F81" s="15">
        <f t="shared" si="32"/>
        <v>469.79999999999995</v>
      </c>
      <c r="G81" s="15">
        <f t="shared" si="30"/>
        <v>4698</v>
      </c>
      <c r="H81" s="16">
        <v>10</v>
      </c>
      <c r="I81" s="17" t="s">
        <v>13</v>
      </c>
      <c r="J81" s="13" t="s">
        <v>16</v>
      </c>
      <c r="K81">
        <v>4698</v>
      </c>
    </row>
    <row r="82" spans="1:11" ht="21" hidden="1" customHeight="1" x14ac:dyDescent="0.25">
      <c r="A82" s="12" t="str">
        <f>A81</f>
        <v>1ЩО</v>
      </c>
      <c r="B82" s="13" t="s">
        <v>22</v>
      </c>
      <c r="C82" s="14" t="s">
        <v>80</v>
      </c>
      <c r="D82" s="12" t="s">
        <v>81</v>
      </c>
      <c r="E82" s="13">
        <v>5280</v>
      </c>
      <c r="F82" s="15">
        <f t="shared" si="32"/>
        <v>3168</v>
      </c>
      <c r="G82" s="15">
        <f t="shared" si="30"/>
        <v>6336</v>
      </c>
      <c r="H82" s="16">
        <v>2</v>
      </c>
      <c r="I82" s="17" t="s">
        <v>13</v>
      </c>
      <c r="J82" s="13" t="s">
        <v>16</v>
      </c>
      <c r="K82">
        <v>6336</v>
      </c>
    </row>
    <row r="83" spans="1:11" ht="24" hidden="1" customHeight="1" x14ac:dyDescent="0.25">
      <c r="A83" s="12" t="str">
        <f>A81</f>
        <v>1ЩО</v>
      </c>
      <c r="B83" s="12" t="s">
        <v>10</v>
      </c>
      <c r="C83" s="18" t="s">
        <v>10</v>
      </c>
      <c r="D83" s="12" t="s">
        <v>10</v>
      </c>
      <c r="E83" s="12">
        <f ca="1">OFFSET(E83,1,2)</f>
        <v>9000</v>
      </c>
      <c r="F83" s="15">
        <f ca="1">E83</f>
        <v>9000</v>
      </c>
      <c r="G83" s="15">
        <f t="shared" ca="1" si="30"/>
        <v>9000</v>
      </c>
      <c r="H83" s="12">
        <v>1</v>
      </c>
      <c r="I83" s="12" t="s">
        <v>13</v>
      </c>
      <c r="J83" s="12" t="s">
        <v>10</v>
      </c>
      <c r="K83">
        <v>9000</v>
      </c>
    </row>
    <row r="84" spans="1:11" ht="21" hidden="1" customHeight="1" x14ac:dyDescent="0.25">
      <c r="A84" s="12" t="str">
        <f t="shared" ref="A84:A85" si="33">A83</f>
        <v>1ЩО</v>
      </c>
      <c r="B84" s="12" t="s">
        <v>11</v>
      </c>
      <c r="C84" s="18" t="s">
        <v>11</v>
      </c>
      <c r="D84" s="12" t="s">
        <v>11</v>
      </c>
      <c r="E84" s="12">
        <v>1.5</v>
      </c>
      <c r="F84" s="15">
        <v>100</v>
      </c>
      <c r="G84" s="15">
        <f t="shared" si="30"/>
        <v>9000</v>
      </c>
      <c r="H84" s="12">
        <f>60*E84</f>
        <v>90</v>
      </c>
      <c r="I84" s="12" t="s">
        <v>13</v>
      </c>
      <c r="J84" s="12" t="s">
        <v>11</v>
      </c>
      <c r="K84">
        <v>9000</v>
      </c>
    </row>
    <row r="85" spans="1:11" ht="30" customHeight="1" x14ac:dyDescent="0.25">
      <c r="A85" s="12" t="str">
        <f t="shared" si="33"/>
        <v>1ЩО</v>
      </c>
      <c r="B85" s="19"/>
      <c r="C85" s="20"/>
      <c r="D85" s="21"/>
      <c r="E85" s="23"/>
      <c r="F85" s="25"/>
      <c r="G85" s="24">
        <f ca="1">SUM(G79:G84)</f>
        <v>40133.4</v>
      </c>
      <c r="H85" s="20"/>
      <c r="I85" s="22"/>
      <c r="J85" s="20"/>
      <c r="K85">
        <v>40133.4</v>
      </c>
    </row>
    <row r="86" spans="1:11" ht="39.75" customHeight="1" x14ac:dyDescent="0.25">
      <c r="A86" s="5" t="str">
        <f>D86</f>
        <v>1ЩАО</v>
      </c>
      <c r="B86" s="6"/>
      <c r="C86" s="7"/>
      <c r="D86" s="6" t="s">
        <v>82</v>
      </c>
      <c r="E86" s="8"/>
      <c r="F86" s="8"/>
      <c r="G86" s="9"/>
      <c r="H86" s="10">
        <v>1</v>
      </c>
      <c r="I86" s="11" t="s">
        <v>7</v>
      </c>
      <c r="J86" s="6" t="s">
        <v>9</v>
      </c>
    </row>
    <row r="87" spans="1:11" ht="21" hidden="1" customHeight="1" x14ac:dyDescent="0.25">
      <c r="A87" s="12" t="str">
        <f>A86</f>
        <v>1ЩАО</v>
      </c>
      <c r="B87" s="13" t="s">
        <v>8</v>
      </c>
      <c r="C87" s="14" t="s">
        <v>88</v>
      </c>
      <c r="D87" s="12" t="s">
        <v>89</v>
      </c>
      <c r="E87" s="13">
        <v>6600</v>
      </c>
      <c r="F87" s="15">
        <f>E87*0.6</f>
        <v>3960</v>
      </c>
      <c r="G87" s="15">
        <f t="shared" ref="G87:G91" si="34">H87*F87</f>
        <v>3960</v>
      </c>
      <c r="H87" s="16">
        <v>1</v>
      </c>
      <c r="I87" s="17" t="s">
        <v>13</v>
      </c>
      <c r="J87" s="13" t="s">
        <v>98</v>
      </c>
      <c r="K87">
        <v>3960</v>
      </c>
    </row>
    <row r="88" spans="1:11" ht="20.25" hidden="1" customHeight="1" x14ac:dyDescent="0.25">
      <c r="A88" s="12" t="str">
        <f t="shared" ref="A88" si="35">A87</f>
        <v>1ЩАО</v>
      </c>
      <c r="B88" s="13" t="s">
        <v>25</v>
      </c>
      <c r="C88" s="14" t="s">
        <v>39</v>
      </c>
      <c r="D88" s="12" t="s">
        <v>40</v>
      </c>
      <c r="E88" s="13">
        <v>3372</v>
      </c>
      <c r="F88" s="15">
        <f t="shared" ref="F88:F89" si="36">E88*0.6</f>
        <v>2023.1999999999998</v>
      </c>
      <c r="G88" s="15">
        <f t="shared" si="34"/>
        <v>2023.1999999999998</v>
      </c>
      <c r="H88" s="16">
        <v>1</v>
      </c>
      <c r="I88" s="17" t="s">
        <v>13</v>
      </c>
      <c r="J88" s="13" t="s">
        <v>16</v>
      </c>
      <c r="K88">
        <v>2023.1999999999998</v>
      </c>
    </row>
    <row r="89" spans="1:11" ht="21" hidden="1" customHeight="1" x14ac:dyDescent="0.25">
      <c r="A89" s="12" t="str">
        <f>A88</f>
        <v>1ЩАО</v>
      </c>
      <c r="B89" s="13" t="s">
        <v>12</v>
      </c>
      <c r="C89" s="14" t="s">
        <v>57</v>
      </c>
      <c r="D89" s="12" t="s">
        <v>58</v>
      </c>
      <c r="E89" s="13">
        <v>783</v>
      </c>
      <c r="F89" s="15">
        <f t="shared" si="36"/>
        <v>469.79999999999995</v>
      </c>
      <c r="G89" s="15">
        <f t="shared" si="34"/>
        <v>1409.3999999999999</v>
      </c>
      <c r="H89" s="16">
        <v>3</v>
      </c>
      <c r="I89" s="17" t="s">
        <v>13</v>
      </c>
      <c r="J89" s="13" t="s">
        <v>16</v>
      </c>
      <c r="K89">
        <v>1409.3999999999999</v>
      </c>
    </row>
    <row r="90" spans="1:11" ht="24" hidden="1" customHeight="1" x14ac:dyDescent="0.25">
      <c r="A90" s="12" t="str">
        <f>A89</f>
        <v>1ЩАО</v>
      </c>
      <c r="B90" s="12" t="s">
        <v>10</v>
      </c>
      <c r="C90" s="18" t="s">
        <v>10</v>
      </c>
      <c r="D90" s="12" t="s">
        <v>10</v>
      </c>
      <c r="E90" s="12">
        <f ca="1">OFFSET(E90,1,2)</f>
        <v>4200</v>
      </c>
      <c r="F90" s="15">
        <f ca="1">E90</f>
        <v>4200</v>
      </c>
      <c r="G90" s="15">
        <f t="shared" ca="1" si="34"/>
        <v>4200</v>
      </c>
      <c r="H90" s="12">
        <v>1</v>
      </c>
      <c r="I90" s="12" t="s">
        <v>13</v>
      </c>
      <c r="J90" s="12" t="s">
        <v>10</v>
      </c>
      <c r="K90">
        <v>4200</v>
      </c>
    </row>
    <row r="91" spans="1:11" ht="21" hidden="1" customHeight="1" x14ac:dyDescent="0.25">
      <c r="A91" s="12" t="str">
        <f t="shared" ref="A91:A92" si="37">A90</f>
        <v>1ЩАО</v>
      </c>
      <c r="B91" s="12" t="s">
        <v>11</v>
      </c>
      <c r="C91" s="18" t="s">
        <v>11</v>
      </c>
      <c r="D91" s="12" t="s">
        <v>11</v>
      </c>
      <c r="E91" s="12">
        <v>0.7</v>
      </c>
      <c r="F91" s="15">
        <v>100</v>
      </c>
      <c r="G91" s="15">
        <f t="shared" si="34"/>
        <v>4200</v>
      </c>
      <c r="H91" s="12">
        <f>60*E91</f>
        <v>42</v>
      </c>
      <c r="I91" s="12" t="s">
        <v>13</v>
      </c>
      <c r="J91" s="12" t="s">
        <v>11</v>
      </c>
      <c r="K91">
        <v>4200</v>
      </c>
    </row>
    <row r="92" spans="1:11" ht="30" customHeight="1" x14ac:dyDescent="0.25">
      <c r="A92" s="12" t="str">
        <f t="shared" si="37"/>
        <v>1ЩАО</v>
      </c>
      <c r="B92" s="19"/>
      <c r="C92" s="20"/>
      <c r="D92" s="21"/>
      <c r="E92" s="23"/>
      <c r="F92" s="25"/>
      <c r="G92" s="24">
        <f ca="1">SUM(G87:G91)</f>
        <v>15792.599999999999</v>
      </c>
      <c r="H92" s="20"/>
      <c r="I92" s="22"/>
      <c r="J92" s="20"/>
      <c r="K92">
        <v>15792.599999999999</v>
      </c>
    </row>
    <row r="93" spans="1:11" ht="39.75" customHeight="1" x14ac:dyDescent="0.25">
      <c r="A93" s="5" t="str">
        <f>D93</f>
        <v>2ЩО</v>
      </c>
      <c r="B93" s="6"/>
      <c r="C93" s="7"/>
      <c r="D93" s="6" t="s">
        <v>83</v>
      </c>
      <c r="E93" s="8"/>
      <c r="F93" s="8"/>
      <c r="G93" s="9"/>
      <c r="H93" s="10">
        <v>1</v>
      </c>
      <c r="I93" s="11" t="s">
        <v>7</v>
      </c>
      <c r="J93" s="6" t="s">
        <v>9</v>
      </c>
    </row>
    <row r="94" spans="1:11" ht="21" hidden="1" customHeight="1" x14ac:dyDescent="0.25">
      <c r="A94" s="12" t="str">
        <f>A93</f>
        <v>2ЩО</v>
      </c>
      <c r="B94" s="13" t="s">
        <v>8</v>
      </c>
      <c r="C94" s="14" t="s">
        <v>90</v>
      </c>
      <c r="D94" s="12" t="s">
        <v>91</v>
      </c>
      <c r="E94" s="13">
        <v>16000</v>
      </c>
      <c r="F94" s="15">
        <f>E94*0.6</f>
        <v>9600</v>
      </c>
      <c r="G94" s="15">
        <f t="shared" ref="G94:G99" si="38">H94*F94</f>
        <v>9600</v>
      </c>
      <c r="H94" s="16">
        <v>1</v>
      </c>
      <c r="I94" s="17" t="s">
        <v>13</v>
      </c>
      <c r="J94" s="13" t="s">
        <v>98</v>
      </c>
      <c r="K94">
        <v>9600</v>
      </c>
    </row>
    <row r="95" spans="1:11" ht="20.25" hidden="1" customHeight="1" x14ac:dyDescent="0.25">
      <c r="A95" s="12" t="str">
        <f t="shared" ref="A95" si="39">A94</f>
        <v>2ЩО</v>
      </c>
      <c r="B95" s="13" t="s">
        <v>12</v>
      </c>
      <c r="C95" s="26" t="s">
        <v>34</v>
      </c>
      <c r="D95" s="12" t="s">
        <v>35</v>
      </c>
      <c r="E95" s="27">
        <v>2499</v>
      </c>
      <c r="F95" s="15">
        <f t="shared" ref="F95:F97" si="40">E95*0.6</f>
        <v>1499.3999999999999</v>
      </c>
      <c r="G95" s="15">
        <f t="shared" si="38"/>
        <v>1499.3999999999999</v>
      </c>
      <c r="H95" s="16">
        <v>1</v>
      </c>
      <c r="I95" s="17" t="s">
        <v>13</v>
      </c>
      <c r="J95" s="13" t="s">
        <v>16</v>
      </c>
      <c r="K95">
        <v>1499.3999999999999</v>
      </c>
    </row>
    <row r="96" spans="1:11" ht="21" hidden="1" customHeight="1" x14ac:dyDescent="0.25">
      <c r="A96" s="12" t="str">
        <f>A95</f>
        <v>2ЩО</v>
      </c>
      <c r="B96" s="13" t="s">
        <v>12</v>
      </c>
      <c r="C96" s="14" t="s">
        <v>57</v>
      </c>
      <c r="D96" s="12" t="s">
        <v>58</v>
      </c>
      <c r="E96" s="13">
        <v>783</v>
      </c>
      <c r="F96" s="15">
        <f t="shared" si="40"/>
        <v>469.79999999999995</v>
      </c>
      <c r="G96" s="15">
        <f t="shared" si="38"/>
        <v>5167.7999999999993</v>
      </c>
      <c r="H96" s="16">
        <v>11</v>
      </c>
      <c r="I96" s="17" t="s">
        <v>13</v>
      </c>
      <c r="J96" s="13" t="s">
        <v>16</v>
      </c>
      <c r="K96">
        <v>5167.7999999999993</v>
      </c>
    </row>
    <row r="97" spans="1:11" ht="21" hidden="1" customHeight="1" x14ac:dyDescent="0.25">
      <c r="A97" s="12" t="str">
        <f>A96</f>
        <v>2ЩО</v>
      </c>
      <c r="B97" s="13" t="s">
        <v>22</v>
      </c>
      <c r="C97" s="14" t="s">
        <v>80</v>
      </c>
      <c r="D97" s="12" t="s">
        <v>81</v>
      </c>
      <c r="E97" s="13">
        <v>5280</v>
      </c>
      <c r="F97" s="15">
        <f t="shared" si="40"/>
        <v>3168</v>
      </c>
      <c r="G97" s="15">
        <f t="shared" si="38"/>
        <v>6336</v>
      </c>
      <c r="H97" s="16">
        <v>2</v>
      </c>
      <c r="I97" s="17" t="s">
        <v>13</v>
      </c>
      <c r="J97" s="13" t="s">
        <v>16</v>
      </c>
      <c r="K97">
        <v>6336</v>
      </c>
    </row>
    <row r="98" spans="1:11" ht="24" hidden="1" customHeight="1" x14ac:dyDescent="0.25">
      <c r="A98" s="12" t="str">
        <f>A96</f>
        <v>2ЩО</v>
      </c>
      <c r="B98" s="12" t="s">
        <v>10</v>
      </c>
      <c r="C98" s="18" t="s">
        <v>10</v>
      </c>
      <c r="D98" s="12" t="s">
        <v>10</v>
      </c>
      <c r="E98" s="12">
        <f ca="1">OFFSET(E98,1,2)</f>
        <v>9000</v>
      </c>
      <c r="F98" s="15">
        <f ca="1">E98</f>
        <v>9000</v>
      </c>
      <c r="G98" s="15">
        <f t="shared" ca="1" si="38"/>
        <v>9000</v>
      </c>
      <c r="H98" s="12">
        <v>1</v>
      </c>
      <c r="I98" s="12" t="s">
        <v>13</v>
      </c>
      <c r="J98" s="12" t="s">
        <v>10</v>
      </c>
      <c r="K98">
        <v>9000</v>
      </c>
    </row>
    <row r="99" spans="1:11" ht="21" hidden="1" customHeight="1" x14ac:dyDescent="0.25">
      <c r="A99" s="12" t="str">
        <f t="shared" ref="A99:A100" si="41">A98</f>
        <v>2ЩО</v>
      </c>
      <c r="B99" s="12" t="s">
        <v>11</v>
      </c>
      <c r="C99" s="18" t="s">
        <v>11</v>
      </c>
      <c r="D99" s="12" t="s">
        <v>11</v>
      </c>
      <c r="E99" s="12">
        <v>1.5</v>
      </c>
      <c r="F99" s="15">
        <v>100</v>
      </c>
      <c r="G99" s="15">
        <f t="shared" si="38"/>
        <v>9000</v>
      </c>
      <c r="H99" s="12">
        <f>60*E99</f>
        <v>90</v>
      </c>
      <c r="I99" s="12" t="s">
        <v>13</v>
      </c>
      <c r="J99" s="12" t="s">
        <v>11</v>
      </c>
      <c r="K99">
        <v>9000</v>
      </c>
    </row>
    <row r="100" spans="1:11" ht="30" customHeight="1" x14ac:dyDescent="0.25">
      <c r="A100" s="12" t="str">
        <f t="shared" si="41"/>
        <v>2ЩО</v>
      </c>
      <c r="B100" s="19"/>
      <c r="C100" s="20"/>
      <c r="D100" s="21"/>
      <c r="E100" s="23"/>
      <c r="F100" s="25"/>
      <c r="G100" s="24">
        <f ca="1">SUM(G94:G99)</f>
        <v>40603.199999999997</v>
      </c>
      <c r="H100" s="20"/>
      <c r="I100" s="22"/>
      <c r="J100" s="20"/>
      <c r="K100">
        <v>40603.199999999997</v>
      </c>
    </row>
    <row r="101" spans="1:11" ht="39.75" customHeight="1" x14ac:dyDescent="0.25">
      <c r="A101" s="5" t="str">
        <f>D101</f>
        <v>3ЩО</v>
      </c>
      <c r="B101" s="6"/>
      <c r="C101" s="7"/>
      <c r="D101" s="6" t="s">
        <v>84</v>
      </c>
      <c r="E101" s="8"/>
      <c r="F101" s="8"/>
      <c r="G101" s="9"/>
      <c r="H101" s="10">
        <v>1</v>
      </c>
      <c r="I101" s="11" t="s">
        <v>7</v>
      </c>
      <c r="J101" s="6" t="s">
        <v>9</v>
      </c>
    </row>
    <row r="102" spans="1:11" ht="21" hidden="1" customHeight="1" x14ac:dyDescent="0.25">
      <c r="A102" s="12" t="str">
        <f>A101</f>
        <v>3ЩО</v>
      </c>
      <c r="B102" s="13" t="s">
        <v>8</v>
      </c>
      <c r="C102" s="14" t="s">
        <v>90</v>
      </c>
      <c r="D102" s="12" t="s">
        <v>91</v>
      </c>
      <c r="E102" s="13">
        <v>16000</v>
      </c>
      <c r="F102" s="15">
        <f>E102*0.6</f>
        <v>9600</v>
      </c>
      <c r="G102" s="15">
        <f t="shared" ref="G102:G107" si="42">H102*F102</f>
        <v>9600</v>
      </c>
      <c r="H102" s="16">
        <v>1</v>
      </c>
      <c r="I102" s="17" t="s">
        <v>13</v>
      </c>
      <c r="J102" s="13" t="s">
        <v>98</v>
      </c>
      <c r="K102">
        <v>9600</v>
      </c>
    </row>
    <row r="103" spans="1:11" ht="20.25" hidden="1" customHeight="1" x14ac:dyDescent="0.25">
      <c r="A103" s="12" t="str">
        <f t="shared" ref="A103" si="43">A102</f>
        <v>3ЩО</v>
      </c>
      <c r="B103" s="13" t="s">
        <v>12</v>
      </c>
      <c r="C103" s="26" t="s">
        <v>34</v>
      </c>
      <c r="D103" s="12" t="s">
        <v>35</v>
      </c>
      <c r="E103" s="27">
        <v>2499</v>
      </c>
      <c r="F103" s="15">
        <f t="shared" ref="F103:F105" si="44">E103*0.6</f>
        <v>1499.3999999999999</v>
      </c>
      <c r="G103" s="15">
        <f t="shared" si="42"/>
        <v>1499.3999999999999</v>
      </c>
      <c r="H103" s="16">
        <v>1</v>
      </c>
      <c r="I103" s="17" t="s">
        <v>13</v>
      </c>
      <c r="J103" s="13" t="s">
        <v>16</v>
      </c>
      <c r="K103">
        <v>1499.3999999999999</v>
      </c>
    </row>
    <row r="104" spans="1:11" ht="21" hidden="1" customHeight="1" x14ac:dyDescent="0.25">
      <c r="A104" s="12" t="str">
        <f>A103</f>
        <v>3ЩО</v>
      </c>
      <c r="B104" s="13" t="s">
        <v>12</v>
      </c>
      <c r="C104" s="14" t="s">
        <v>57</v>
      </c>
      <c r="D104" s="12" t="s">
        <v>58</v>
      </c>
      <c r="E104" s="13">
        <v>783</v>
      </c>
      <c r="F104" s="15">
        <f t="shared" si="44"/>
        <v>469.79999999999995</v>
      </c>
      <c r="G104" s="15">
        <f t="shared" si="42"/>
        <v>4698</v>
      </c>
      <c r="H104" s="16">
        <v>10</v>
      </c>
      <c r="I104" s="17" t="s">
        <v>13</v>
      </c>
      <c r="J104" s="13" t="s">
        <v>16</v>
      </c>
      <c r="K104">
        <v>4698</v>
      </c>
    </row>
    <row r="105" spans="1:11" ht="21" hidden="1" customHeight="1" x14ac:dyDescent="0.25">
      <c r="A105" s="12" t="str">
        <f>A104</f>
        <v>3ЩО</v>
      </c>
      <c r="B105" s="13" t="s">
        <v>22</v>
      </c>
      <c r="C105" s="14" t="s">
        <v>80</v>
      </c>
      <c r="D105" s="12" t="s">
        <v>81</v>
      </c>
      <c r="E105" s="13">
        <v>5280</v>
      </c>
      <c r="F105" s="15">
        <f t="shared" si="44"/>
        <v>3168</v>
      </c>
      <c r="G105" s="15">
        <f t="shared" si="42"/>
        <v>9504</v>
      </c>
      <c r="H105" s="16">
        <v>3</v>
      </c>
      <c r="I105" s="17" t="s">
        <v>13</v>
      </c>
      <c r="J105" s="13" t="s">
        <v>16</v>
      </c>
      <c r="K105">
        <v>9504</v>
      </c>
    </row>
    <row r="106" spans="1:11" ht="24" hidden="1" customHeight="1" x14ac:dyDescent="0.25">
      <c r="A106" s="12" t="str">
        <f>A104</f>
        <v>3ЩО</v>
      </c>
      <c r="B106" s="12" t="s">
        <v>10</v>
      </c>
      <c r="C106" s="18" t="s">
        <v>10</v>
      </c>
      <c r="D106" s="12" t="s">
        <v>10</v>
      </c>
      <c r="E106" s="12">
        <f ca="1">OFFSET(E106,1,2)</f>
        <v>9000</v>
      </c>
      <c r="F106" s="15">
        <f ca="1">E106</f>
        <v>9000</v>
      </c>
      <c r="G106" s="15">
        <f t="shared" ca="1" si="42"/>
        <v>9000</v>
      </c>
      <c r="H106" s="12">
        <v>1</v>
      </c>
      <c r="I106" s="12" t="s">
        <v>13</v>
      </c>
      <c r="J106" s="12" t="s">
        <v>10</v>
      </c>
      <c r="K106">
        <v>9000</v>
      </c>
    </row>
    <row r="107" spans="1:11" ht="21" hidden="1" customHeight="1" x14ac:dyDescent="0.25">
      <c r="A107" s="12" t="str">
        <f t="shared" ref="A107:A108" si="45">A106</f>
        <v>3ЩО</v>
      </c>
      <c r="B107" s="12" t="s">
        <v>11</v>
      </c>
      <c r="C107" s="18" t="s">
        <v>11</v>
      </c>
      <c r="D107" s="12" t="s">
        <v>11</v>
      </c>
      <c r="E107" s="12">
        <v>1.5</v>
      </c>
      <c r="F107" s="15">
        <v>100</v>
      </c>
      <c r="G107" s="15">
        <f t="shared" si="42"/>
        <v>9000</v>
      </c>
      <c r="H107" s="12">
        <f>60*E107</f>
        <v>90</v>
      </c>
      <c r="I107" s="12" t="s">
        <v>13</v>
      </c>
      <c r="J107" s="12" t="s">
        <v>11</v>
      </c>
      <c r="K107">
        <v>9000</v>
      </c>
    </row>
    <row r="108" spans="1:11" ht="30" customHeight="1" x14ac:dyDescent="0.25">
      <c r="A108" s="12" t="str">
        <f t="shared" si="45"/>
        <v>3ЩО</v>
      </c>
      <c r="B108" s="19"/>
      <c r="C108" s="20"/>
      <c r="D108" s="21"/>
      <c r="E108" s="23"/>
      <c r="F108" s="25"/>
      <c r="G108" s="24">
        <f ca="1">SUM(G102:G107)</f>
        <v>43301.4</v>
      </c>
      <c r="H108" s="20"/>
      <c r="I108" s="22"/>
      <c r="J108" s="20"/>
      <c r="K108">
        <v>43301.4</v>
      </c>
    </row>
  </sheetData>
  <autoFilter ref="A1:J108" xr:uid="{0E2C231C-0991-4FBE-BD8E-9CD4D9BF51D9}">
    <filterColumn colId="8">
      <filters blank="1">
        <filter val="комплект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78C50-51E2-46BA-82BB-31B1633E5302}">
  <dimension ref="A1:J15"/>
  <sheetViews>
    <sheetView tabSelected="1" workbookViewId="0">
      <selection activeCell="L13" sqref="L13"/>
    </sheetView>
  </sheetViews>
  <sheetFormatPr defaultRowHeight="33" customHeight="1" x14ac:dyDescent="0.25"/>
  <cols>
    <col min="2" max="2" width="29.28515625" customWidth="1"/>
    <col min="3" max="3" width="10" bestFit="1" customWidth="1"/>
    <col min="5" max="5" width="24" customWidth="1"/>
  </cols>
  <sheetData>
    <row r="1" spans="1:10" ht="33" customHeight="1" x14ac:dyDescent="0.25">
      <c r="A1" s="2" t="s">
        <v>1</v>
      </c>
      <c r="B1" s="1" t="s">
        <v>14</v>
      </c>
      <c r="C1" s="1" t="s">
        <v>3</v>
      </c>
      <c r="D1" s="1" t="s">
        <v>3</v>
      </c>
      <c r="E1" s="3" t="s">
        <v>6</v>
      </c>
      <c r="F1" s="4" t="s">
        <v>15</v>
      </c>
      <c r="G1" s="4" t="s">
        <v>4</v>
      </c>
      <c r="H1" s="4" t="s">
        <v>5</v>
      </c>
      <c r="I1" t="s">
        <v>6</v>
      </c>
      <c r="J1">
        <v>2.2999999999999998</v>
      </c>
    </row>
    <row r="2" spans="1:10" ht="33" customHeight="1" x14ac:dyDescent="0.25">
      <c r="A2" s="7"/>
      <c r="B2" s="6" t="s">
        <v>63</v>
      </c>
      <c r="C2" s="8">
        <f>ROUNDUP(J2,-3)</f>
        <v>1214000</v>
      </c>
      <c r="D2" s="8">
        <f>0.7*C2</f>
        <v>849800</v>
      </c>
      <c r="E2" s="9">
        <f>D2*F2</f>
        <v>849800</v>
      </c>
      <c r="F2" s="10">
        <v>1</v>
      </c>
      <c r="G2" s="11" t="s">
        <v>7</v>
      </c>
      <c r="H2" s="6" t="s">
        <v>9</v>
      </c>
      <c r="I2">
        <v>527820</v>
      </c>
      <c r="J2">
        <f>2.3*I2</f>
        <v>1213986</v>
      </c>
    </row>
    <row r="3" spans="1:10" ht="33" customHeight="1" x14ac:dyDescent="0.25">
      <c r="A3" s="7"/>
      <c r="B3" s="6" t="s">
        <v>67</v>
      </c>
      <c r="C3" s="8">
        <f t="shared" ref="C3:C13" si="0">ROUNDUP(J3,-3)</f>
        <v>487000</v>
      </c>
      <c r="D3" s="8">
        <f t="shared" ref="D3:D13" si="1">0.7*C3</f>
        <v>340900</v>
      </c>
      <c r="E3" s="9">
        <f t="shared" ref="E3:E13" si="2">D3*F3</f>
        <v>340900</v>
      </c>
      <c r="F3" s="10">
        <v>1</v>
      </c>
      <c r="G3" s="11" t="s">
        <v>7</v>
      </c>
      <c r="H3" s="6" t="s">
        <v>9</v>
      </c>
      <c r="I3">
        <v>211648.6</v>
      </c>
      <c r="J3">
        <f t="shared" ref="J3:J13" si="3">2.3*I3</f>
        <v>486791.77999999997</v>
      </c>
    </row>
    <row r="4" spans="1:10" ht="33" customHeight="1" x14ac:dyDescent="0.25">
      <c r="A4" s="7"/>
      <c r="B4" s="6" t="s">
        <v>78</v>
      </c>
      <c r="C4" s="8">
        <f t="shared" si="0"/>
        <v>473000</v>
      </c>
      <c r="D4" s="8">
        <f t="shared" si="1"/>
        <v>331100</v>
      </c>
      <c r="E4" s="9">
        <f t="shared" si="2"/>
        <v>331100</v>
      </c>
      <c r="F4" s="10">
        <v>1</v>
      </c>
      <c r="G4" s="11" t="s">
        <v>7</v>
      </c>
      <c r="H4" s="6" t="s">
        <v>9</v>
      </c>
      <c r="I4">
        <v>205424.2</v>
      </c>
      <c r="J4">
        <f t="shared" si="3"/>
        <v>472475.66</v>
      </c>
    </row>
    <row r="5" spans="1:10" ht="33" customHeight="1" x14ac:dyDescent="0.25">
      <c r="A5" s="7"/>
      <c r="B5" s="6" t="s">
        <v>41</v>
      </c>
      <c r="C5" s="8">
        <f t="shared" si="0"/>
        <v>260000</v>
      </c>
      <c r="D5" s="8">
        <f t="shared" si="1"/>
        <v>182000</v>
      </c>
      <c r="E5" s="9">
        <f t="shared" si="2"/>
        <v>182000</v>
      </c>
      <c r="F5" s="10">
        <v>1</v>
      </c>
      <c r="G5" s="11" t="s">
        <v>7</v>
      </c>
      <c r="H5" s="6" t="s">
        <v>9</v>
      </c>
      <c r="I5">
        <v>112647.59999999999</v>
      </c>
      <c r="J5">
        <f t="shared" si="3"/>
        <v>259089.47999999995</v>
      </c>
    </row>
    <row r="6" spans="1:10" ht="33" customHeight="1" x14ac:dyDescent="0.25">
      <c r="A6" s="7"/>
      <c r="B6" s="6" t="s">
        <v>79</v>
      </c>
      <c r="C6" s="8">
        <f t="shared" si="0"/>
        <v>53000</v>
      </c>
      <c r="D6" s="8">
        <f t="shared" si="1"/>
        <v>37100</v>
      </c>
      <c r="E6" s="9">
        <f t="shared" si="2"/>
        <v>37100</v>
      </c>
      <c r="F6" s="10">
        <v>1</v>
      </c>
      <c r="G6" s="11" t="s">
        <v>7</v>
      </c>
      <c r="H6" s="6" t="s">
        <v>9</v>
      </c>
      <c r="I6">
        <v>22668.6</v>
      </c>
      <c r="J6">
        <f t="shared" si="3"/>
        <v>52137.779999999992</v>
      </c>
    </row>
    <row r="7" spans="1:10" ht="33" customHeight="1" x14ac:dyDescent="0.25">
      <c r="A7" s="7"/>
      <c r="B7" s="6" t="s">
        <v>46</v>
      </c>
      <c r="C7" s="8">
        <f t="shared" si="0"/>
        <v>136000</v>
      </c>
      <c r="D7" s="8">
        <f t="shared" si="1"/>
        <v>95200</v>
      </c>
      <c r="E7" s="9">
        <f t="shared" si="2"/>
        <v>95200</v>
      </c>
      <c r="F7" s="10">
        <v>1</v>
      </c>
      <c r="G7" s="11" t="s">
        <v>7</v>
      </c>
      <c r="H7" s="6" t="s">
        <v>9</v>
      </c>
      <c r="I7">
        <v>58987.199999999997</v>
      </c>
      <c r="J7">
        <f t="shared" si="3"/>
        <v>135670.55999999997</v>
      </c>
    </row>
    <row r="8" spans="1:10" ht="33" customHeight="1" x14ac:dyDescent="0.25">
      <c r="A8" s="7"/>
      <c r="B8" s="6" t="s">
        <v>47</v>
      </c>
      <c r="C8" s="8">
        <f t="shared" si="0"/>
        <v>290000</v>
      </c>
      <c r="D8" s="8">
        <f t="shared" si="1"/>
        <v>203000</v>
      </c>
      <c r="E8" s="9">
        <f t="shared" si="2"/>
        <v>203000</v>
      </c>
      <c r="F8" s="10">
        <v>1</v>
      </c>
      <c r="G8" s="11" t="s">
        <v>7</v>
      </c>
      <c r="H8" s="6" t="s">
        <v>9</v>
      </c>
      <c r="I8">
        <v>125733.6</v>
      </c>
      <c r="J8">
        <f t="shared" si="3"/>
        <v>289187.27999999997</v>
      </c>
    </row>
    <row r="9" spans="1:10" ht="33" customHeight="1" x14ac:dyDescent="0.25">
      <c r="A9" s="7"/>
      <c r="B9" s="6" t="s">
        <v>48</v>
      </c>
      <c r="C9" s="8">
        <f t="shared" si="0"/>
        <v>176000</v>
      </c>
      <c r="D9" s="8">
        <f t="shared" si="1"/>
        <v>123199.99999999999</v>
      </c>
      <c r="E9" s="9">
        <f t="shared" si="2"/>
        <v>123199.99999999999</v>
      </c>
      <c r="F9" s="10">
        <v>1</v>
      </c>
      <c r="G9" s="11" t="s">
        <v>7</v>
      </c>
      <c r="H9" s="6" t="s">
        <v>9</v>
      </c>
      <c r="I9">
        <v>76359.600000000006</v>
      </c>
      <c r="J9">
        <f t="shared" si="3"/>
        <v>175627.08</v>
      </c>
    </row>
    <row r="10" spans="1:10" ht="33" customHeight="1" x14ac:dyDescent="0.25">
      <c r="A10" s="7"/>
      <c r="B10" s="6" t="s">
        <v>85</v>
      </c>
      <c r="C10" s="8">
        <f t="shared" si="0"/>
        <v>93000</v>
      </c>
      <c r="D10" s="8">
        <f t="shared" si="1"/>
        <v>65099.999999999993</v>
      </c>
      <c r="E10" s="9">
        <f t="shared" si="2"/>
        <v>65099.999999999993</v>
      </c>
      <c r="F10" s="10">
        <v>1</v>
      </c>
      <c r="G10" s="11" t="s">
        <v>7</v>
      </c>
      <c r="H10" s="6" t="s">
        <v>9</v>
      </c>
      <c r="I10">
        <v>40133.4</v>
      </c>
      <c r="J10">
        <f t="shared" si="3"/>
        <v>92306.819999999992</v>
      </c>
    </row>
    <row r="11" spans="1:10" ht="33" customHeight="1" x14ac:dyDescent="0.25">
      <c r="A11" s="7"/>
      <c r="B11" s="6" t="s">
        <v>82</v>
      </c>
      <c r="C11" s="8">
        <f t="shared" si="0"/>
        <v>37000</v>
      </c>
      <c r="D11" s="8">
        <f t="shared" si="1"/>
        <v>25900</v>
      </c>
      <c r="E11" s="9">
        <f t="shared" si="2"/>
        <v>25900</v>
      </c>
      <c r="F11" s="10">
        <v>1</v>
      </c>
      <c r="G11" s="11" t="s">
        <v>7</v>
      </c>
      <c r="H11" s="6" t="s">
        <v>9</v>
      </c>
      <c r="I11">
        <v>15792.599999999999</v>
      </c>
      <c r="J11">
        <f t="shared" si="3"/>
        <v>36322.979999999996</v>
      </c>
    </row>
    <row r="12" spans="1:10" ht="33" customHeight="1" x14ac:dyDescent="0.25">
      <c r="A12" s="7"/>
      <c r="B12" s="6" t="s">
        <v>83</v>
      </c>
      <c r="C12" s="8">
        <f t="shared" si="0"/>
        <v>94000</v>
      </c>
      <c r="D12" s="8">
        <f t="shared" si="1"/>
        <v>65800</v>
      </c>
      <c r="E12" s="9">
        <f t="shared" si="2"/>
        <v>65800</v>
      </c>
      <c r="F12" s="10">
        <v>1</v>
      </c>
      <c r="G12" s="11" t="s">
        <v>7</v>
      </c>
      <c r="H12" s="6" t="s">
        <v>9</v>
      </c>
      <c r="I12">
        <v>40603.199999999997</v>
      </c>
      <c r="J12">
        <f t="shared" si="3"/>
        <v>93387.359999999986</v>
      </c>
    </row>
    <row r="13" spans="1:10" ht="33" customHeight="1" x14ac:dyDescent="0.25">
      <c r="A13" s="7"/>
      <c r="B13" s="6" t="s">
        <v>84</v>
      </c>
      <c r="C13" s="8">
        <f t="shared" si="0"/>
        <v>100000</v>
      </c>
      <c r="D13" s="8">
        <f t="shared" si="1"/>
        <v>70000</v>
      </c>
      <c r="E13" s="9">
        <f t="shared" si="2"/>
        <v>70000</v>
      </c>
      <c r="F13" s="10">
        <v>1</v>
      </c>
      <c r="G13" s="11" t="s">
        <v>7</v>
      </c>
      <c r="H13" s="6" t="s">
        <v>9</v>
      </c>
      <c r="I13">
        <v>43301.4</v>
      </c>
      <c r="J13">
        <f t="shared" si="3"/>
        <v>99593.22</v>
      </c>
    </row>
    <row r="14" spans="1:10" ht="33" customHeight="1" x14ac:dyDescent="0.25">
      <c r="E14" s="28">
        <f>SUM(E2:E13)</f>
        <v>2389100</v>
      </c>
      <c r="I14">
        <f>SUM(I2:I13)</f>
        <v>1481120.0000000002</v>
      </c>
    </row>
    <row r="15" spans="1:10" ht="33" customHeight="1" x14ac:dyDescent="0.25">
      <c r="E15" s="29">
        <f>I14*1.5</f>
        <v>2221680.0000000005</v>
      </c>
    </row>
  </sheetData>
  <autoFilter ref="A1:I13" xr:uid="{E7178C50-51E2-46BA-82BB-31B1633E530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2026-07-16T14:04:40Z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