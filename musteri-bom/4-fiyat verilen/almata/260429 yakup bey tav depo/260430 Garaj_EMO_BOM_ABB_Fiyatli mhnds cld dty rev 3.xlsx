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29 yakup bey tav depo\"/>
    </mc:Choice>
  </mc:AlternateContent>
  <xr:revisionPtr revIDLastSave="0" documentId="13_ncr:1_{697E1BEC-2B54-426E-85ED-1437D080E2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" sheetId="1" r:id="rId1"/>
    <sheet name="Sayfa1" sheetId="2" r:id="rId2"/>
  </sheets>
  <definedNames>
    <definedName name="_xlnm._FilterDatabase" localSheetId="0" hidden="1">BOM!$A$2:$N$193</definedName>
    <definedName name="_xlnm._FilterDatabase" localSheetId="1" hidden="1">Sayfa1!$A$1:$O$16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16" i="2"/>
  <c r="G14" i="2"/>
  <c r="H14" i="2"/>
  <c r="H15" i="2"/>
  <c r="H16" i="2"/>
  <c r="P3" i="2"/>
  <c r="F3" i="2" s="1"/>
  <c r="G3" i="2" s="1"/>
  <c r="H3" i="2" s="1"/>
  <c r="P4" i="2"/>
  <c r="F4" i="2" s="1"/>
  <c r="G4" i="2" s="1"/>
  <c r="H4" i="2" s="1"/>
  <c r="P5" i="2"/>
  <c r="F5" i="2" s="1"/>
  <c r="G5" i="2" s="1"/>
  <c r="H5" i="2" s="1"/>
  <c r="P6" i="2"/>
  <c r="F6" i="2" s="1"/>
  <c r="G6" i="2" s="1"/>
  <c r="H6" i="2" s="1"/>
  <c r="P7" i="2"/>
  <c r="F7" i="2" s="1"/>
  <c r="G7" i="2" s="1"/>
  <c r="H7" i="2" s="1"/>
  <c r="P8" i="2"/>
  <c r="F8" i="2" s="1"/>
  <c r="G8" i="2" s="1"/>
  <c r="H8" i="2" s="1"/>
  <c r="P9" i="2"/>
  <c r="F9" i="2" s="1"/>
  <c r="G9" i="2" s="1"/>
  <c r="H9" i="2" s="1"/>
  <c r="P10" i="2"/>
  <c r="F10" i="2" s="1"/>
  <c r="G10" i="2" s="1"/>
  <c r="H10" i="2" s="1"/>
  <c r="P11" i="2"/>
  <c r="F11" i="2" s="1"/>
  <c r="G11" i="2" s="1"/>
  <c r="H11" i="2" s="1"/>
  <c r="P12" i="2"/>
  <c r="F12" i="2" s="1"/>
  <c r="G12" i="2" s="1"/>
  <c r="H12" i="2" s="1"/>
  <c r="P13" i="2"/>
  <c r="F13" i="2" s="1"/>
  <c r="G13" i="2" s="1"/>
  <c r="H13" i="2" s="1"/>
  <c r="P14" i="2"/>
  <c r="P15" i="2"/>
  <c r="P16" i="2"/>
  <c r="P2" i="2"/>
  <c r="F2" i="2" s="1"/>
  <c r="G2" i="2" s="1"/>
  <c r="H2" i="2" s="1"/>
  <c r="H76" i="1"/>
  <c r="H73" i="1"/>
  <c r="H70" i="1"/>
  <c r="I191" i="1"/>
  <c r="H191" i="1" s="1"/>
  <c r="F190" i="1" s="1"/>
  <c r="G190" i="1" s="1"/>
  <c r="H190" i="1" s="1"/>
  <c r="M188" i="1"/>
  <c r="F188" i="1" s="1"/>
  <c r="G188" i="1" s="1"/>
  <c r="H188" i="1" s="1"/>
  <c r="M187" i="1"/>
  <c r="F187" i="1"/>
  <c r="G187" i="1" s="1"/>
  <c r="H187" i="1" s="1"/>
  <c r="M186" i="1"/>
  <c r="F186" i="1"/>
  <c r="G186" i="1" s="1"/>
  <c r="H186" i="1" s="1"/>
  <c r="M185" i="1"/>
  <c r="F185" i="1" s="1"/>
  <c r="G185" i="1" s="1"/>
  <c r="H185" i="1" s="1"/>
  <c r="M175" i="1"/>
  <c r="F175" i="1"/>
  <c r="G175" i="1" s="1"/>
  <c r="H175" i="1" s="1"/>
  <c r="M174" i="1"/>
  <c r="F174" i="1" s="1"/>
  <c r="G174" i="1" s="1"/>
  <c r="H174" i="1" s="1"/>
  <c r="M173" i="1"/>
  <c r="F173" i="1" s="1"/>
  <c r="G173" i="1" s="1"/>
  <c r="H173" i="1" s="1"/>
  <c r="M172" i="1"/>
  <c r="F172" i="1"/>
  <c r="G172" i="1" s="1"/>
  <c r="H172" i="1" s="1"/>
  <c r="M161" i="1"/>
  <c r="F161" i="1" s="1"/>
  <c r="G161" i="1" s="1"/>
  <c r="H161" i="1" s="1"/>
  <c r="M160" i="1"/>
  <c r="F160" i="1" s="1"/>
  <c r="G160" i="1" s="1"/>
  <c r="H160" i="1" s="1"/>
  <c r="M159" i="1"/>
  <c r="F159" i="1" s="1"/>
  <c r="G159" i="1" s="1"/>
  <c r="H159" i="1" s="1"/>
  <c r="M158" i="1"/>
  <c r="F158" i="1" s="1"/>
  <c r="G158" i="1" s="1"/>
  <c r="H158" i="1" s="1"/>
  <c r="M145" i="1"/>
  <c r="F145" i="1" s="1"/>
  <c r="G145" i="1" s="1"/>
  <c r="H145" i="1" s="1"/>
  <c r="M144" i="1"/>
  <c r="F144" i="1" s="1"/>
  <c r="G144" i="1" s="1"/>
  <c r="H144" i="1" s="1"/>
  <c r="M143" i="1"/>
  <c r="F143" i="1"/>
  <c r="G143" i="1" s="1"/>
  <c r="H143" i="1" s="1"/>
  <c r="M142" i="1"/>
  <c r="F142" i="1" s="1"/>
  <c r="G142" i="1" s="1"/>
  <c r="H142" i="1" s="1"/>
  <c r="M129" i="1"/>
  <c r="F129" i="1" s="1"/>
  <c r="G129" i="1" s="1"/>
  <c r="H129" i="1" s="1"/>
  <c r="M128" i="1"/>
  <c r="F128" i="1" s="1"/>
  <c r="G128" i="1" s="1"/>
  <c r="H128" i="1" s="1"/>
  <c r="M127" i="1"/>
  <c r="F127" i="1" s="1"/>
  <c r="G127" i="1" s="1"/>
  <c r="H127" i="1" s="1"/>
  <c r="M126" i="1"/>
  <c r="F126" i="1" s="1"/>
  <c r="G126" i="1" s="1"/>
  <c r="H126" i="1" s="1"/>
  <c r="M114" i="1"/>
  <c r="F114" i="1" s="1"/>
  <c r="G114" i="1" s="1"/>
  <c r="H114" i="1" s="1"/>
  <c r="M113" i="1"/>
  <c r="F113" i="1" s="1"/>
  <c r="G113" i="1" s="1"/>
  <c r="H113" i="1" s="1"/>
  <c r="M112" i="1"/>
  <c r="F112" i="1" s="1"/>
  <c r="G112" i="1" s="1"/>
  <c r="H112" i="1" s="1"/>
  <c r="M111" i="1"/>
  <c r="F111" i="1" s="1"/>
  <c r="G111" i="1" s="1"/>
  <c r="H111" i="1" s="1"/>
  <c r="M99" i="1"/>
  <c r="F99" i="1" s="1"/>
  <c r="G99" i="1" s="1"/>
  <c r="H99" i="1" s="1"/>
  <c r="M98" i="1"/>
  <c r="F98" i="1" s="1"/>
  <c r="G98" i="1" s="1"/>
  <c r="H98" i="1" s="1"/>
  <c r="M97" i="1"/>
  <c r="F97" i="1" s="1"/>
  <c r="G97" i="1" s="1"/>
  <c r="H97" i="1" s="1"/>
  <c r="M96" i="1"/>
  <c r="F96" i="1" s="1"/>
  <c r="G96" i="1" s="1"/>
  <c r="H96" i="1" s="1"/>
  <c r="M86" i="1"/>
  <c r="F86" i="1" s="1"/>
  <c r="G86" i="1" s="1"/>
  <c r="H86" i="1" s="1"/>
  <c r="M85" i="1"/>
  <c r="F85" i="1" s="1"/>
  <c r="G85" i="1" s="1"/>
  <c r="H85" i="1" s="1"/>
  <c r="M84" i="1"/>
  <c r="F84" i="1" s="1"/>
  <c r="G84" i="1" s="1"/>
  <c r="H84" i="1" s="1"/>
  <c r="M83" i="1"/>
  <c r="F83" i="1" s="1"/>
  <c r="G83" i="1" s="1"/>
  <c r="H83" i="1" s="1"/>
  <c r="M62" i="1"/>
  <c r="F62" i="1" s="1"/>
  <c r="G62" i="1" s="1"/>
  <c r="H62" i="1" s="1"/>
  <c r="M61" i="1"/>
  <c r="F61" i="1" s="1"/>
  <c r="G61" i="1" s="1"/>
  <c r="H61" i="1" s="1"/>
  <c r="M60" i="1"/>
  <c r="F60" i="1" s="1"/>
  <c r="G60" i="1" s="1"/>
  <c r="H60" i="1" s="1"/>
  <c r="M59" i="1"/>
  <c r="F59" i="1" s="1"/>
  <c r="G59" i="1" s="1"/>
  <c r="H59" i="1" s="1"/>
  <c r="M42" i="1"/>
  <c r="F42" i="1" s="1"/>
  <c r="G42" i="1" s="1"/>
  <c r="H42" i="1" s="1"/>
  <c r="I179" i="1"/>
  <c r="H179" i="1" s="1"/>
  <c r="F178" i="1" s="1"/>
  <c r="G178" i="1" s="1"/>
  <c r="H178" i="1" s="1"/>
  <c r="I165" i="1"/>
  <c r="H165" i="1" s="1"/>
  <c r="F164" i="1" s="1"/>
  <c r="G164" i="1" s="1"/>
  <c r="H164" i="1" s="1"/>
  <c r="I150" i="1"/>
  <c r="H150" i="1" s="1"/>
  <c r="F149" i="1" s="1"/>
  <c r="G149" i="1" s="1"/>
  <c r="H149" i="1" s="1"/>
  <c r="I134" i="1"/>
  <c r="H134" i="1" s="1"/>
  <c r="F133" i="1" s="1"/>
  <c r="G133" i="1" s="1"/>
  <c r="H133" i="1" s="1"/>
  <c r="I118" i="1"/>
  <c r="H118" i="1" s="1"/>
  <c r="F117" i="1" s="1"/>
  <c r="G117" i="1" s="1"/>
  <c r="H117" i="1" s="1"/>
  <c r="I103" i="1"/>
  <c r="H103" i="1" s="1"/>
  <c r="F102" i="1" s="1"/>
  <c r="G102" i="1" s="1"/>
  <c r="H102" i="1" s="1"/>
  <c r="I90" i="1"/>
  <c r="H90" i="1" s="1"/>
  <c r="F89" i="1" s="1"/>
  <c r="G89" i="1" s="1"/>
  <c r="H89" i="1" s="1"/>
  <c r="I66" i="1"/>
  <c r="H66" i="1" s="1"/>
  <c r="F65" i="1" s="1"/>
  <c r="G65" i="1" s="1"/>
  <c r="H65" i="1" s="1"/>
  <c r="I52" i="1"/>
  <c r="H52" i="1" s="1"/>
  <c r="F51" i="1" s="1"/>
  <c r="G51" i="1" s="1"/>
  <c r="H51" i="1" s="1"/>
  <c r="I30" i="1"/>
  <c r="H30" i="1" s="1"/>
  <c r="F29" i="1" s="1"/>
  <c r="G29" i="1" s="1"/>
  <c r="H29" i="1" s="1"/>
  <c r="M26" i="1"/>
  <c r="F26" i="1" s="1"/>
  <c r="G26" i="1" s="1"/>
  <c r="H26" i="1" s="1"/>
  <c r="M25" i="1"/>
  <c r="F25" i="1" s="1"/>
  <c r="G25" i="1" s="1"/>
  <c r="H25" i="1" s="1"/>
  <c r="M24" i="1"/>
  <c r="F24" i="1" s="1"/>
  <c r="G24" i="1" s="1"/>
  <c r="H24" i="1" s="1"/>
  <c r="M23" i="1"/>
  <c r="F23" i="1" s="1"/>
  <c r="G23" i="1" s="1"/>
  <c r="H23" i="1" s="1"/>
  <c r="G189" i="1"/>
  <c r="H189" i="1" s="1"/>
  <c r="G177" i="1"/>
  <c r="H177" i="1" s="1"/>
  <c r="G176" i="1"/>
  <c r="H176" i="1" s="1"/>
  <c r="G163" i="1"/>
  <c r="H163" i="1" s="1"/>
  <c r="G162" i="1"/>
  <c r="H162" i="1" s="1"/>
  <c r="G148" i="1"/>
  <c r="H148" i="1" s="1"/>
  <c r="G147" i="1"/>
  <c r="H147" i="1" s="1"/>
  <c r="G146" i="1"/>
  <c r="H146" i="1" s="1"/>
  <c r="G132" i="1"/>
  <c r="H132" i="1" s="1"/>
  <c r="G131" i="1"/>
  <c r="H131" i="1" s="1"/>
  <c r="G130" i="1"/>
  <c r="H130" i="1" s="1"/>
  <c r="G116" i="1"/>
  <c r="H116" i="1" s="1"/>
  <c r="G115" i="1"/>
  <c r="H115" i="1" s="1"/>
  <c r="G101" i="1"/>
  <c r="H101" i="1" s="1"/>
  <c r="G100" i="1"/>
  <c r="H100" i="1" s="1"/>
  <c r="G88" i="1"/>
  <c r="H88" i="1" s="1"/>
  <c r="G87" i="1"/>
  <c r="H87" i="1" s="1"/>
  <c r="G64" i="1"/>
  <c r="H64" i="1" s="1"/>
  <c r="G63" i="1"/>
  <c r="H63" i="1" s="1"/>
  <c r="G50" i="1"/>
  <c r="H50" i="1" s="1"/>
  <c r="G49" i="1"/>
  <c r="H49" i="1" s="1"/>
  <c r="G48" i="1"/>
  <c r="H48" i="1" s="1"/>
  <c r="G47" i="1"/>
  <c r="H47" i="1" s="1"/>
  <c r="G28" i="1"/>
  <c r="H28" i="1" s="1"/>
  <c r="G27" i="1"/>
  <c r="H27" i="1" s="1"/>
  <c r="G15" i="1"/>
  <c r="H15" i="1" s="1"/>
  <c r="G14" i="1"/>
  <c r="H14" i="1" s="1"/>
  <c r="G12" i="1"/>
  <c r="H12" i="1" s="1"/>
  <c r="I17" i="1"/>
  <c r="H17" i="1" s="1"/>
  <c r="F16" i="1" s="1"/>
  <c r="G16" i="1" s="1"/>
  <c r="H16" i="1" s="1"/>
  <c r="G182" i="1"/>
  <c r="H182" i="1" s="1"/>
  <c r="G168" i="1"/>
  <c r="H168" i="1" s="1"/>
  <c r="G153" i="1"/>
  <c r="H153" i="1" s="1"/>
  <c r="G137" i="1"/>
  <c r="H137" i="1" s="1"/>
  <c r="G121" i="1"/>
  <c r="H121" i="1" s="1"/>
  <c r="G106" i="1"/>
  <c r="H106" i="1" s="1"/>
  <c r="G93" i="1"/>
  <c r="H93" i="1" s="1"/>
  <c r="G78" i="1"/>
  <c r="H78" i="1" s="1"/>
  <c r="G55" i="1"/>
  <c r="H55" i="1" s="1"/>
  <c r="G33" i="1"/>
  <c r="H33" i="1" s="1"/>
  <c r="G20" i="1"/>
  <c r="H20" i="1" s="1"/>
  <c r="G4" i="1"/>
  <c r="H4" i="1" s="1"/>
  <c r="G46" i="1"/>
  <c r="H46" i="1" s="1"/>
  <c r="G11" i="1"/>
  <c r="H11" i="1" s="1"/>
  <c r="G13" i="1"/>
  <c r="H13" i="1" s="1"/>
  <c r="M184" i="1"/>
  <c r="F184" i="1" s="1"/>
  <c r="G184" i="1" s="1"/>
  <c r="H184" i="1" s="1"/>
  <c r="M183" i="1"/>
  <c r="F183" i="1" s="1"/>
  <c r="G183" i="1" s="1"/>
  <c r="H183" i="1" s="1"/>
  <c r="M171" i="1"/>
  <c r="F171" i="1" s="1"/>
  <c r="G171" i="1" s="1"/>
  <c r="H171" i="1" s="1"/>
  <c r="M170" i="1"/>
  <c r="F170" i="1" s="1"/>
  <c r="G170" i="1" s="1"/>
  <c r="H170" i="1" s="1"/>
  <c r="M169" i="1"/>
  <c r="F169" i="1" s="1"/>
  <c r="G169" i="1" s="1"/>
  <c r="H169" i="1" s="1"/>
  <c r="M157" i="1"/>
  <c r="F157" i="1" s="1"/>
  <c r="G157" i="1" s="1"/>
  <c r="H157" i="1" s="1"/>
  <c r="M156" i="1"/>
  <c r="F156" i="1" s="1"/>
  <c r="G156" i="1" s="1"/>
  <c r="H156" i="1" s="1"/>
  <c r="M155" i="1"/>
  <c r="F155" i="1" s="1"/>
  <c r="G155" i="1" s="1"/>
  <c r="H155" i="1" s="1"/>
  <c r="M154" i="1"/>
  <c r="F154" i="1" s="1"/>
  <c r="G154" i="1" s="1"/>
  <c r="H154" i="1" s="1"/>
  <c r="M141" i="1"/>
  <c r="F141" i="1" s="1"/>
  <c r="G141" i="1" s="1"/>
  <c r="H141" i="1" s="1"/>
  <c r="M140" i="1"/>
  <c r="F140" i="1" s="1"/>
  <c r="G140" i="1" s="1"/>
  <c r="H140" i="1" s="1"/>
  <c r="M139" i="1"/>
  <c r="F139" i="1" s="1"/>
  <c r="G139" i="1" s="1"/>
  <c r="H139" i="1" s="1"/>
  <c r="M138" i="1"/>
  <c r="F138" i="1" s="1"/>
  <c r="G138" i="1" s="1"/>
  <c r="H138" i="1" s="1"/>
  <c r="M125" i="1"/>
  <c r="F125" i="1" s="1"/>
  <c r="G125" i="1" s="1"/>
  <c r="H125" i="1" s="1"/>
  <c r="M124" i="1"/>
  <c r="F124" i="1" s="1"/>
  <c r="G124" i="1" s="1"/>
  <c r="H124" i="1" s="1"/>
  <c r="M123" i="1"/>
  <c r="F123" i="1" s="1"/>
  <c r="G123" i="1" s="1"/>
  <c r="H123" i="1" s="1"/>
  <c r="M122" i="1"/>
  <c r="F122" i="1" s="1"/>
  <c r="G122" i="1" s="1"/>
  <c r="H122" i="1" s="1"/>
  <c r="M110" i="1"/>
  <c r="F110" i="1" s="1"/>
  <c r="G110" i="1" s="1"/>
  <c r="H110" i="1" s="1"/>
  <c r="M109" i="1"/>
  <c r="F109" i="1" s="1"/>
  <c r="G109" i="1" s="1"/>
  <c r="H109" i="1" s="1"/>
  <c r="M108" i="1"/>
  <c r="F108" i="1" s="1"/>
  <c r="G108" i="1" s="1"/>
  <c r="H108" i="1" s="1"/>
  <c r="M107" i="1"/>
  <c r="F107" i="1" s="1"/>
  <c r="G107" i="1" s="1"/>
  <c r="H107" i="1" s="1"/>
  <c r="M95" i="1"/>
  <c r="F95" i="1" s="1"/>
  <c r="G95" i="1" s="1"/>
  <c r="H95" i="1" s="1"/>
  <c r="M94" i="1"/>
  <c r="F94" i="1" s="1"/>
  <c r="G94" i="1" s="1"/>
  <c r="H94" i="1" s="1"/>
  <c r="M82" i="1"/>
  <c r="F82" i="1" s="1"/>
  <c r="G82" i="1" s="1"/>
  <c r="H82" i="1" s="1"/>
  <c r="M81" i="1"/>
  <c r="F81" i="1" s="1"/>
  <c r="G81" i="1" s="1"/>
  <c r="H81" i="1" s="1"/>
  <c r="M80" i="1"/>
  <c r="F80" i="1" s="1"/>
  <c r="G80" i="1" s="1"/>
  <c r="H80" i="1" s="1"/>
  <c r="M79" i="1"/>
  <c r="F79" i="1" s="1"/>
  <c r="G79" i="1" s="1"/>
  <c r="H79" i="1" s="1"/>
  <c r="M58" i="1"/>
  <c r="F58" i="1" s="1"/>
  <c r="G58" i="1" s="1"/>
  <c r="H58" i="1" s="1"/>
  <c r="M57" i="1"/>
  <c r="F57" i="1" s="1"/>
  <c r="G57" i="1" s="1"/>
  <c r="H57" i="1" s="1"/>
  <c r="M56" i="1"/>
  <c r="F56" i="1" s="1"/>
  <c r="G56" i="1" s="1"/>
  <c r="H56" i="1" s="1"/>
  <c r="M45" i="1"/>
  <c r="F45" i="1" s="1"/>
  <c r="G45" i="1" s="1"/>
  <c r="H45" i="1" s="1"/>
  <c r="M44" i="1"/>
  <c r="F44" i="1" s="1"/>
  <c r="G44" i="1" s="1"/>
  <c r="H44" i="1" s="1"/>
  <c r="M43" i="1"/>
  <c r="F43" i="1" s="1"/>
  <c r="G43" i="1" s="1"/>
  <c r="H43" i="1" s="1"/>
  <c r="M41" i="1"/>
  <c r="F41" i="1" s="1"/>
  <c r="G41" i="1" s="1"/>
  <c r="H41" i="1" s="1"/>
  <c r="M40" i="1"/>
  <c r="F40" i="1" s="1"/>
  <c r="G40" i="1" s="1"/>
  <c r="H40" i="1" s="1"/>
  <c r="M39" i="1"/>
  <c r="F39" i="1" s="1"/>
  <c r="G39" i="1" s="1"/>
  <c r="H39" i="1" s="1"/>
  <c r="M38" i="1"/>
  <c r="F38" i="1" s="1"/>
  <c r="G38" i="1" s="1"/>
  <c r="H38" i="1" s="1"/>
  <c r="M37" i="1"/>
  <c r="F37" i="1" s="1"/>
  <c r="G37" i="1" s="1"/>
  <c r="H37" i="1" s="1"/>
  <c r="M36" i="1"/>
  <c r="F36" i="1" s="1"/>
  <c r="G36" i="1" s="1"/>
  <c r="H36" i="1" s="1"/>
  <c r="M35" i="1"/>
  <c r="F35" i="1" s="1"/>
  <c r="G35" i="1" s="1"/>
  <c r="H35" i="1" s="1"/>
  <c r="M34" i="1"/>
  <c r="F34" i="1" s="1"/>
  <c r="G34" i="1" s="1"/>
  <c r="H34" i="1" s="1"/>
  <c r="M22" i="1"/>
  <c r="F22" i="1" s="1"/>
  <c r="G22" i="1" s="1"/>
  <c r="H22" i="1" s="1"/>
  <c r="M21" i="1"/>
  <c r="F21" i="1" s="1"/>
  <c r="G21" i="1" s="1"/>
  <c r="H21" i="1" s="1"/>
  <c r="M10" i="1"/>
  <c r="F10" i="1" s="1"/>
  <c r="G10" i="1" s="1"/>
  <c r="H10" i="1" s="1"/>
  <c r="M9" i="1"/>
  <c r="F9" i="1" s="1"/>
  <c r="G9" i="1" s="1"/>
  <c r="H9" i="1" s="1"/>
  <c r="M8" i="1"/>
  <c r="F8" i="1" s="1"/>
  <c r="G8" i="1" s="1"/>
  <c r="H8" i="1" s="1"/>
  <c r="M7" i="1"/>
  <c r="F7" i="1" s="1"/>
  <c r="G7" i="1" s="1"/>
  <c r="H7" i="1" s="1"/>
  <c r="M6" i="1"/>
  <c r="F6" i="1" s="1"/>
  <c r="G6" i="1" s="1"/>
  <c r="H6" i="1" s="1"/>
  <c r="M5" i="1"/>
  <c r="F5" i="1" s="1"/>
  <c r="G5" i="1" s="1"/>
  <c r="H5" i="1" s="1"/>
  <c r="H135" i="1" l="1"/>
  <c r="H166" i="1"/>
  <c r="H151" i="1"/>
  <c r="H119" i="1"/>
  <c r="H91" i="1"/>
  <c r="H53" i="1"/>
  <c r="H180" i="1"/>
  <c r="H67" i="1"/>
  <c r="H31" i="1"/>
  <c r="H104" i="1"/>
  <c r="H192" i="1"/>
  <c r="H18" i="1"/>
  <c r="M193" i="1"/>
  <c r="H194" i="1" l="1"/>
</calcChain>
</file>

<file path=xl/sharedStrings.xml><?xml version="1.0" encoding="utf-8"?>
<sst xmlns="http://schemas.openxmlformats.org/spreadsheetml/2006/main" count="1131" uniqueCount="175">
  <si>
    <t>Гараж ЭМО - Спецификация оборудования | Алматы, Турксибский р-н, ул. Закарпатская 51 | ABB Fiyat: Kasım 2025</t>
  </si>
  <si>
    <t>№</t>
  </si>
  <si>
    <t>Панель</t>
  </si>
  <si>
    <t>Тип</t>
  </si>
  <si>
    <t>Артикул</t>
  </si>
  <si>
    <t>Наименование</t>
  </si>
  <si>
    <t>Кол-во</t>
  </si>
  <si>
    <t>Ед.</t>
  </si>
  <si>
    <t>Завод</t>
  </si>
  <si>
    <t>Цена EUR (ед.)</t>
  </si>
  <si>
    <t>Примечание</t>
  </si>
  <si>
    <t>ВЩ-1</t>
  </si>
  <si>
    <t>ВЩ-1 (комплект)</t>
  </si>
  <si>
    <t>компл.</t>
  </si>
  <si>
    <t>TEKSAN</t>
  </si>
  <si>
    <t>korpus</t>
  </si>
  <si>
    <t>719-xx</t>
  </si>
  <si>
    <t>Мет. Корпус 1700x800x450мм + 100мм база, IP54</t>
  </si>
  <si>
    <t>шт.</t>
  </si>
  <si>
    <t>tms</t>
  </si>
  <si>
    <t>1SDA067413R1</t>
  </si>
  <si>
    <t>XT1N 160 TMD, In=50A, 3p F F</t>
  </si>
  <si>
    <t>ABB</t>
  </si>
  <si>
    <t>⚠ Bu model listede yok - OT250 serisi kontrol edilmeli</t>
  </si>
  <si>
    <t>oto</t>
  </si>
  <si>
    <t>sinyal</t>
  </si>
  <si>
    <t>1SFA619403R5231</t>
  </si>
  <si>
    <t>CL2-523R LED pilot light, red, 230V AC</t>
  </si>
  <si>
    <t>1SFA619403R5233</t>
  </si>
  <si>
    <t>CL2-523Y LED pilot light, yellow, 230V AC</t>
  </si>
  <si>
    <t>1SFA619403R5232</t>
  </si>
  <si>
    <t>CL2-523G LED pilot light, green, 230V AC</t>
  </si>
  <si>
    <t>sayac</t>
  </si>
  <si>
    <t>Saiman/Дала</t>
  </si>
  <si>
    <t>isp blok</t>
  </si>
  <si>
    <t>200100060_</t>
  </si>
  <si>
    <t>Испытательный блок 10 полюсов</t>
  </si>
  <si>
    <t>TT</t>
  </si>
  <si>
    <t>T-0.66 50/5A</t>
  </si>
  <si>
    <t>Трансформатор тока 50/5A</t>
  </si>
  <si>
    <t>shina N</t>
  </si>
  <si>
    <t>N-шина</t>
  </si>
  <si>
    <t>Шина N на DIN-изоляторе</t>
  </si>
  <si>
    <t>ABB/TEKSAN</t>
  </si>
  <si>
    <t>shina PE</t>
  </si>
  <si>
    <t>PE-шина</t>
  </si>
  <si>
    <t>Шина PE на DIN-изоляторе</t>
  </si>
  <si>
    <t>mont. matryl</t>
  </si>
  <si>
    <t>монтажный материал</t>
  </si>
  <si>
    <t>mont rab.</t>
  </si>
  <si>
    <t>монтажная работа</t>
  </si>
  <si>
    <t>Сборка и монтаж щита</t>
  </si>
  <si>
    <t>РЩ-1</t>
  </si>
  <si>
    <t>РЩ-1 (комплект)</t>
  </si>
  <si>
    <t>⚠ Kasım 2025 listesinde yok - fiyat teyit edilmeli</t>
  </si>
  <si>
    <t>ВЩ-2 (АВР)</t>
  </si>
  <si>
    <t>ВЩ-2 (АВР) (комплект)</t>
  </si>
  <si>
    <t>1SDA067416R1</t>
  </si>
  <si>
    <t>XT1N 160 TMD, In=100A, 3p F F</t>
  </si>
  <si>
    <t>kontaktor</t>
  </si>
  <si>
    <t>1SFL427001R1111</t>
  </si>
  <si>
    <t>AF116-30-11-13 contactor, 3P, 100-250V AC/DC</t>
  </si>
  <si>
    <t>aux contact</t>
  </si>
  <si>
    <t>1SFN010820R1011</t>
  </si>
  <si>
    <t>CAL19-11 auxiliary contact block</t>
  </si>
  <si>
    <t>mekanik kilit</t>
  </si>
  <si>
    <t>1SFN034403R1000</t>
  </si>
  <si>
    <t>VM140/190 mechanical interlock for AF116 contactors</t>
  </si>
  <si>
    <t>taimer</t>
  </si>
  <si>
    <t>1SVR500020R0000</t>
  </si>
  <si>
    <t>CT-MFD.12 multifunction time relay</t>
  </si>
  <si>
    <t>reley</t>
  </si>
  <si>
    <t>1SVR550870R9400</t>
  </si>
  <si>
    <t>CM-PVE three-phase monitoring relay</t>
  </si>
  <si>
    <t>1SVR405601R3000</t>
  </si>
  <si>
    <t>CR-P230AC2 pluggable interface relay, 230V AC, 2CO</t>
  </si>
  <si>
    <t>kolodka</t>
  </si>
  <si>
    <t>1SVR405650R1000</t>
  </si>
  <si>
    <t>CR-PSS relay socket</t>
  </si>
  <si>
    <t>T-0.66 100/5A</t>
  </si>
  <si>
    <t>Трансформатор тока 100/5A</t>
  </si>
  <si>
    <t>ЩСБП-1</t>
  </si>
  <si>
    <t>ЩСБП-1 (комплект)</t>
  </si>
  <si>
    <t>УКРМ-1</t>
  </si>
  <si>
    <t>УКРМ-1 (комплект)</t>
  </si>
  <si>
    <t>ukrm</t>
  </si>
  <si>
    <t>комплектно</t>
  </si>
  <si>
    <t>Рег. конденсаторная установка 5кВАр, 380В, IP31, ABB</t>
  </si>
  <si>
    <t>УКРМ-2</t>
  </si>
  <si>
    <t>УКРМ-2 (комплект)</t>
  </si>
  <si>
    <t>УКРМ-3</t>
  </si>
  <si>
    <t>УКРМ-3 (комплект)</t>
  </si>
  <si>
    <t>Рег. конденсаторная установка 12.5кВАр, 380В, IP31, ABB</t>
  </si>
  <si>
    <t>ЩО-1</t>
  </si>
  <si>
    <t>ЩО-1 (комплект)</t>
  </si>
  <si>
    <t>rub</t>
  </si>
  <si>
    <t>2CDD283101R0025</t>
  </si>
  <si>
    <t>SD203/25 switch-disconnector, 3P, 25A</t>
  </si>
  <si>
    <t>2CDS211001R0104</t>
  </si>
  <si>
    <t>SH201-C10, 1P, C10A, 4.5kA</t>
  </si>
  <si>
    <t>dif</t>
  </si>
  <si>
    <t>2CSR255080R1164</t>
  </si>
  <si>
    <t>DS201 C16 AC30, 1P+N/2P, C16A, 30mA</t>
  </si>
  <si>
    <t>2CDS200982R0002</t>
  </si>
  <si>
    <t>S3C-A2 shunt trip, AC 110–415V</t>
  </si>
  <si>
    <t>ЩАО-1</t>
  </si>
  <si>
    <t>ЩАО-1 (комплект)</t>
  </si>
  <si>
    <t>ЩО-2</t>
  </si>
  <si>
    <t>ЩО-2 (комплект)</t>
  </si>
  <si>
    <t>ЩС-К1</t>
  </si>
  <si>
    <t>ЩС-К1 (комплект)</t>
  </si>
  <si>
    <t>2CDS213001R0324</t>
  </si>
  <si>
    <t>SH203-C32, 3P, C32A, 4.5kA</t>
  </si>
  <si>
    <t>2CDS213001R0254</t>
  </si>
  <si>
    <t>SH203-C25, 3P, C25A, 4.5kA</t>
  </si>
  <si>
    <t>2CDS211001R0164</t>
  </si>
  <si>
    <t>SH201-C16, 1P, C16A, 4.5kA</t>
  </si>
  <si>
    <t>PH/shunt</t>
  </si>
  <si>
    <t>klemens</t>
  </si>
  <si>
    <t>ABB-SNK-XT12</t>
  </si>
  <si>
    <t>ABB Entrelec/SNK terminal set XT12</t>
  </si>
  <si>
    <t>ЩС-К2</t>
  </si>
  <si>
    <t>ЩС-К2 (комплект)</t>
  </si>
  <si>
    <t>ЩС-Пт</t>
  </si>
  <si>
    <t>ЩС-Пт (комплект)</t>
  </si>
  <si>
    <t>1SCA105004R1001</t>
  </si>
  <si>
    <t>OT100F3 switch-disconnector, 3P, 100A</t>
  </si>
  <si>
    <t>2CDS253001R0804</t>
  </si>
  <si>
    <t>S203-C80, 3P, C80A, 6kA</t>
  </si>
  <si>
    <t>ЩС-Н</t>
  </si>
  <si>
    <t>ЩС-Н (комплект)</t>
  </si>
  <si>
    <t>2CDS213001R0164</t>
  </si>
  <si>
    <t>SH203-C16, 3P, C16A, 4.5kA</t>
  </si>
  <si>
    <t>ЩСн-1</t>
  </si>
  <si>
    <t>ЩСн-1 (комплект)</t>
  </si>
  <si>
    <t>ИТОГО ABB (EUR):</t>
  </si>
  <si>
    <t>1SCA022771R7280</t>
  </si>
  <si>
    <t>ABB OT/OTM changeover switch 1-0-2, 3P, 250A OT200E04CP</t>
  </si>
  <si>
    <t>Цен</t>
  </si>
  <si>
    <t>Сумма</t>
  </si>
  <si>
    <t>pys</t>
  </si>
  <si>
    <t>Teksan f</t>
  </si>
  <si>
    <t>rubilnik</t>
  </si>
  <si>
    <t>IA</t>
  </si>
  <si>
    <t>ДАЛА СА4У-Э720 R TX OP П RS1 Д W  (3x220/380V 5-7,5A)</t>
  </si>
  <si>
    <t xml:space="preserve"> 1SDA067411R1</t>
  </si>
  <si>
    <t>XT1N 160, TMD, In=32A</t>
  </si>
  <si>
    <t xml:space="preserve"> 2CDS211001R0065</t>
  </si>
  <si>
    <t xml:space="preserve"> SH 201-B 6</t>
  </si>
  <si>
    <t>714-15118</t>
  </si>
  <si>
    <t>Щит мет. ЩРн-4-2 PR (800x650x250) IP54 (TS)</t>
  </si>
  <si>
    <t>714-15120</t>
  </si>
  <si>
    <t>Щит мет. ЩРн-3-2 PR (650x500x220) IP54 (TS)</t>
  </si>
  <si>
    <t>714-15116</t>
  </si>
  <si>
    <t>Щит мет. ЩРн-5-2 PR (1000x650x300) IP54 (TS)</t>
  </si>
  <si>
    <t>Toplam ВЩ-1</t>
  </si>
  <si>
    <t>Toplam РЩ-1</t>
  </si>
  <si>
    <t>Toplam ВЩ-2 (АВР)</t>
  </si>
  <si>
    <t>Toplam ЩСБП-1</t>
  </si>
  <si>
    <t>Toplam УКРМ-1</t>
  </si>
  <si>
    <t>Toplam УКРМ-2</t>
  </si>
  <si>
    <t>Toplam УКРМ-3</t>
  </si>
  <si>
    <t>Toplam ЩО-1</t>
  </si>
  <si>
    <t>Toplam ЩАО-1</t>
  </si>
  <si>
    <t>Toplam ЩО-2</t>
  </si>
  <si>
    <t>Toplam ЩС-К1</t>
  </si>
  <si>
    <t>Toplam ЩС-К2</t>
  </si>
  <si>
    <t>Toplam ЩС-Пт</t>
  </si>
  <si>
    <t>Toplam ЩС-Н</t>
  </si>
  <si>
    <t>Toplam ЩСн-1</t>
  </si>
  <si>
    <t>Genel Toplam</t>
  </si>
  <si>
    <t>malz</t>
  </si>
  <si>
    <t>УКРМ-1-Рег. конденсаторная установка 5кВАр, 380В, IP31, ABB (комплект)</t>
  </si>
  <si>
    <t>УКРМ-2-Рег. конденсаторная установка 5кВАр, 380В, IP31, ABB (комплект)</t>
  </si>
  <si>
    <t>УКРМ-3-Рег. конденсаторная установка 12.5кВАр, 380В, IP31, ABB (комплект)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</si>
</sst>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204"/>
    </font>
    <font>
      <sz val="8"/>
      <color rgb="FF000000"/>
      <name val="Arial"/>
      <family val="2"/>
      <charset val="204"/>
    </font>
    <font>
      <sz val="9"/>
      <name val="Arial"/>
      <family val="2"/>
      <charset val="204"/>
    </font>
    <font>
      <sz val="9"/>
      <color rgb="FF888888"/>
      <name val="Arial"/>
      <family val="2"/>
      <charset val="204"/>
    </font>
    <font>
      <sz val="9"/>
      <color rgb="FF0000FF"/>
      <name val="Arial"/>
      <family val="2"/>
      <charset val="204"/>
    </font>
    <font>
      <sz val="8"/>
      <color rgb="FFC00000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rgb="FF1F3864"/>
      <name val="Arial"/>
      <family val="2"/>
      <charset val="204"/>
    </font>
    <font>
      <sz val="8"/>
      <name val="Calibri"/>
      <family val="2"/>
      <scheme val="minor"/>
    </font>
    <font>
      <b/>
      <sz val="9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DAEEF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D70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4" fontId="5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4" fontId="5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4" fontId="5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4" fontId="5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4" fontId="5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4" fontId="5" fillId="1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4" fontId="7" fillId="11" borderId="1" xfId="0" applyNumberFormat="1" applyFont="1" applyFill="1" applyBorder="1"/>
    <xf numFmtId="0" fontId="3" fillId="6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3" fontId="3" fillId="5" borderId="1" xfId="0" applyNumberFormat="1" applyFont="1" applyFill="1" applyBorder="1" applyAlignment="1">
      <alignment vertical="center" wrapText="1"/>
    </xf>
    <xf numFmtId="3" fontId="3" fillId="6" borderId="1" xfId="0" applyNumberFormat="1" applyFont="1" applyFill="1" applyBorder="1" applyAlignment="1">
      <alignment vertical="center" wrapText="1"/>
    </xf>
    <xf numFmtId="3" fontId="3" fillId="7" borderId="1" xfId="0" applyNumberFormat="1" applyFont="1" applyFill="1" applyBorder="1" applyAlignment="1">
      <alignment vertical="center" wrapText="1"/>
    </xf>
    <xf numFmtId="3" fontId="3" fillId="8" borderId="1" xfId="0" applyNumberFormat="1" applyFont="1" applyFill="1" applyBorder="1" applyAlignment="1">
      <alignment vertical="center" wrapText="1"/>
    </xf>
    <xf numFmtId="3" fontId="3" fillId="9" borderId="1" xfId="0" applyNumberFormat="1" applyFont="1" applyFill="1" applyBorder="1" applyAlignment="1">
      <alignment vertical="center" wrapText="1"/>
    </xf>
    <xf numFmtId="3" fontId="3" fillId="10" borderId="1" xfId="0" applyNumberFormat="1" applyFont="1" applyFill="1" applyBorder="1" applyAlignment="1">
      <alignment vertical="center" wrapText="1"/>
    </xf>
    <xf numFmtId="3" fontId="0" fillId="0" borderId="1" xfId="0" applyNumberFormat="1" applyBorder="1"/>
    <xf numFmtId="3" fontId="0" fillId="0" borderId="0" xfId="0" applyNumberFormat="1"/>
    <xf numFmtId="0" fontId="10" fillId="4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" fillId="2" borderId="0" xfId="0" applyFont="1" applyFill="1" applyAlignment="1">
      <alignment horizontal="right"/>
    </xf>
    <xf numFmtId="4" fontId="7" fillId="11" borderId="0" xfId="0" applyNumberFormat="1" applyFont="1" applyFill="1"/>
    <xf numFmtId="0" fontId="11" fillId="0" borderId="0" xfId="0" applyFont="1"/>
    <xf numFmtId="0" fontId="8" fillId="1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5" customWidth="1"/>
    <col min="2" max="3" width="14" customWidth="1"/>
    <col min="4" max="4" width="31.28515625" customWidth="1"/>
    <col min="5" max="5" width="50" customWidth="1"/>
    <col min="6" max="8" width="13" style="66" customWidth="1"/>
    <col min="9" max="10" width="8" customWidth="1"/>
    <col min="11" max="13" width="14" customWidth="1"/>
    <col min="14" max="14" width="20" customWidth="1"/>
    <col min="15" max="15" width="9.140625" style="66"/>
  </cols>
  <sheetData>
    <row r="1" spans="1:15" ht="21.95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5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56" t="s">
        <v>138</v>
      </c>
      <c r="G2" s="56" t="s">
        <v>138</v>
      </c>
      <c r="H2" s="56" t="s">
        <v>139</v>
      </c>
      <c r="I2" s="1" t="s">
        <v>6</v>
      </c>
      <c r="J2" s="1" t="s">
        <v>7</v>
      </c>
      <c r="K2" s="1" t="s">
        <v>8</v>
      </c>
      <c r="L2" s="1" t="s">
        <v>9</v>
      </c>
      <c r="M2" s="55">
        <v>-0.72</v>
      </c>
      <c r="N2" s="1" t="s">
        <v>10</v>
      </c>
      <c r="O2" s="66" t="s">
        <v>171</v>
      </c>
    </row>
    <row r="3" spans="1:15" ht="18" customHeight="1" x14ac:dyDescent="0.25">
      <c r="A3" s="2">
        <v>1</v>
      </c>
      <c r="B3" s="2" t="s">
        <v>11</v>
      </c>
      <c r="C3" s="2"/>
      <c r="D3" s="2"/>
      <c r="E3" s="3" t="s">
        <v>12</v>
      </c>
      <c r="F3" s="57"/>
      <c r="G3" s="57"/>
      <c r="H3" s="57"/>
      <c r="I3" s="2">
        <v>1</v>
      </c>
      <c r="J3" s="2" t="s">
        <v>13</v>
      </c>
      <c r="K3" s="2" t="s">
        <v>14</v>
      </c>
      <c r="L3" s="4"/>
      <c r="M3" s="4"/>
      <c r="N3" s="5"/>
    </row>
    <row r="4" spans="1:15" ht="18" customHeight="1" x14ac:dyDescent="0.25">
      <c r="A4" s="6">
        <v>2</v>
      </c>
      <c r="B4" s="6" t="s">
        <v>11</v>
      </c>
      <c r="C4" s="6" t="s">
        <v>15</v>
      </c>
      <c r="D4" s="6" t="s">
        <v>16</v>
      </c>
      <c r="E4" s="7" t="s">
        <v>17</v>
      </c>
      <c r="F4" s="58">
        <v>165000</v>
      </c>
      <c r="G4" s="58">
        <f>0.6*F4</f>
        <v>99000</v>
      </c>
      <c r="H4" s="58">
        <f>G4*I4</f>
        <v>99000</v>
      </c>
      <c r="I4" s="6">
        <v>1</v>
      </c>
      <c r="J4" s="6" t="s">
        <v>18</v>
      </c>
      <c r="K4" s="6" t="s">
        <v>141</v>
      </c>
      <c r="L4" s="8"/>
      <c r="M4" s="9"/>
      <c r="N4" s="10"/>
      <c r="O4" s="66">
        <v>99000</v>
      </c>
    </row>
    <row r="5" spans="1:15" ht="18" customHeight="1" x14ac:dyDescent="0.25">
      <c r="A5" s="6">
        <v>3</v>
      </c>
      <c r="B5" s="6" t="s">
        <v>11</v>
      </c>
      <c r="C5" s="6" t="s">
        <v>19</v>
      </c>
      <c r="D5" s="6" t="s">
        <v>20</v>
      </c>
      <c r="E5" s="7" t="s">
        <v>21</v>
      </c>
      <c r="F5" s="58">
        <f>1.33*M5</f>
        <v>98.193899999999999</v>
      </c>
      <c r="G5" s="58">
        <f>F5*560</f>
        <v>54988.584000000003</v>
      </c>
      <c r="H5" s="58">
        <f t="shared" ref="H5:H17" si="0">G5*I5</f>
        <v>109977.16800000001</v>
      </c>
      <c r="I5" s="6">
        <v>2</v>
      </c>
      <c r="J5" s="6" t="s">
        <v>18</v>
      </c>
      <c r="K5" s="6" t="s">
        <v>22</v>
      </c>
      <c r="L5" s="11">
        <v>246.1</v>
      </c>
      <c r="M5" s="12">
        <f>0.3*L5</f>
        <v>73.83</v>
      </c>
      <c r="N5" s="10"/>
      <c r="O5" s="66">
        <v>109977.16800000001</v>
      </c>
    </row>
    <row r="6" spans="1:15" ht="18" customHeight="1" x14ac:dyDescent="0.25">
      <c r="A6" s="6">
        <v>4</v>
      </c>
      <c r="B6" s="6" t="s">
        <v>11</v>
      </c>
      <c r="C6" s="6" t="s">
        <v>142</v>
      </c>
      <c r="D6" s="6" t="s">
        <v>136</v>
      </c>
      <c r="E6" s="7" t="s">
        <v>137</v>
      </c>
      <c r="F6" s="58">
        <f t="shared" ref="F6:F10" si="1">1.33*M6</f>
        <v>309.46440000000001</v>
      </c>
      <c r="G6" s="58">
        <f t="shared" ref="G6:G10" si="2">F6*560</f>
        <v>173300.06400000001</v>
      </c>
      <c r="H6" s="58">
        <f t="shared" si="0"/>
        <v>346600.12800000003</v>
      </c>
      <c r="I6" s="6">
        <v>2</v>
      </c>
      <c r="J6" s="6" t="s">
        <v>18</v>
      </c>
      <c r="K6" s="6" t="s">
        <v>22</v>
      </c>
      <c r="L6" s="8">
        <v>775.6</v>
      </c>
      <c r="M6" s="12">
        <f t="shared" ref="M6:M10" si="3">0.3*L6</f>
        <v>232.68</v>
      </c>
      <c r="N6" s="13" t="s">
        <v>23</v>
      </c>
      <c r="O6" s="66">
        <v>346600.12800000003</v>
      </c>
    </row>
    <row r="7" spans="1:15" ht="18" customHeight="1" x14ac:dyDescent="0.25">
      <c r="A7" s="6">
        <v>5</v>
      </c>
      <c r="B7" s="6" t="s">
        <v>11</v>
      </c>
      <c r="C7" s="6" t="s">
        <v>24</v>
      </c>
      <c r="D7" s="6" t="s">
        <v>147</v>
      </c>
      <c r="E7" s="7" t="s">
        <v>148</v>
      </c>
      <c r="F7" s="58">
        <f t="shared" si="1"/>
        <v>3.5231700000000004</v>
      </c>
      <c r="G7" s="58">
        <f t="shared" si="2"/>
        <v>1972.9752000000003</v>
      </c>
      <c r="H7" s="58">
        <f t="shared" si="0"/>
        <v>5918.9256000000005</v>
      </c>
      <c r="I7" s="6">
        <v>3</v>
      </c>
      <c r="J7" s="6" t="s">
        <v>18</v>
      </c>
      <c r="K7" s="6" t="s">
        <v>22</v>
      </c>
      <c r="L7" s="11">
        <v>8.83</v>
      </c>
      <c r="M7" s="12">
        <f t="shared" si="3"/>
        <v>2.649</v>
      </c>
      <c r="N7" s="10"/>
      <c r="O7" s="66">
        <v>5918.9256000000005</v>
      </c>
    </row>
    <row r="8" spans="1:15" ht="18" customHeight="1" x14ac:dyDescent="0.25">
      <c r="A8" s="6">
        <v>6</v>
      </c>
      <c r="B8" s="6" t="s">
        <v>11</v>
      </c>
      <c r="C8" s="6" t="s">
        <v>25</v>
      </c>
      <c r="D8" s="6" t="s">
        <v>26</v>
      </c>
      <c r="E8" s="7" t="s">
        <v>27</v>
      </c>
      <c r="F8" s="58">
        <f t="shared" si="1"/>
        <v>3.8383799999999999</v>
      </c>
      <c r="G8" s="58">
        <f t="shared" si="2"/>
        <v>2149.4928</v>
      </c>
      <c r="H8" s="58">
        <f t="shared" si="0"/>
        <v>2149.4928</v>
      </c>
      <c r="I8" s="6">
        <v>1</v>
      </c>
      <c r="J8" s="6" t="s">
        <v>18</v>
      </c>
      <c r="K8" s="6" t="s">
        <v>22</v>
      </c>
      <c r="L8" s="11">
        <v>9.6199999999999992</v>
      </c>
      <c r="M8" s="12">
        <f t="shared" si="3"/>
        <v>2.8859999999999997</v>
      </c>
      <c r="N8" s="10"/>
      <c r="O8" s="66">
        <v>2149.4928</v>
      </c>
    </row>
    <row r="9" spans="1:15" ht="18" customHeight="1" x14ac:dyDescent="0.25">
      <c r="A9" s="6">
        <v>7</v>
      </c>
      <c r="B9" s="6" t="s">
        <v>11</v>
      </c>
      <c r="C9" s="6" t="s">
        <v>25</v>
      </c>
      <c r="D9" s="6" t="s">
        <v>28</v>
      </c>
      <c r="E9" s="7" t="s">
        <v>29</v>
      </c>
      <c r="F9" s="58">
        <f t="shared" si="1"/>
        <v>3.8383799999999999</v>
      </c>
      <c r="G9" s="58">
        <f t="shared" si="2"/>
        <v>2149.4928</v>
      </c>
      <c r="H9" s="58">
        <f t="shared" si="0"/>
        <v>2149.4928</v>
      </c>
      <c r="I9" s="6">
        <v>1</v>
      </c>
      <c r="J9" s="6" t="s">
        <v>18</v>
      </c>
      <c r="K9" s="6" t="s">
        <v>22</v>
      </c>
      <c r="L9" s="11">
        <v>9.6199999999999992</v>
      </c>
      <c r="M9" s="12">
        <f t="shared" si="3"/>
        <v>2.8859999999999997</v>
      </c>
      <c r="N9" s="10"/>
      <c r="O9" s="66">
        <v>2149.4928</v>
      </c>
    </row>
    <row r="10" spans="1:15" ht="18" customHeight="1" x14ac:dyDescent="0.25">
      <c r="A10" s="6">
        <v>8</v>
      </c>
      <c r="B10" s="6" t="s">
        <v>11</v>
      </c>
      <c r="C10" s="6" t="s">
        <v>25</v>
      </c>
      <c r="D10" s="6" t="s">
        <v>30</v>
      </c>
      <c r="E10" s="7" t="s">
        <v>31</v>
      </c>
      <c r="F10" s="58">
        <f t="shared" si="1"/>
        <v>3.8383799999999999</v>
      </c>
      <c r="G10" s="58">
        <f t="shared" si="2"/>
        <v>2149.4928</v>
      </c>
      <c r="H10" s="58">
        <f t="shared" si="0"/>
        <v>2149.4928</v>
      </c>
      <c r="I10" s="6">
        <v>1</v>
      </c>
      <c r="J10" s="6" t="s">
        <v>18</v>
      </c>
      <c r="K10" s="6" t="s">
        <v>22</v>
      </c>
      <c r="L10" s="11">
        <v>9.6199999999999992</v>
      </c>
      <c r="M10" s="12">
        <f t="shared" si="3"/>
        <v>2.8859999999999997</v>
      </c>
      <c r="N10" s="10"/>
      <c r="O10" s="66">
        <v>2149.4928</v>
      </c>
    </row>
    <row r="11" spans="1:15" ht="18" customHeight="1" x14ac:dyDescent="0.25">
      <c r="A11" s="6">
        <v>9</v>
      </c>
      <c r="B11" s="6" t="s">
        <v>11</v>
      </c>
      <c r="C11" s="6" t="s">
        <v>32</v>
      </c>
      <c r="D11" s="6" t="s">
        <v>143</v>
      </c>
      <c r="E11" s="7" t="s">
        <v>144</v>
      </c>
      <c r="F11" s="58">
        <v>80000</v>
      </c>
      <c r="G11" s="58">
        <f>F11</f>
        <v>80000</v>
      </c>
      <c r="H11" s="58">
        <f t="shared" si="0"/>
        <v>160000</v>
      </c>
      <c r="I11" s="6">
        <v>2</v>
      </c>
      <c r="J11" s="6" t="s">
        <v>18</v>
      </c>
      <c r="K11" s="6" t="s">
        <v>33</v>
      </c>
      <c r="L11" s="8"/>
      <c r="M11" s="9"/>
      <c r="N11" s="10"/>
      <c r="O11" s="66">
        <v>160000</v>
      </c>
    </row>
    <row r="12" spans="1:15" ht="18" customHeight="1" x14ac:dyDescent="0.25">
      <c r="A12" s="6">
        <v>10</v>
      </c>
      <c r="B12" s="6" t="s">
        <v>11</v>
      </c>
      <c r="C12" s="6" t="s">
        <v>34</v>
      </c>
      <c r="D12" s="6" t="s">
        <v>35</v>
      </c>
      <c r="E12" s="7" t="s">
        <v>36</v>
      </c>
      <c r="F12" s="58">
        <v>6500</v>
      </c>
      <c r="G12" s="58">
        <f>F12</f>
        <v>6500</v>
      </c>
      <c r="H12" s="58">
        <f t="shared" si="0"/>
        <v>13000</v>
      </c>
      <c r="I12" s="6">
        <v>2</v>
      </c>
      <c r="J12" s="6" t="s">
        <v>18</v>
      </c>
      <c r="K12" s="6" t="s">
        <v>140</v>
      </c>
      <c r="L12" s="8"/>
      <c r="M12" s="9"/>
      <c r="N12" s="10"/>
      <c r="O12" s="66">
        <v>13000</v>
      </c>
    </row>
    <row r="13" spans="1:15" ht="18" customHeight="1" x14ac:dyDescent="0.25">
      <c r="A13" s="6">
        <v>11</v>
      </c>
      <c r="B13" s="6" t="s">
        <v>11</v>
      </c>
      <c r="C13" s="6" t="s">
        <v>37</v>
      </c>
      <c r="D13" s="6" t="s">
        <v>38</v>
      </c>
      <c r="E13" s="7" t="s">
        <v>39</v>
      </c>
      <c r="F13" s="58">
        <v>6500</v>
      </c>
      <c r="G13" s="58">
        <f>F13</f>
        <v>6500</v>
      </c>
      <c r="H13" s="58">
        <f t="shared" si="0"/>
        <v>39000</v>
      </c>
      <c r="I13" s="6">
        <v>6</v>
      </c>
      <c r="J13" s="6" t="s">
        <v>18</v>
      </c>
      <c r="K13" s="6" t="s">
        <v>140</v>
      </c>
      <c r="L13" s="8"/>
      <c r="M13" s="9"/>
      <c r="N13" s="10"/>
      <c r="O13" s="66">
        <v>39000</v>
      </c>
    </row>
    <row r="14" spans="1:15" ht="18" customHeight="1" x14ac:dyDescent="0.25">
      <c r="A14" s="6">
        <v>12</v>
      </c>
      <c r="B14" s="6" t="s">
        <v>11</v>
      </c>
      <c r="C14" s="6" t="s">
        <v>40</v>
      </c>
      <c r="D14" s="6" t="s">
        <v>41</v>
      </c>
      <c r="E14" s="7" t="s">
        <v>42</v>
      </c>
      <c r="F14" s="58">
        <v>1450</v>
      </c>
      <c r="G14" s="58">
        <f t="shared" ref="G14:G15" si="4">F14</f>
        <v>1450</v>
      </c>
      <c r="H14" s="58">
        <f t="shared" si="0"/>
        <v>1450</v>
      </c>
      <c r="I14" s="6">
        <v>1</v>
      </c>
      <c r="J14" s="6" t="s">
        <v>18</v>
      </c>
      <c r="K14" s="6" t="s">
        <v>140</v>
      </c>
      <c r="L14" s="8"/>
      <c r="M14" s="9"/>
      <c r="N14" s="10"/>
      <c r="O14" s="66">
        <v>1450</v>
      </c>
    </row>
    <row r="15" spans="1:15" ht="18" customHeight="1" x14ac:dyDescent="0.25">
      <c r="A15" s="6">
        <v>13</v>
      </c>
      <c r="B15" s="6" t="s">
        <v>11</v>
      </c>
      <c r="C15" s="6" t="s">
        <v>44</v>
      </c>
      <c r="D15" s="6" t="s">
        <v>45</v>
      </c>
      <c r="E15" s="7" t="s">
        <v>46</v>
      </c>
      <c r="F15" s="58">
        <v>1100</v>
      </c>
      <c r="G15" s="58">
        <f t="shared" si="4"/>
        <v>1100</v>
      </c>
      <c r="H15" s="58">
        <f t="shared" si="0"/>
        <v>1100</v>
      </c>
      <c r="I15" s="6">
        <v>1</v>
      </c>
      <c r="J15" s="6" t="s">
        <v>18</v>
      </c>
      <c r="K15" s="6" t="s">
        <v>140</v>
      </c>
      <c r="L15" s="8"/>
      <c r="M15" s="9"/>
      <c r="N15" s="10"/>
      <c r="O15" s="66">
        <v>1100</v>
      </c>
    </row>
    <row r="16" spans="1:15" ht="18" customHeight="1" x14ac:dyDescent="0.25">
      <c r="A16" s="6">
        <v>14</v>
      </c>
      <c r="B16" s="6" t="s">
        <v>11</v>
      </c>
      <c r="C16" s="6" t="s">
        <v>47</v>
      </c>
      <c r="D16" s="6" t="s">
        <v>48</v>
      </c>
      <c r="E16" s="54" t="s">
        <v>48</v>
      </c>
      <c r="F16" s="58">
        <f ca="1">OFFSET(F16,1,2)</f>
        <v>48000</v>
      </c>
      <c r="G16" s="58">
        <f ca="1">F16</f>
        <v>48000</v>
      </c>
      <c r="H16" s="58">
        <f t="shared" ca="1" si="0"/>
        <v>48000</v>
      </c>
      <c r="I16" s="6">
        <v>1</v>
      </c>
      <c r="J16" s="6" t="s">
        <v>18</v>
      </c>
      <c r="K16" s="6" t="s">
        <v>47</v>
      </c>
      <c r="L16" s="8"/>
      <c r="M16" s="9"/>
      <c r="N16" s="10"/>
      <c r="O16" s="66">
        <v>48000</v>
      </c>
    </row>
    <row r="17" spans="1:15" ht="20.100000000000001" customHeight="1" x14ac:dyDescent="0.25">
      <c r="A17" s="6">
        <v>15</v>
      </c>
      <c r="B17" s="6" t="s">
        <v>11</v>
      </c>
      <c r="C17" s="6" t="s">
        <v>49</v>
      </c>
      <c r="D17" s="6" t="s">
        <v>50</v>
      </c>
      <c r="E17" s="7" t="s">
        <v>51</v>
      </c>
      <c r="F17" s="58">
        <v>8</v>
      </c>
      <c r="G17" s="58">
        <v>100</v>
      </c>
      <c r="H17" s="58">
        <f t="shared" si="0"/>
        <v>48000</v>
      </c>
      <c r="I17" s="6">
        <f>60*F17</f>
        <v>480</v>
      </c>
      <c r="J17" s="6" t="s">
        <v>18</v>
      </c>
      <c r="K17" s="6" t="s">
        <v>49</v>
      </c>
      <c r="L17" s="8"/>
      <c r="M17" s="9"/>
      <c r="N17" s="10"/>
      <c r="O17" s="66">
        <v>48000</v>
      </c>
    </row>
    <row r="18" spans="1:15" ht="20.100000000000001" customHeight="1" x14ac:dyDescent="0.25">
      <c r="A18" s="6"/>
      <c r="B18" s="67" t="s">
        <v>155</v>
      </c>
      <c r="C18" s="6"/>
      <c r="D18" s="6"/>
      <c r="E18" s="7"/>
      <c r="F18" s="58"/>
      <c r="G18" s="58"/>
      <c r="H18" s="58">
        <f ca="1">SUBTOTAL(9,H3:H17)</f>
        <v>878494.70000000007</v>
      </c>
      <c r="I18" s="6"/>
      <c r="J18" s="6"/>
      <c r="K18" s="6"/>
      <c r="L18" s="8"/>
      <c r="M18" s="9"/>
      <c r="N18" s="10"/>
      <c r="O18" s="66">
        <v>878494.70000000007</v>
      </c>
    </row>
    <row r="19" spans="1:15" ht="18" customHeight="1" x14ac:dyDescent="0.25">
      <c r="A19" s="2">
        <v>16</v>
      </c>
      <c r="B19" s="2" t="s">
        <v>52</v>
      </c>
      <c r="C19" s="2"/>
      <c r="D19" s="2"/>
      <c r="E19" s="3" t="s">
        <v>53</v>
      </c>
      <c r="F19" s="57"/>
      <c r="G19" s="57"/>
      <c r="H19" s="57"/>
      <c r="I19" s="2">
        <v>1</v>
      </c>
      <c r="J19" s="2" t="s">
        <v>13</v>
      </c>
      <c r="K19" s="2" t="s">
        <v>14</v>
      </c>
      <c r="L19" s="4"/>
      <c r="M19" s="4"/>
      <c r="N19" s="5"/>
    </row>
    <row r="20" spans="1:15" ht="18" customHeight="1" x14ac:dyDescent="0.25">
      <c r="A20" s="14">
        <v>17</v>
      </c>
      <c r="B20" s="14" t="s">
        <v>52</v>
      </c>
      <c r="C20" s="14" t="s">
        <v>15</v>
      </c>
      <c r="D20" s="14" t="s">
        <v>149</v>
      </c>
      <c r="E20" s="15" t="s">
        <v>150</v>
      </c>
      <c r="F20" s="58">
        <v>46000</v>
      </c>
      <c r="G20" s="58">
        <f>0.6*F20</f>
        <v>27600</v>
      </c>
      <c r="H20" s="58">
        <f t="shared" ref="H20:H30" si="5">G20*I20</f>
        <v>27600</v>
      </c>
      <c r="I20" s="14">
        <v>1</v>
      </c>
      <c r="J20" s="14" t="s">
        <v>18</v>
      </c>
      <c r="K20" s="6" t="s">
        <v>141</v>
      </c>
      <c r="L20" s="16"/>
      <c r="M20" s="17"/>
      <c r="N20" s="18"/>
      <c r="O20" s="66">
        <v>27600</v>
      </c>
    </row>
    <row r="21" spans="1:15" ht="18" customHeight="1" x14ac:dyDescent="0.25">
      <c r="A21" s="14">
        <v>18</v>
      </c>
      <c r="B21" s="14" t="s">
        <v>52</v>
      </c>
      <c r="C21" s="14" t="s">
        <v>19</v>
      </c>
      <c r="D21" s="14" t="s">
        <v>145</v>
      </c>
      <c r="E21" s="15" t="s">
        <v>146</v>
      </c>
      <c r="F21" s="58">
        <f t="shared" ref="F21:F26" si="6">1.33*M21</f>
        <v>98.991900000000001</v>
      </c>
      <c r="G21" s="58">
        <f t="shared" ref="G21:G26" si="7">F21*560</f>
        <v>55435.464</v>
      </c>
      <c r="H21" s="58">
        <f t="shared" si="5"/>
        <v>221741.856</v>
      </c>
      <c r="I21" s="14">
        <v>4</v>
      </c>
      <c r="J21" s="14" t="s">
        <v>18</v>
      </c>
      <c r="K21" s="14" t="s">
        <v>22</v>
      </c>
      <c r="L21" s="16">
        <v>248.1</v>
      </c>
      <c r="M21" s="12">
        <f t="shared" ref="M21:M26" si="8">0.3*L21</f>
        <v>74.429999999999993</v>
      </c>
      <c r="N21" s="19" t="s">
        <v>54</v>
      </c>
      <c r="O21" s="66">
        <v>221741.856</v>
      </c>
    </row>
    <row r="22" spans="1:15" ht="18" customHeight="1" x14ac:dyDescent="0.25">
      <c r="A22" s="14">
        <v>19</v>
      </c>
      <c r="B22" s="14" t="s">
        <v>52</v>
      </c>
      <c r="C22" s="14" t="s">
        <v>19</v>
      </c>
      <c r="D22" s="14" t="s">
        <v>145</v>
      </c>
      <c r="E22" s="15" t="s">
        <v>146</v>
      </c>
      <c r="F22" s="58">
        <f t="shared" si="6"/>
        <v>98.991900000000001</v>
      </c>
      <c r="G22" s="58">
        <f t="shared" si="7"/>
        <v>55435.464</v>
      </c>
      <c r="H22" s="58">
        <f t="shared" si="5"/>
        <v>443483.712</v>
      </c>
      <c r="I22" s="14">
        <v>8</v>
      </c>
      <c r="J22" s="14" t="s">
        <v>18</v>
      </c>
      <c r="K22" s="14" t="s">
        <v>22</v>
      </c>
      <c r="L22" s="16">
        <v>248.1</v>
      </c>
      <c r="M22" s="12">
        <f t="shared" si="8"/>
        <v>74.429999999999993</v>
      </c>
      <c r="N22" s="19" t="s">
        <v>54</v>
      </c>
      <c r="O22" s="66">
        <v>443483.712</v>
      </c>
    </row>
    <row r="23" spans="1:15" ht="18" customHeight="1" x14ac:dyDescent="0.25">
      <c r="A23" s="6">
        <v>5</v>
      </c>
      <c r="B23" s="14" t="s">
        <v>52</v>
      </c>
      <c r="C23" s="6" t="s">
        <v>24</v>
      </c>
      <c r="D23" s="6" t="s">
        <v>147</v>
      </c>
      <c r="E23" s="7" t="s">
        <v>148</v>
      </c>
      <c r="F23" s="58">
        <f t="shared" si="6"/>
        <v>3.5231700000000004</v>
      </c>
      <c r="G23" s="58">
        <f t="shared" si="7"/>
        <v>1972.9752000000003</v>
      </c>
      <c r="H23" s="58">
        <f t="shared" si="5"/>
        <v>5918.9256000000005</v>
      </c>
      <c r="I23" s="6">
        <v>3</v>
      </c>
      <c r="J23" s="6" t="s">
        <v>18</v>
      </c>
      <c r="K23" s="6" t="s">
        <v>22</v>
      </c>
      <c r="L23" s="11">
        <v>8.83</v>
      </c>
      <c r="M23" s="12">
        <f t="shared" si="8"/>
        <v>2.649</v>
      </c>
      <c r="N23" s="10"/>
      <c r="O23" s="66">
        <v>5918.9256000000005</v>
      </c>
    </row>
    <row r="24" spans="1:15" ht="18" customHeight="1" x14ac:dyDescent="0.25">
      <c r="A24" s="6">
        <v>6</v>
      </c>
      <c r="B24" s="14" t="s">
        <v>52</v>
      </c>
      <c r="C24" s="6" t="s">
        <v>25</v>
      </c>
      <c r="D24" s="6" t="s">
        <v>26</v>
      </c>
      <c r="E24" s="7" t="s">
        <v>27</v>
      </c>
      <c r="F24" s="58">
        <f t="shared" si="6"/>
        <v>3.8383799999999999</v>
      </c>
      <c r="G24" s="58">
        <f t="shared" si="7"/>
        <v>2149.4928</v>
      </c>
      <c r="H24" s="58">
        <f t="shared" si="5"/>
        <v>2149.4928</v>
      </c>
      <c r="I24" s="6">
        <v>1</v>
      </c>
      <c r="J24" s="6" t="s">
        <v>18</v>
      </c>
      <c r="K24" s="6" t="s">
        <v>22</v>
      </c>
      <c r="L24" s="11">
        <v>9.6199999999999992</v>
      </c>
      <c r="M24" s="12">
        <f t="shared" si="8"/>
        <v>2.8859999999999997</v>
      </c>
      <c r="N24" s="10"/>
      <c r="O24" s="66">
        <v>2149.4928</v>
      </c>
    </row>
    <row r="25" spans="1:15" ht="18" customHeight="1" x14ac:dyDescent="0.25">
      <c r="A25" s="6">
        <v>7</v>
      </c>
      <c r="B25" s="14" t="s">
        <v>52</v>
      </c>
      <c r="C25" s="6" t="s">
        <v>25</v>
      </c>
      <c r="D25" s="6" t="s">
        <v>28</v>
      </c>
      <c r="E25" s="7" t="s">
        <v>29</v>
      </c>
      <c r="F25" s="58">
        <f t="shared" si="6"/>
        <v>3.8383799999999999</v>
      </c>
      <c r="G25" s="58">
        <f t="shared" si="7"/>
        <v>2149.4928</v>
      </c>
      <c r="H25" s="58">
        <f t="shared" si="5"/>
        <v>2149.4928</v>
      </c>
      <c r="I25" s="6">
        <v>1</v>
      </c>
      <c r="J25" s="6" t="s">
        <v>18</v>
      </c>
      <c r="K25" s="6" t="s">
        <v>22</v>
      </c>
      <c r="L25" s="11">
        <v>9.6199999999999992</v>
      </c>
      <c r="M25" s="12">
        <f t="shared" si="8"/>
        <v>2.8859999999999997</v>
      </c>
      <c r="N25" s="10"/>
      <c r="O25" s="66">
        <v>2149.4928</v>
      </c>
    </row>
    <row r="26" spans="1:15" ht="18" customHeight="1" x14ac:dyDescent="0.25">
      <c r="A26" s="6">
        <v>8</v>
      </c>
      <c r="B26" s="14" t="s">
        <v>52</v>
      </c>
      <c r="C26" s="6" t="s">
        <v>25</v>
      </c>
      <c r="D26" s="6" t="s">
        <v>30</v>
      </c>
      <c r="E26" s="7" t="s">
        <v>31</v>
      </c>
      <c r="F26" s="58">
        <f t="shared" si="6"/>
        <v>3.8383799999999999</v>
      </c>
      <c r="G26" s="58">
        <f t="shared" si="7"/>
        <v>2149.4928</v>
      </c>
      <c r="H26" s="58">
        <f t="shared" si="5"/>
        <v>2149.4928</v>
      </c>
      <c r="I26" s="6">
        <v>1</v>
      </c>
      <c r="J26" s="6" t="s">
        <v>18</v>
      </c>
      <c r="K26" s="6" t="s">
        <v>22</v>
      </c>
      <c r="L26" s="11">
        <v>9.6199999999999992</v>
      </c>
      <c r="M26" s="12">
        <f t="shared" si="8"/>
        <v>2.8859999999999997</v>
      </c>
      <c r="N26" s="10"/>
      <c r="O26" s="66">
        <v>2149.4928</v>
      </c>
    </row>
    <row r="27" spans="1:15" ht="18" customHeight="1" x14ac:dyDescent="0.25">
      <c r="A27" s="14">
        <v>21</v>
      </c>
      <c r="B27" s="14" t="s">
        <v>52</v>
      </c>
      <c r="C27" s="14" t="s">
        <v>40</v>
      </c>
      <c r="D27" s="14" t="s">
        <v>41</v>
      </c>
      <c r="E27" s="15" t="s">
        <v>42</v>
      </c>
      <c r="F27" s="58">
        <v>1450</v>
      </c>
      <c r="G27" s="58">
        <f t="shared" ref="G27:G28" si="9">F27</f>
        <v>1450</v>
      </c>
      <c r="H27" s="58">
        <f t="shared" si="5"/>
        <v>1450</v>
      </c>
      <c r="I27" s="14">
        <v>1</v>
      </c>
      <c r="J27" s="14" t="s">
        <v>18</v>
      </c>
      <c r="K27" s="6" t="s">
        <v>140</v>
      </c>
      <c r="L27" s="16"/>
      <c r="M27" s="17"/>
      <c r="N27" s="18"/>
      <c r="O27" s="66">
        <v>1450</v>
      </c>
    </row>
    <row r="28" spans="1:15" ht="18" customHeight="1" x14ac:dyDescent="0.25">
      <c r="A28" s="14">
        <v>22</v>
      </c>
      <c r="B28" s="14" t="s">
        <v>52</v>
      </c>
      <c r="C28" s="14" t="s">
        <v>44</v>
      </c>
      <c r="D28" s="14" t="s">
        <v>45</v>
      </c>
      <c r="E28" s="15" t="s">
        <v>46</v>
      </c>
      <c r="F28" s="58">
        <v>1100</v>
      </c>
      <c r="G28" s="58">
        <f t="shared" si="9"/>
        <v>1100</v>
      </c>
      <c r="H28" s="58">
        <f t="shared" si="5"/>
        <v>1100</v>
      </c>
      <c r="I28" s="14">
        <v>1</v>
      </c>
      <c r="J28" s="14" t="s">
        <v>18</v>
      </c>
      <c r="K28" s="6" t="s">
        <v>140</v>
      </c>
      <c r="L28" s="16"/>
      <c r="M28" s="17"/>
      <c r="N28" s="18"/>
      <c r="O28" s="66">
        <v>1100</v>
      </c>
    </row>
    <row r="29" spans="1:15" ht="18" customHeight="1" x14ac:dyDescent="0.25">
      <c r="A29" s="14">
        <v>23</v>
      </c>
      <c r="B29" s="14" t="s">
        <v>52</v>
      </c>
      <c r="C29" s="14" t="s">
        <v>47</v>
      </c>
      <c r="D29" s="14" t="s">
        <v>48</v>
      </c>
      <c r="E29" s="54" t="s">
        <v>48</v>
      </c>
      <c r="F29" s="58">
        <f ca="1">OFFSET(F29,1,2)</f>
        <v>12000</v>
      </c>
      <c r="G29" s="58">
        <f ca="1">F29</f>
        <v>12000</v>
      </c>
      <c r="H29" s="58">
        <f t="shared" ca="1" si="5"/>
        <v>12000</v>
      </c>
      <c r="I29" s="14">
        <v>1</v>
      </c>
      <c r="J29" s="6" t="s">
        <v>18</v>
      </c>
      <c r="K29" s="14" t="s">
        <v>47</v>
      </c>
      <c r="L29" s="16"/>
      <c r="M29" s="17"/>
      <c r="N29" s="18"/>
      <c r="O29" s="66">
        <v>12000</v>
      </c>
    </row>
    <row r="30" spans="1:15" ht="20.100000000000001" customHeight="1" x14ac:dyDescent="0.25">
      <c r="A30" s="14">
        <v>24</v>
      </c>
      <c r="B30" s="14" t="s">
        <v>52</v>
      </c>
      <c r="C30" s="14" t="s">
        <v>49</v>
      </c>
      <c r="D30" s="14" t="s">
        <v>50</v>
      </c>
      <c r="E30" s="15" t="s">
        <v>51</v>
      </c>
      <c r="F30" s="59">
        <v>2</v>
      </c>
      <c r="G30" s="58">
        <v>100</v>
      </c>
      <c r="H30" s="58">
        <f t="shared" si="5"/>
        <v>12000</v>
      </c>
      <c r="I30" s="6">
        <f>60*F30</f>
        <v>120</v>
      </c>
      <c r="J30" s="6" t="s">
        <v>18</v>
      </c>
      <c r="K30" s="14" t="s">
        <v>49</v>
      </c>
      <c r="L30" s="16"/>
      <c r="M30" s="17"/>
      <c r="N30" s="18"/>
      <c r="O30" s="66">
        <v>12000</v>
      </c>
    </row>
    <row r="31" spans="1:15" ht="20.100000000000001" customHeight="1" x14ac:dyDescent="0.25">
      <c r="A31" s="14"/>
      <c r="B31" s="68" t="s">
        <v>156</v>
      </c>
      <c r="C31" s="14"/>
      <c r="D31" s="14"/>
      <c r="E31" s="15"/>
      <c r="F31" s="59"/>
      <c r="G31" s="58"/>
      <c r="H31" s="58">
        <f ca="1">SUBTOTAL(9,H19:H30)</f>
        <v>731742.97199999995</v>
      </c>
      <c r="I31" s="6"/>
      <c r="J31" s="6"/>
      <c r="K31" s="14"/>
      <c r="L31" s="16"/>
      <c r="M31" s="17"/>
      <c r="N31" s="18"/>
      <c r="O31" s="66">
        <v>731742.97199999995</v>
      </c>
    </row>
    <row r="32" spans="1:15" ht="18" customHeight="1" x14ac:dyDescent="0.25">
      <c r="A32" s="2">
        <v>25</v>
      </c>
      <c r="B32" s="2" t="s">
        <v>55</v>
      </c>
      <c r="C32" s="2"/>
      <c r="D32" s="2"/>
      <c r="E32" s="3" t="s">
        <v>56</v>
      </c>
      <c r="F32" s="57"/>
      <c r="G32" s="57"/>
      <c r="H32" s="57"/>
      <c r="I32" s="2">
        <v>1</v>
      </c>
      <c r="J32" s="2" t="s">
        <v>13</v>
      </c>
      <c r="K32" s="2" t="s">
        <v>14</v>
      </c>
      <c r="L32" s="4"/>
      <c r="M32" s="4"/>
      <c r="N32" s="5"/>
    </row>
    <row r="33" spans="1:15" ht="18" customHeight="1" x14ac:dyDescent="0.25">
      <c r="A33" s="21">
        <v>26</v>
      </c>
      <c r="B33" s="21" t="s">
        <v>55</v>
      </c>
      <c r="C33" s="21" t="s">
        <v>15</v>
      </c>
      <c r="D33" s="21" t="s">
        <v>16</v>
      </c>
      <c r="E33" s="22" t="s">
        <v>17</v>
      </c>
      <c r="F33" s="58">
        <v>165000</v>
      </c>
      <c r="G33" s="58">
        <f>0.6*F33</f>
        <v>99000</v>
      </c>
      <c r="H33" s="58">
        <f t="shared" ref="H33:H52" si="10">G33*I33</f>
        <v>99000</v>
      </c>
      <c r="I33" s="21">
        <v>1</v>
      </c>
      <c r="J33" s="21" t="s">
        <v>18</v>
      </c>
      <c r="K33" s="6" t="s">
        <v>141</v>
      </c>
      <c r="L33" s="23"/>
      <c r="M33" s="24"/>
      <c r="N33" s="25"/>
      <c r="O33" s="66">
        <v>99000</v>
      </c>
    </row>
    <row r="34" spans="1:15" ht="18" customHeight="1" x14ac:dyDescent="0.25">
      <c r="A34" s="21">
        <v>27</v>
      </c>
      <c r="B34" s="21" t="s">
        <v>55</v>
      </c>
      <c r="C34" s="21" t="s">
        <v>19</v>
      </c>
      <c r="D34" s="21" t="s">
        <v>57</v>
      </c>
      <c r="E34" s="22" t="s">
        <v>58</v>
      </c>
      <c r="F34" s="58">
        <f t="shared" ref="F34:F45" si="11">1.33*M34</f>
        <v>98.193899999999999</v>
      </c>
      <c r="G34" s="58">
        <f t="shared" ref="G34:G45" si="12">F34*560</f>
        <v>54988.584000000003</v>
      </c>
      <c r="H34" s="58">
        <f t="shared" si="10"/>
        <v>109977.16800000001</v>
      </c>
      <c r="I34" s="21">
        <v>2</v>
      </c>
      <c r="J34" s="21" t="s">
        <v>18</v>
      </c>
      <c r="K34" s="21" t="s">
        <v>22</v>
      </c>
      <c r="L34" s="26">
        <v>246.1</v>
      </c>
      <c r="M34" s="12">
        <f t="shared" ref="M34:M45" si="13">0.3*L34</f>
        <v>73.83</v>
      </c>
      <c r="N34" s="25"/>
      <c r="O34" s="66">
        <v>109977.16800000001</v>
      </c>
    </row>
    <row r="35" spans="1:15" ht="18" customHeight="1" x14ac:dyDescent="0.25">
      <c r="A35" s="21">
        <v>28</v>
      </c>
      <c r="B35" s="21" t="s">
        <v>55</v>
      </c>
      <c r="C35" s="21" t="s">
        <v>59</v>
      </c>
      <c r="D35" s="21" t="s">
        <v>60</v>
      </c>
      <c r="E35" s="22" t="s">
        <v>61</v>
      </c>
      <c r="F35" s="58">
        <f t="shared" si="11"/>
        <v>311.93819999999999</v>
      </c>
      <c r="G35" s="58">
        <f t="shared" si="12"/>
        <v>174685.39199999999</v>
      </c>
      <c r="H35" s="58">
        <f t="shared" si="10"/>
        <v>349370.78399999999</v>
      </c>
      <c r="I35" s="21">
        <v>2</v>
      </c>
      <c r="J35" s="21" t="s">
        <v>18</v>
      </c>
      <c r="K35" s="21" t="s">
        <v>22</v>
      </c>
      <c r="L35" s="26">
        <v>781.8</v>
      </c>
      <c r="M35" s="12">
        <f t="shared" si="13"/>
        <v>234.53999999999996</v>
      </c>
      <c r="N35" s="25"/>
      <c r="O35" s="66">
        <v>349370.78399999999</v>
      </c>
    </row>
    <row r="36" spans="1:15" ht="18" customHeight="1" x14ac:dyDescent="0.25">
      <c r="A36" s="21">
        <v>29</v>
      </c>
      <c r="B36" s="21" t="s">
        <v>55</v>
      </c>
      <c r="C36" s="21" t="s">
        <v>62</v>
      </c>
      <c r="D36" s="21" t="s">
        <v>63</v>
      </c>
      <c r="E36" s="22" t="s">
        <v>64</v>
      </c>
      <c r="F36" s="58">
        <f t="shared" si="11"/>
        <v>5.5540800000000008</v>
      </c>
      <c r="G36" s="58">
        <f t="shared" si="12"/>
        <v>3110.2848000000004</v>
      </c>
      <c r="H36" s="58">
        <f t="shared" si="10"/>
        <v>6220.5696000000007</v>
      </c>
      <c r="I36" s="21">
        <v>2</v>
      </c>
      <c r="J36" s="21" t="s">
        <v>18</v>
      </c>
      <c r="K36" s="21" t="s">
        <v>22</v>
      </c>
      <c r="L36" s="26">
        <v>13.92</v>
      </c>
      <c r="M36" s="12">
        <f t="shared" si="13"/>
        <v>4.1760000000000002</v>
      </c>
      <c r="N36" s="25"/>
      <c r="O36" s="66">
        <v>6220.5696000000007</v>
      </c>
    </row>
    <row r="37" spans="1:15" ht="18" customHeight="1" x14ac:dyDescent="0.25">
      <c r="A37" s="21">
        <v>30</v>
      </c>
      <c r="B37" s="21" t="s">
        <v>55</v>
      </c>
      <c r="C37" s="21" t="s">
        <v>65</v>
      </c>
      <c r="D37" s="21" t="s">
        <v>66</v>
      </c>
      <c r="E37" s="22" t="s">
        <v>67</v>
      </c>
      <c r="F37" s="58">
        <f t="shared" si="11"/>
        <v>17.49615</v>
      </c>
      <c r="G37" s="58">
        <f t="shared" si="12"/>
        <v>9797.844000000001</v>
      </c>
      <c r="H37" s="58">
        <f t="shared" si="10"/>
        <v>9797.844000000001</v>
      </c>
      <c r="I37" s="21">
        <v>1</v>
      </c>
      <c r="J37" s="21" t="s">
        <v>18</v>
      </c>
      <c r="K37" s="21" t="s">
        <v>22</v>
      </c>
      <c r="L37" s="26">
        <v>43.85</v>
      </c>
      <c r="M37" s="12">
        <f t="shared" si="13"/>
        <v>13.154999999999999</v>
      </c>
      <c r="N37" s="25"/>
      <c r="O37" s="66">
        <v>9797.844000000001</v>
      </c>
    </row>
    <row r="38" spans="1:15" ht="18" customHeight="1" x14ac:dyDescent="0.25">
      <c r="A38" s="21">
        <v>31</v>
      </c>
      <c r="B38" s="21" t="s">
        <v>55</v>
      </c>
      <c r="C38" s="21" t="s">
        <v>68</v>
      </c>
      <c r="D38" s="21" t="s">
        <v>69</v>
      </c>
      <c r="E38" s="22" t="s">
        <v>70</v>
      </c>
      <c r="F38" s="58">
        <f t="shared" si="11"/>
        <v>42.8127</v>
      </c>
      <c r="G38" s="58">
        <f t="shared" si="12"/>
        <v>23975.112000000001</v>
      </c>
      <c r="H38" s="58">
        <f t="shared" si="10"/>
        <v>47950.224000000002</v>
      </c>
      <c r="I38" s="21">
        <v>2</v>
      </c>
      <c r="J38" s="21" t="s">
        <v>18</v>
      </c>
      <c r="K38" s="21" t="s">
        <v>22</v>
      </c>
      <c r="L38" s="26">
        <v>107.3</v>
      </c>
      <c r="M38" s="12">
        <f t="shared" si="13"/>
        <v>32.19</v>
      </c>
      <c r="N38" s="25"/>
      <c r="O38" s="66">
        <v>47950.224000000002</v>
      </c>
    </row>
    <row r="39" spans="1:15" ht="18" customHeight="1" x14ac:dyDescent="0.25">
      <c r="A39" s="21">
        <v>32</v>
      </c>
      <c r="B39" s="21" t="s">
        <v>55</v>
      </c>
      <c r="C39" s="21" t="s">
        <v>71</v>
      </c>
      <c r="D39" s="21" t="s">
        <v>72</v>
      </c>
      <c r="E39" s="22" t="s">
        <v>73</v>
      </c>
      <c r="F39" s="58">
        <f t="shared" si="11"/>
        <v>55.939799999999998</v>
      </c>
      <c r="G39" s="58">
        <f t="shared" si="12"/>
        <v>31326.288</v>
      </c>
      <c r="H39" s="58">
        <f t="shared" si="10"/>
        <v>62652.576000000001</v>
      </c>
      <c r="I39" s="21">
        <v>2</v>
      </c>
      <c r="J39" s="21" t="s">
        <v>18</v>
      </c>
      <c r="K39" s="21" t="s">
        <v>22</v>
      </c>
      <c r="L39" s="26">
        <v>140.19999999999999</v>
      </c>
      <c r="M39" s="12">
        <f t="shared" si="13"/>
        <v>42.059999999999995</v>
      </c>
      <c r="N39" s="25"/>
      <c r="O39" s="66">
        <v>62652.576000000001</v>
      </c>
    </row>
    <row r="40" spans="1:15" ht="18" customHeight="1" x14ac:dyDescent="0.25">
      <c r="A40" s="21">
        <v>33</v>
      </c>
      <c r="B40" s="21" t="s">
        <v>55</v>
      </c>
      <c r="C40" s="21" t="s">
        <v>71</v>
      </c>
      <c r="D40" s="21" t="s">
        <v>74</v>
      </c>
      <c r="E40" s="22" t="s">
        <v>75</v>
      </c>
      <c r="F40" s="58">
        <f t="shared" si="11"/>
        <v>4.5246599999999999</v>
      </c>
      <c r="G40" s="58">
        <f t="shared" si="12"/>
        <v>2533.8096</v>
      </c>
      <c r="H40" s="58">
        <f t="shared" si="10"/>
        <v>2533.8096</v>
      </c>
      <c r="I40" s="21">
        <v>1</v>
      </c>
      <c r="J40" s="21" t="s">
        <v>18</v>
      </c>
      <c r="K40" s="21" t="s">
        <v>22</v>
      </c>
      <c r="L40" s="26">
        <v>11.34</v>
      </c>
      <c r="M40" s="12">
        <f t="shared" si="13"/>
        <v>3.4019999999999997</v>
      </c>
      <c r="N40" s="25"/>
      <c r="O40" s="66">
        <v>2533.8096</v>
      </c>
    </row>
    <row r="41" spans="1:15" ht="18" customHeight="1" x14ac:dyDescent="0.25">
      <c r="A41" s="21">
        <v>34</v>
      </c>
      <c r="B41" s="21" t="s">
        <v>55</v>
      </c>
      <c r="C41" s="21" t="s">
        <v>76</v>
      </c>
      <c r="D41" s="21" t="s">
        <v>77</v>
      </c>
      <c r="E41" s="22" t="s">
        <v>78</v>
      </c>
      <c r="F41" s="58">
        <f t="shared" si="11"/>
        <v>3.6508500000000002</v>
      </c>
      <c r="G41" s="58">
        <f t="shared" si="12"/>
        <v>2044.4760000000001</v>
      </c>
      <c r="H41" s="58">
        <f t="shared" si="10"/>
        <v>2044.4760000000001</v>
      </c>
      <c r="I41" s="21">
        <v>1</v>
      </c>
      <c r="J41" s="21" t="s">
        <v>18</v>
      </c>
      <c r="K41" s="21" t="s">
        <v>22</v>
      </c>
      <c r="L41" s="26">
        <v>9.15</v>
      </c>
      <c r="M41" s="12">
        <f t="shared" si="13"/>
        <v>2.7450000000000001</v>
      </c>
      <c r="N41" s="25"/>
      <c r="O41" s="66">
        <v>2044.4760000000001</v>
      </c>
    </row>
    <row r="42" spans="1:15" ht="18" customHeight="1" x14ac:dyDescent="0.25">
      <c r="A42" s="21">
        <v>5</v>
      </c>
      <c r="B42" s="21" t="s">
        <v>55</v>
      </c>
      <c r="C42" s="21" t="s">
        <v>24</v>
      </c>
      <c r="D42" s="21" t="s">
        <v>147</v>
      </c>
      <c r="E42" s="22" t="s">
        <v>148</v>
      </c>
      <c r="F42" s="58">
        <f t="shared" si="11"/>
        <v>3.5231700000000004</v>
      </c>
      <c r="G42" s="58">
        <f t="shared" si="12"/>
        <v>1972.9752000000003</v>
      </c>
      <c r="H42" s="58">
        <f t="shared" si="10"/>
        <v>5918.9256000000005</v>
      </c>
      <c r="I42" s="21">
        <v>3</v>
      </c>
      <c r="J42" s="21" t="s">
        <v>18</v>
      </c>
      <c r="K42" s="21" t="s">
        <v>22</v>
      </c>
      <c r="L42" s="26">
        <v>8.83</v>
      </c>
      <c r="M42" s="12">
        <f t="shared" si="13"/>
        <v>2.649</v>
      </c>
      <c r="N42" s="25"/>
      <c r="O42" s="66">
        <v>5918.9256000000005</v>
      </c>
    </row>
    <row r="43" spans="1:15" ht="18" customHeight="1" x14ac:dyDescent="0.25">
      <c r="A43" s="21">
        <v>36</v>
      </c>
      <c r="B43" s="21" t="s">
        <v>55</v>
      </c>
      <c r="C43" s="21" t="s">
        <v>25</v>
      </c>
      <c r="D43" s="21" t="s">
        <v>26</v>
      </c>
      <c r="E43" s="22" t="s">
        <v>27</v>
      </c>
      <c r="F43" s="58">
        <f t="shared" si="11"/>
        <v>3.8383799999999999</v>
      </c>
      <c r="G43" s="58">
        <f t="shared" si="12"/>
        <v>2149.4928</v>
      </c>
      <c r="H43" s="58">
        <f t="shared" si="10"/>
        <v>2149.4928</v>
      </c>
      <c r="I43" s="6">
        <v>1</v>
      </c>
      <c r="J43" s="21" t="s">
        <v>18</v>
      </c>
      <c r="K43" s="21" t="s">
        <v>22</v>
      </c>
      <c r="L43" s="26">
        <v>9.6199999999999992</v>
      </c>
      <c r="M43" s="12">
        <f t="shared" si="13"/>
        <v>2.8859999999999997</v>
      </c>
      <c r="N43" s="25"/>
      <c r="O43" s="66">
        <v>2149.4928</v>
      </c>
    </row>
    <row r="44" spans="1:15" ht="18" customHeight="1" x14ac:dyDescent="0.25">
      <c r="A44" s="21">
        <v>37</v>
      </c>
      <c r="B44" s="21" t="s">
        <v>55</v>
      </c>
      <c r="C44" s="21" t="s">
        <v>25</v>
      </c>
      <c r="D44" s="21" t="s">
        <v>28</v>
      </c>
      <c r="E44" s="22" t="s">
        <v>29</v>
      </c>
      <c r="F44" s="58">
        <f t="shared" si="11"/>
        <v>3.8383799999999999</v>
      </c>
      <c r="G44" s="58">
        <f t="shared" si="12"/>
        <v>2149.4928</v>
      </c>
      <c r="H44" s="58">
        <f t="shared" si="10"/>
        <v>2149.4928</v>
      </c>
      <c r="I44" s="6">
        <v>1</v>
      </c>
      <c r="J44" s="21" t="s">
        <v>18</v>
      </c>
      <c r="K44" s="21" t="s">
        <v>22</v>
      </c>
      <c r="L44" s="26">
        <v>9.6199999999999992</v>
      </c>
      <c r="M44" s="12">
        <f t="shared" si="13"/>
        <v>2.8859999999999997</v>
      </c>
      <c r="N44" s="25"/>
      <c r="O44" s="66">
        <v>2149.4928</v>
      </c>
    </row>
    <row r="45" spans="1:15" ht="18" customHeight="1" x14ac:dyDescent="0.25">
      <c r="A45" s="21">
        <v>38</v>
      </c>
      <c r="B45" s="21" t="s">
        <v>55</v>
      </c>
      <c r="C45" s="21" t="s">
        <v>25</v>
      </c>
      <c r="D45" s="21" t="s">
        <v>30</v>
      </c>
      <c r="E45" s="22" t="s">
        <v>31</v>
      </c>
      <c r="F45" s="58">
        <f t="shared" si="11"/>
        <v>3.8383799999999999</v>
      </c>
      <c r="G45" s="58">
        <f t="shared" si="12"/>
        <v>2149.4928</v>
      </c>
      <c r="H45" s="58">
        <f t="shared" si="10"/>
        <v>2149.4928</v>
      </c>
      <c r="I45" s="6">
        <v>1</v>
      </c>
      <c r="J45" s="21" t="s">
        <v>18</v>
      </c>
      <c r="K45" s="21" t="s">
        <v>22</v>
      </c>
      <c r="L45" s="26">
        <v>9.6199999999999992</v>
      </c>
      <c r="M45" s="12">
        <f t="shared" si="13"/>
        <v>2.8859999999999997</v>
      </c>
      <c r="N45" s="25"/>
      <c r="O45" s="66">
        <v>2149.4928</v>
      </c>
    </row>
    <row r="46" spans="1:15" ht="18" customHeight="1" x14ac:dyDescent="0.25">
      <c r="A46" s="21">
        <v>39</v>
      </c>
      <c r="B46" s="21" t="s">
        <v>55</v>
      </c>
      <c r="C46" s="21" t="s">
        <v>32</v>
      </c>
      <c r="D46" s="21" t="s">
        <v>143</v>
      </c>
      <c r="E46" s="22" t="s">
        <v>144</v>
      </c>
      <c r="F46" s="60">
        <v>80000</v>
      </c>
      <c r="G46" s="58">
        <f>F46</f>
        <v>80000</v>
      </c>
      <c r="H46" s="58">
        <f t="shared" si="10"/>
        <v>160000</v>
      </c>
      <c r="I46" s="21">
        <v>2</v>
      </c>
      <c r="J46" s="21" t="s">
        <v>18</v>
      </c>
      <c r="K46" s="21" t="s">
        <v>33</v>
      </c>
      <c r="L46" s="23"/>
      <c r="M46" s="24"/>
      <c r="N46" s="25"/>
      <c r="O46" s="66">
        <v>160000</v>
      </c>
    </row>
    <row r="47" spans="1:15" ht="18" customHeight="1" x14ac:dyDescent="0.25">
      <c r="A47" s="21">
        <v>40</v>
      </c>
      <c r="B47" s="21" t="s">
        <v>55</v>
      </c>
      <c r="C47" s="21" t="s">
        <v>34</v>
      </c>
      <c r="D47" s="21" t="s">
        <v>35</v>
      </c>
      <c r="E47" s="22" t="s">
        <v>36</v>
      </c>
      <c r="F47" s="58">
        <v>6500</v>
      </c>
      <c r="G47" s="58">
        <f t="shared" ref="G47:G50" si="14">F47</f>
        <v>6500</v>
      </c>
      <c r="H47" s="58">
        <f t="shared" si="10"/>
        <v>13000</v>
      </c>
      <c r="I47" s="21">
        <v>2</v>
      </c>
      <c r="J47" s="21" t="s">
        <v>18</v>
      </c>
      <c r="K47" s="6" t="s">
        <v>140</v>
      </c>
      <c r="L47" s="23"/>
      <c r="M47" s="24"/>
      <c r="N47" s="25"/>
      <c r="O47" s="66">
        <v>13000</v>
      </c>
    </row>
    <row r="48" spans="1:15" ht="18" customHeight="1" x14ac:dyDescent="0.25">
      <c r="A48" s="21">
        <v>41</v>
      </c>
      <c r="B48" s="21" t="s">
        <v>55</v>
      </c>
      <c r="C48" s="21" t="s">
        <v>37</v>
      </c>
      <c r="D48" s="21" t="s">
        <v>79</v>
      </c>
      <c r="E48" s="22" t="s">
        <v>80</v>
      </c>
      <c r="F48" s="58">
        <v>6500</v>
      </c>
      <c r="G48" s="58">
        <f t="shared" si="14"/>
        <v>6500</v>
      </c>
      <c r="H48" s="58">
        <f t="shared" si="10"/>
        <v>39000</v>
      </c>
      <c r="I48" s="21">
        <v>6</v>
      </c>
      <c r="J48" s="21" t="s">
        <v>18</v>
      </c>
      <c r="K48" s="6" t="s">
        <v>140</v>
      </c>
      <c r="L48" s="23"/>
      <c r="M48" s="24"/>
      <c r="N48" s="25"/>
      <c r="O48" s="66">
        <v>39000</v>
      </c>
    </row>
    <row r="49" spans="1:15" ht="18" customHeight="1" x14ac:dyDescent="0.25">
      <c r="A49" s="21">
        <v>42</v>
      </c>
      <c r="B49" s="21" t="s">
        <v>55</v>
      </c>
      <c r="C49" s="21" t="s">
        <v>40</v>
      </c>
      <c r="D49" s="21" t="s">
        <v>41</v>
      </c>
      <c r="E49" s="22" t="s">
        <v>42</v>
      </c>
      <c r="F49" s="58">
        <v>1450</v>
      </c>
      <c r="G49" s="58">
        <f t="shared" si="14"/>
        <v>1450</v>
      </c>
      <c r="H49" s="58">
        <f t="shared" si="10"/>
        <v>1450</v>
      </c>
      <c r="I49" s="21">
        <v>1</v>
      </c>
      <c r="J49" s="21" t="s">
        <v>18</v>
      </c>
      <c r="K49" s="6" t="s">
        <v>140</v>
      </c>
      <c r="L49" s="23"/>
      <c r="M49" s="24"/>
      <c r="N49" s="25"/>
      <c r="O49" s="66">
        <v>1450</v>
      </c>
    </row>
    <row r="50" spans="1:15" ht="18" customHeight="1" x14ac:dyDescent="0.25">
      <c r="A50" s="21">
        <v>43</v>
      </c>
      <c r="B50" s="21" t="s">
        <v>55</v>
      </c>
      <c r="C50" s="21" t="s">
        <v>44</v>
      </c>
      <c r="D50" s="21" t="s">
        <v>45</v>
      </c>
      <c r="E50" s="22" t="s">
        <v>46</v>
      </c>
      <c r="F50" s="58">
        <v>1100</v>
      </c>
      <c r="G50" s="58">
        <f t="shared" si="14"/>
        <v>1100</v>
      </c>
      <c r="H50" s="58">
        <f t="shared" si="10"/>
        <v>1100</v>
      </c>
      <c r="I50" s="21">
        <v>1</v>
      </c>
      <c r="J50" s="21" t="s">
        <v>18</v>
      </c>
      <c r="K50" s="6" t="s">
        <v>140</v>
      </c>
      <c r="L50" s="23"/>
      <c r="M50" s="24"/>
      <c r="N50" s="25"/>
      <c r="O50" s="66">
        <v>1100</v>
      </c>
    </row>
    <row r="51" spans="1:15" ht="18" customHeight="1" x14ac:dyDescent="0.25">
      <c r="A51" s="21">
        <v>44</v>
      </c>
      <c r="B51" s="21" t="s">
        <v>55</v>
      </c>
      <c r="C51" s="21" t="s">
        <v>47</v>
      </c>
      <c r="D51" s="21" t="s">
        <v>48</v>
      </c>
      <c r="E51" s="54" t="s">
        <v>48</v>
      </c>
      <c r="F51" s="58">
        <f ca="1">OFFSET(F51,1,2)</f>
        <v>48000</v>
      </c>
      <c r="G51" s="58">
        <f ca="1">F51</f>
        <v>48000</v>
      </c>
      <c r="H51" s="58">
        <f t="shared" ca="1" si="10"/>
        <v>48000</v>
      </c>
      <c r="I51" s="21">
        <v>1</v>
      </c>
      <c r="J51" s="6" t="s">
        <v>18</v>
      </c>
      <c r="K51" s="21" t="s">
        <v>47</v>
      </c>
      <c r="L51" s="23"/>
      <c r="M51" s="24"/>
      <c r="N51" s="25"/>
      <c r="O51" s="66">
        <v>48000</v>
      </c>
    </row>
    <row r="52" spans="1:15" ht="20.100000000000001" customHeight="1" x14ac:dyDescent="0.25">
      <c r="A52" s="21">
        <v>45</v>
      </c>
      <c r="B52" s="21" t="s">
        <v>55</v>
      </c>
      <c r="C52" s="21" t="s">
        <v>49</v>
      </c>
      <c r="D52" s="21" t="s">
        <v>50</v>
      </c>
      <c r="E52" s="22" t="s">
        <v>51</v>
      </c>
      <c r="F52" s="60">
        <v>8</v>
      </c>
      <c r="G52" s="58">
        <v>100</v>
      </c>
      <c r="H52" s="58">
        <f t="shared" si="10"/>
        <v>48000</v>
      </c>
      <c r="I52" s="6">
        <f>60*F52</f>
        <v>480</v>
      </c>
      <c r="J52" s="6" t="s">
        <v>18</v>
      </c>
      <c r="K52" s="21" t="s">
        <v>49</v>
      </c>
      <c r="L52" s="23"/>
      <c r="M52" s="24"/>
      <c r="N52" s="25"/>
      <c r="O52" s="66">
        <v>48000</v>
      </c>
    </row>
    <row r="53" spans="1:15" ht="20.100000000000001" customHeight="1" x14ac:dyDescent="0.25">
      <c r="A53" s="21"/>
      <c r="B53" s="69" t="s">
        <v>157</v>
      </c>
      <c r="C53" s="21"/>
      <c r="D53" s="21"/>
      <c r="E53" s="22"/>
      <c r="F53" s="60"/>
      <c r="G53" s="58"/>
      <c r="H53" s="58">
        <f ca="1">SUBTOTAL(9,H32:H52)</f>
        <v>1012464.8552000002</v>
      </c>
      <c r="I53" s="6"/>
      <c r="J53" s="6"/>
      <c r="K53" s="21"/>
      <c r="L53" s="23"/>
      <c r="M53" s="24"/>
      <c r="N53" s="25"/>
      <c r="O53" s="66">
        <v>1012464.8552000002</v>
      </c>
    </row>
    <row r="54" spans="1:15" ht="18" customHeight="1" x14ac:dyDescent="0.25">
      <c r="A54" s="2">
        <v>46</v>
      </c>
      <c r="B54" s="2" t="s">
        <v>81</v>
      </c>
      <c r="C54" s="2"/>
      <c r="D54" s="2"/>
      <c r="E54" s="3" t="s">
        <v>82</v>
      </c>
      <c r="F54" s="57"/>
      <c r="G54" s="57"/>
      <c r="H54" s="57"/>
      <c r="I54" s="2">
        <v>1</v>
      </c>
      <c r="J54" s="2" t="s">
        <v>13</v>
      </c>
      <c r="K54" s="2" t="s">
        <v>14</v>
      </c>
      <c r="L54" s="4"/>
      <c r="M54" s="4"/>
      <c r="N54" s="5"/>
    </row>
    <row r="55" spans="1:15" ht="18" customHeight="1" x14ac:dyDescent="0.25">
      <c r="A55" s="27">
        <v>47</v>
      </c>
      <c r="B55" s="27" t="s">
        <v>81</v>
      </c>
      <c r="C55" s="27" t="s">
        <v>15</v>
      </c>
      <c r="D55" s="27" t="s">
        <v>153</v>
      </c>
      <c r="E55" s="28" t="s">
        <v>154</v>
      </c>
      <c r="F55" s="58">
        <v>55000</v>
      </c>
      <c r="G55" s="58">
        <f>0.6*F55</f>
        <v>33000</v>
      </c>
      <c r="H55" s="58">
        <f t="shared" ref="H55:H66" si="15">G55*I55</f>
        <v>33000</v>
      </c>
      <c r="I55" s="27">
        <v>1</v>
      </c>
      <c r="J55" s="27" t="s">
        <v>18</v>
      </c>
      <c r="K55" s="6" t="s">
        <v>141</v>
      </c>
      <c r="L55" s="29"/>
      <c r="M55" s="30"/>
      <c r="N55" s="31"/>
      <c r="O55" s="66">
        <v>33000</v>
      </c>
    </row>
    <row r="56" spans="1:15" ht="18" customHeight="1" x14ac:dyDescent="0.25">
      <c r="A56" s="27">
        <v>48</v>
      </c>
      <c r="B56" s="27" t="s">
        <v>81</v>
      </c>
      <c r="C56" s="27" t="s">
        <v>19</v>
      </c>
      <c r="D56" s="27" t="s">
        <v>57</v>
      </c>
      <c r="E56" s="28" t="s">
        <v>58</v>
      </c>
      <c r="F56" s="58">
        <f t="shared" ref="F56:F62" si="16">1.33*M56</f>
        <v>98.193899999999999</v>
      </c>
      <c r="G56" s="58">
        <f t="shared" ref="G56:G62" si="17">F56*560</f>
        <v>54988.584000000003</v>
      </c>
      <c r="H56" s="58">
        <f t="shared" si="15"/>
        <v>54988.584000000003</v>
      </c>
      <c r="I56" s="27">
        <v>1</v>
      </c>
      <c r="J56" s="27" t="s">
        <v>18</v>
      </c>
      <c r="K56" s="27" t="s">
        <v>22</v>
      </c>
      <c r="L56" s="32">
        <v>246.1</v>
      </c>
      <c r="M56" s="12">
        <f t="shared" ref="M56:M62" si="18">0.3*L56</f>
        <v>73.83</v>
      </c>
      <c r="N56" s="31"/>
      <c r="O56" s="66">
        <v>54988.584000000003</v>
      </c>
    </row>
    <row r="57" spans="1:15" ht="18" customHeight="1" x14ac:dyDescent="0.25">
      <c r="A57" s="27">
        <v>49</v>
      </c>
      <c r="B57" s="27" t="s">
        <v>81</v>
      </c>
      <c r="C57" s="27" t="s">
        <v>19</v>
      </c>
      <c r="D57" s="14" t="s">
        <v>145</v>
      </c>
      <c r="E57" s="15" t="s">
        <v>146</v>
      </c>
      <c r="F57" s="58">
        <f t="shared" si="16"/>
        <v>98.991900000000001</v>
      </c>
      <c r="G57" s="58">
        <f t="shared" si="17"/>
        <v>55435.464</v>
      </c>
      <c r="H57" s="58">
        <f t="shared" si="15"/>
        <v>55435.464</v>
      </c>
      <c r="I57" s="27">
        <v>1</v>
      </c>
      <c r="J57" s="27" t="s">
        <v>18</v>
      </c>
      <c r="K57" s="27" t="s">
        <v>22</v>
      </c>
      <c r="L57" s="16">
        <v>248.1</v>
      </c>
      <c r="M57" s="12">
        <f t="shared" si="18"/>
        <v>74.429999999999993</v>
      </c>
      <c r="N57" s="33" t="s">
        <v>54</v>
      </c>
      <c r="O57" s="66">
        <v>55435.464</v>
      </c>
    </row>
    <row r="58" spans="1:15" ht="18" customHeight="1" x14ac:dyDescent="0.25">
      <c r="A58" s="27">
        <v>50</v>
      </c>
      <c r="B58" s="27" t="s">
        <v>81</v>
      </c>
      <c r="C58" s="27" t="s">
        <v>19</v>
      </c>
      <c r="D58" s="14" t="s">
        <v>145</v>
      </c>
      <c r="E58" s="15" t="s">
        <v>146</v>
      </c>
      <c r="F58" s="58">
        <f t="shared" si="16"/>
        <v>98.991900000000001</v>
      </c>
      <c r="G58" s="58">
        <f t="shared" si="17"/>
        <v>55435.464</v>
      </c>
      <c r="H58" s="58">
        <f t="shared" si="15"/>
        <v>221741.856</v>
      </c>
      <c r="I58" s="27">
        <v>4</v>
      </c>
      <c r="J58" s="27" t="s">
        <v>18</v>
      </c>
      <c r="K58" s="27" t="s">
        <v>22</v>
      </c>
      <c r="L58" s="16">
        <v>248.1</v>
      </c>
      <c r="M58" s="12">
        <f t="shared" si="18"/>
        <v>74.429999999999993</v>
      </c>
      <c r="N58" s="33" t="s">
        <v>54</v>
      </c>
      <c r="O58" s="66">
        <v>221741.856</v>
      </c>
    </row>
    <row r="59" spans="1:15" ht="18" customHeight="1" x14ac:dyDescent="0.25">
      <c r="A59" s="27">
        <v>5</v>
      </c>
      <c r="B59" s="27" t="s">
        <v>81</v>
      </c>
      <c r="C59" s="27" t="s">
        <v>24</v>
      </c>
      <c r="D59" s="27" t="s">
        <v>147</v>
      </c>
      <c r="E59" s="28" t="s">
        <v>148</v>
      </c>
      <c r="F59" s="58">
        <f t="shared" si="16"/>
        <v>3.5231700000000004</v>
      </c>
      <c r="G59" s="58">
        <f t="shared" si="17"/>
        <v>1972.9752000000003</v>
      </c>
      <c r="H59" s="58">
        <f t="shared" si="15"/>
        <v>5918.9256000000005</v>
      </c>
      <c r="I59" s="27">
        <v>3</v>
      </c>
      <c r="J59" s="27" t="s">
        <v>18</v>
      </c>
      <c r="K59" s="27" t="s">
        <v>22</v>
      </c>
      <c r="L59" s="32">
        <v>8.83</v>
      </c>
      <c r="M59" s="12">
        <f t="shared" si="18"/>
        <v>2.649</v>
      </c>
      <c r="N59" s="31"/>
      <c r="O59" s="66">
        <v>5918.9256000000005</v>
      </c>
    </row>
    <row r="60" spans="1:15" ht="18" customHeight="1" x14ac:dyDescent="0.25">
      <c r="A60" s="21">
        <v>36</v>
      </c>
      <c r="B60" s="27" t="s">
        <v>81</v>
      </c>
      <c r="C60" s="21" t="s">
        <v>25</v>
      </c>
      <c r="D60" s="21" t="s">
        <v>26</v>
      </c>
      <c r="E60" s="22" t="s">
        <v>27</v>
      </c>
      <c r="F60" s="58">
        <f t="shared" si="16"/>
        <v>3.8383799999999999</v>
      </c>
      <c r="G60" s="58">
        <f t="shared" si="17"/>
        <v>2149.4928</v>
      </c>
      <c r="H60" s="58">
        <f t="shared" si="15"/>
        <v>2149.4928</v>
      </c>
      <c r="I60" s="6">
        <v>1</v>
      </c>
      <c r="J60" s="21" t="s">
        <v>18</v>
      </c>
      <c r="K60" s="21" t="s">
        <v>22</v>
      </c>
      <c r="L60" s="26">
        <v>9.6199999999999992</v>
      </c>
      <c r="M60" s="12">
        <f t="shared" si="18"/>
        <v>2.8859999999999997</v>
      </c>
      <c r="N60" s="25"/>
      <c r="O60" s="66">
        <v>2149.4928</v>
      </c>
    </row>
    <row r="61" spans="1:15" ht="18" customHeight="1" x14ac:dyDescent="0.25">
      <c r="A61" s="21">
        <v>37</v>
      </c>
      <c r="B61" s="27" t="s">
        <v>81</v>
      </c>
      <c r="C61" s="21" t="s">
        <v>25</v>
      </c>
      <c r="D61" s="21" t="s">
        <v>28</v>
      </c>
      <c r="E61" s="22" t="s">
        <v>29</v>
      </c>
      <c r="F61" s="58">
        <f t="shared" si="16"/>
        <v>3.8383799999999999</v>
      </c>
      <c r="G61" s="58">
        <f t="shared" si="17"/>
        <v>2149.4928</v>
      </c>
      <c r="H61" s="58">
        <f t="shared" si="15"/>
        <v>2149.4928</v>
      </c>
      <c r="I61" s="6">
        <v>1</v>
      </c>
      <c r="J61" s="21" t="s">
        <v>18</v>
      </c>
      <c r="K61" s="21" t="s">
        <v>22</v>
      </c>
      <c r="L61" s="26">
        <v>9.6199999999999992</v>
      </c>
      <c r="M61" s="12">
        <f t="shared" si="18"/>
        <v>2.8859999999999997</v>
      </c>
      <c r="N61" s="25"/>
      <c r="O61" s="66">
        <v>2149.4928</v>
      </c>
    </row>
    <row r="62" spans="1:15" ht="18" customHeight="1" x14ac:dyDescent="0.25">
      <c r="A62" s="21">
        <v>38</v>
      </c>
      <c r="B62" s="27" t="s">
        <v>81</v>
      </c>
      <c r="C62" s="21" t="s">
        <v>25</v>
      </c>
      <c r="D62" s="21" t="s">
        <v>30</v>
      </c>
      <c r="E62" s="22" t="s">
        <v>31</v>
      </c>
      <c r="F62" s="58">
        <f t="shared" si="16"/>
        <v>3.8383799999999999</v>
      </c>
      <c r="G62" s="58">
        <f t="shared" si="17"/>
        <v>2149.4928</v>
      </c>
      <c r="H62" s="58">
        <f t="shared" si="15"/>
        <v>2149.4928</v>
      </c>
      <c r="I62" s="6">
        <v>1</v>
      </c>
      <c r="J62" s="21" t="s">
        <v>18</v>
      </c>
      <c r="K62" s="21" t="s">
        <v>22</v>
      </c>
      <c r="L62" s="26">
        <v>9.6199999999999992</v>
      </c>
      <c r="M62" s="12">
        <f t="shared" si="18"/>
        <v>2.8859999999999997</v>
      </c>
      <c r="N62" s="25"/>
      <c r="O62" s="66">
        <v>2149.4928</v>
      </c>
    </row>
    <row r="63" spans="1:15" ht="18" customHeight="1" x14ac:dyDescent="0.25">
      <c r="A63" s="27">
        <v>52</v>
      </c>
      <c r="B63" s="27" t="s">
        <v>81</v>
      </c>
      <c r="C63" s="27" t="s">
        <v>40</v>
      </c>
      <c r="D63" s="27" t="s">
        <v>41</v>
      </c>
      <c r="E63" s="28" t="s">
        <v>42</v>
      </c>
      <c r="F63" s="58">
        <v>1450</v>
      </c>
      <c r="G63" s="58">
        <f t="shared" ref="G63:G64" si="19">F63</f>
        <v>1450</v>
      </c>
      <c r="H63" s="58">
        <f t="shared" si="15"/>
        <v>1450</v>
      </c>
      <c r="I63" s="27">
        <v>1</v>
      </c>
      <c r="J63" s="27" t="s">
        <v>18</v>
      </c>
      <c r="K63" s="6" t="s">
        <v>140</v>
      </c>
      <c r="L63" s="29"/>
      <c r="M63" s="30"/>
      <c r="N63" s="31"/>
      <c r="O63" s="66">
        <v>1450</v>
      </c>
    </row>
    <row r="64" spans="1:15" ht="18" customHeight="1" x14ac:dyDescent="0.25">
      <c r="A64" s="27">
        <v>53</v>
      </c>
      <c r="B64" s="27" t="s">
        <v>81</v>
      </c>
      <c r="C64" s="27" t="s">
        <v>44</v>
      </c>
      <c r="D64" s="27" t="s">
        <v>45</v>
      </c>
      <c r="E64" s="28" t="s">
        <v>46</v>
      </c>
      <c r="F64" s="58">
        <v>1100</v>
      </c>
      <c r="G64" s="58">
        <f t="shared" si="19"/>
        <v>1100</v>
      </c>
      <c r="H64" s="58">
        <f t="shared" si="15"/>
        <v>1100</v>
      </c>
      <c r="I64" s="27">
        <v>1</v>
      </c>
      <c r="J64" s="27" t="s">
        <v>18</v>
      </c>
      <c r="K64" s="6" t="s">
        <v>140</v>
      </c>
      <c r="L64" s="29"/>
      <c r="M64" s="30"/>
      <c r="N64" s="31"/>
      <c r="O64" s="66">
        <v>1100</v>
      </c>
    </row>
    <row r="65" spans="1:15" ht="18" customHeight="1" x14ac:dyDescent="0.25">
      <c r="A65" s="27">
        <v>54</v>
      </c>
      <c r="B65" s="27" t="s">
        <v>81</v>
      </c>
      <c r="C65" s="27" t="s">
        <v>47</v>
      </c>
      <c r="D65" s="27" t="s">
        <v>48</v>
      </c>
      <c r="E65" s="54" t="s">
        <v>48</v>
      </c>
      <c r="F65" s="58">
        <f ca="1">OFFSET(F65,1,2)</f>
        <v>24000</v>
      </c>
      <c r="G65" s="58">
        <f ca="1">F65</f>
        <v>24000</v>
      </c>
      <c r="H65" s="58">
        <f t="shared" ca="1" si="15"/>
        <v>24000</v>
      </c>
      <c r="I65" s="27">
        <v>1</v>
      </c>
      <c r="J65" s="6" t="s">
        <v>18</v>
      </c>
      <c r="K65" s="27" t="s">
        <v>47</v>
      </c>
      <c r="L65" s="29"/>
      <c r="M65" s="30"/>
      <c r="N65" s="31"/>
      <c r="O65" s="66">
        <v>24000</v>
      </c>
    </row>
    <row r="66" spans="1:15" ht="20.100000000000001" customHeight="1" x14ac:dyDescent="0.25">
      <c r="A66" s="27">
        <v>55</v>
      </c>
      <c r="B66" s="27" t="s">
        <v>81</v>
      </c>
      <c r="C66" s="27" t="s">
        <v>49</v>
      </c>
      <c r="D66" s="27" t="s">
        <v>50</v>
      </c>
      <c r="E66" s="28" t="s">
        <v>51</v>
      </c>
      <c r="F66" s="61">
        <v>4</v>
      </c>
      <c r="G66" s="58">
        <v>100</v>
      </c>
      <c r="H66" s="58">
        <f t="shared" si="15"/>
        <v>24000</v>
      </c>
      <c r="I66" s="6">
        <f>60*F66</f>
        <v>240</v>
      </c>
      <c r="J66" s="6" t="s">
        <v>18</v>
      </c>
      <c r="K66" s="27" t="s">
        <v>49</v>
      </c>
      <c r="L66" s="29"/>
      <c r="M66" s="30"/>
      <c r="N66" s="31"/>
      <c r="O66" s="66">
        <v>24000</v>
      </c>
    </row>
    <row r="67" spans="1:15" ht="20.100000000000001" customHeight="1" x14ac:dyDescent="0.25">
      <c r="A67" s="27"/>
      <c r="B67" s="70" t="s">
        <v>158</v>
      </c>
      <c r="C67" s="27"/>
      <c r="D67" s="27"/>
      <c r="E67" s="28"/>
      <c r="F67" s="61"/>
      <c r="G67" s="58"/>
      <c r="H67" s="58">
        <f ca="1">SUBTOTAL(9,H54:H66)</f>
        <v>428083.30800000002</v>
      </c>
      <c r="I67" s="6"/>
      <c r="J67" s="6"/>
      <c r="K67" s="27"/>
      <c r="L67" s="29"/>
      <c r="M67" s="30"/>
      <c r="N67" s="31"/>
      <c r="O67" s="66">
        <v>428083.30800000002</v>
      </c>
    </row>
    <row r="68" spans="1:15" ht="18" customHeight="1" x14ac:dyDescent="0.25">
      <c r="A68" s="2">
        <v>56</v>
      </c>
      <c r="B68" s="2" t="s">
        <v>83</v>
      </c>
      <c r="C68" s="2"/>
      <c r="D68" s="2"/>
      <c r="E68" s="3" t="s">
        <v>84</v>
      </c>
      <c r="F68" s="57"/>
      <c r="G68" s="57"/>
      <c r="H68" s="57"/>
      <c r="I68" s="2">
        <v>1</v>
      </c>
      <c r="J68" s="2" t="s">
        <v>13</v>
      </c>
      <c r="K68" s="2" t="s">
        <v>14</v>
      </c>
      <c r="L68" s="4"/>
      <c r="M68" s="4"/>
      <c r="N68" s="5"/>
    </row>
    <row r="69" spans="1:15" ht="20.100000000000001" customHeight="1" x14ac:dyDescent="0.25">
      <c r="A69" s="34">
        <v>57</v>
      </c>
      <c r="B69" s="34" t="s">
        <v>83</v>
      </c>
      <c r="C69" s="34" t="s">
        <v>85</v>
      </c>
      <c r="D69" s="34" t="s">
        <v>86</v>
      </c>
      <c r="E69" s="35" t="s">
        <v>87</v>
      </c>
      <c r="F69" s="62"/>
      <c r="G69" s="62"/>
      <c r="H69" s="62"/>
      <c r="I69" s="34">
        <v>1</v>
      </c>
      <c r="J69" s="34" t="s">
        <v>13</v>
      </c>
      <c r="K69" s="34" t="s">
        <v>43</v>
      </c>
      <c r="L69" s="36"/>
      <c r="M69" s="37"/>
      <c r="N69" s="38"/>
    </row>
    <row r="70" spans="1:15" ht="20.100000000000001" customHeight="1" x14ac:dyDescent="0.25">
      <c r="A70" s="34"/>
      <c r="B70" s="71" t="s">
        <v>159</v>
      </c>
      <c r="C70" s="34"/>
      <c r="D70" s="34"/>
      <c r="E70" s="35"/>
      <c r="F70" s="62"/>
      <c r="G70" s="62"/>
      <c r="H70" s="62">
        <f>SUBTOTAL(9,H68:H69)</f>
        <v>0</v>
      </c>
      <c r="I70" s="34"/>
      <c r="J70" s="34"/>
      <c r="K70" s="34"/>
      <c r="L70" s="36"/>
      <c r="M70" s="37"/>
      <c r="N70" s="38"/>
      <c r="O70" s="66">
        <v>0</v>
      </c>
    </row>
    <row r="71" spans="1:15" ht="18" customHeight="1" x14ac:dyDescent="0.25">
      <c r="A71" s="2">
        <v>58</v>
      </c>
      <c r="B71" s="2" t="s">
        <v>88</v>
      </c>
      <c r="C71" s="2"/>
      <c r="D71" s="2"/>
      <c r="E71" s="3" t="s">
        <v>89</v>
      </c>
      <c r="F71" s="57"/>
      <c r="G71" s="57"/>
      <c r="H71" s="57"/>
      <c r="I71" s="2">
        <v>1</v>
      </c>
      <c r="J71" s="2" t="s">
        <v>13</v>
      </c>
      <c r="K71" s="2" t="s">
        <v>14</v>
      </c>
      <c r="L71" s="4"/>
      <c r="M71" s="4"/>
      <c r="N71" s="5"/>
    </row>
    <row r="72" spans="1:15" ht="20.100000000000001" customHeight="1" x14ac:dyDescent="0.25">
      <c r="A72" s="34">
        <v>59</v>
      </c>
      <c r="B72" s="34" t="s">
        <v>88</v>
      </c>
      <c r="C72" s="34" t="s">
        <v>85</v>
      </c>
      <c r="D72" s="34" t="s">
        <v>86</v>
      </c>
      <c r="E72" s="35" t="s">
        <v>87</v>
      </c>
      <c r="F72" s="62"/>
      <c r="G72" s="62"/>
      <c r="H72" s="62"/>
      <c r="I72" s="34">
        <v>1</v>
      </c>
      <c r="J72" s="34" t="s">
        <v>13</v>
      </c>
      <c r="K72" s="34" t="s">
        <v>43</v>
      </c>
      <c r="L72" s="36"/>
      <c r="M72" s="37"/>
      <c r="N72" s="38"/>
    </row>
    <row r="73" spans="1:15" ht="20.100000000000001" customHeight="1" x14ac:dyDescent="0.25">
      <c r="A73" s="34"/>
      <c r="B73" s="71" t="s">
        <v>160</v>
      </c>
      <c r="C73" s="34"/>
      <c r="D73" s="34"/>
      <c r="E73" s="35"/>
      <c r="F73" s="62"/>
      <c r="G73" s="62"/>
      <c r="H73" s="62">
        <f>SUBTOTAL(9,H71:H72)</f>
        <v>0</v>
      </c>
      <c r="I73" s="34"/>
      <c r="J73" s="34"/>
      <c r="K73" s="34"/>
      <c r="L73" s="36"/>
      <c r="M73" s="37"/>
      <c r="N73" s="38"/>
      <c r="O73" s="66">
        <v>0</v>
      </c>
    </row>
    <row r="74" spans="1:15" ht="18" customHeight="1" x14ac:dyDescent="0.25">
      <c r="A74" s="2">
        <v>60</v>
      </c>
      <c r="B74" s="2" t="s">
        <v>90</v>
      </c>
      <c r="C74" s="2"/>
      <c r="D74" s="2"/>
      <c r="E74" s="3" t="s">
        <v>91</v>
      </c>
      <c r="F74" s="57"/>
      <c r="G74" s="57"/>
      <c r="H74" s="57"/>
      <c r="I74" s="2">
        <v>1</v>
      </c>
      <c r="J74" s="2" t="s">
        <v>13</v>
      </c>
      <c r="K74" s="2" t="s">
        <v>14</v>
      </c>
      <c r="L74" s="4"/>
      <c r="M74" s="4"/>
      <c r="N74" s="5"/>
    </row>
    <row r="75" spans="1:15" ht="20.100000000000001" customHeight="1" x14ac:dyDescent="0.25">
      <c r="A75" s="34">
        <v>61</v>
      </c>
      <c r="B75" s="34" t="s">
        <v>90</v>
      </c>
      <c r="C75" s="34" t="s">
        <v>85</v>
      </c>
      <c r="D75" s="34" t="s">
        <v>86</v>
      </c>
      <c r="E75" s="35" t="s">
        <v>92</v>
      </c>
      <c r="F75" s="62"/>
      <c r="G75" s="62"/>
      <c r="H75" s="62"/>
      <c r="I75" s="34">
        <v>1</v>
      </c>
      <c r="J75" s="34" t="s">
        <v>13</v>
      </c>
      <c r="K75" s="34" t="s">
        <v>43</v>
      </c>
      <c r="L75" s="36"/>
      <c r="M75" s="37"/>
      <c r="N75" s="38"/>
    </row>
    <row r="76" spans="1:15" ht="20.100000000000001" customHeight="1" x14ac:dyDescent="0.25">
      <c r="A76" s="34"/>
      <c r="B76" s="71" t="s">
        <v>161</v>
      </c>
      <c r="C76" s="34"/>
      <c r="D76" s="34"/>
      <c r="E76" s="35"/>
      <c r="F76" s="62"/>
      <c r="G76" s="62"/>
      <c r="H76" s="62">
        <f>SUBTOTAL(9,H74:H75)</f>
        <v>0</v>
      </c>
      <c r="I76" s="34"/>
      <c r="J76" s="34"/>
      <c r="K76" s="34"/>
      <c r="L76" s="36"/>
      <c r="M76" s="37"/>
      <c r="N76" s="38"/>
      <c r="O76" s="66">
        <v>0</v>
      </c>
    </row>
    <row r="77" spans="1:15" ht="18" customHeight="1" x14ac:dyDescent="0.25">
      <c r="A77" s="2">
        <v>62</v>
      </c>
      <c r="B77" s="2" t="s">
        <v>93</v>
      </c>
      <c r="C77" s="2"/>
      <c r="D77" s="2"/>
      <c r="E77" s="3" t="s">
        <v>94</v>
      </c>
      <c r="F77" s="57"/>
      <c r="G77" s="57"/>
      <c r="H77" s="57"/>
      <c r="I77" s="2">
        <v>1</v>
      </c>
      <c r="J77" s="2" t="s">
        <v>13</v>
      </c>
      <c r="K77" s="2" t="s">
        <v>14</v>
      </c>
      <c r="L77" s="4"/>
      <c r="M77" s="4"/>
      <c r="N77" s="5"/>
    </row>
    <row r="78" spans="1:15" ht="18" customHeight="1" x14ac:dyDescent="0.25">
      <c r="A78" s="39">
        <v>63</v>
      </c>
      <c r="B78" s="39" t="s">
        <v>93</v>
      </c>
      <c r="C78" s="39" t="s">
        <v>15</v>
      </c>
      <c r="D78" s="39" t="s">
        <v>151</v>
      </c>
      <c r="E78" s="15" t="s">
        <v>152</v>
      </c>
      <c r="F78" s="63">
        <v>26500</v>
      </c>
      <c r="G78" s="58">
        <f>0.6*F78</f>
        <v>15900</v>
      </c>
      <c r="H78" s="58">
        <f t="shared" ref="H78:H90" si="20">G78*I78</f>
        <v>15900</v>
      </c>
      <c r="I78" s="39">
        <v>1</v>
      </c>
      <c r="J78" s="39" t="s">
        <v>18</v>
      </c>
      <c r="K78" s="6" t="s">
        <v>141</v>
      </c>
      <c r="L78" s="41"/>
      <c r="M78" s="42"/>
      <c r="N78" s="43"/>
      <c r="O78" s="66">
        <v>15900</v>
      </c>
    </row>
    <row r="79" spans="1:15" ht="18" customHeight="1" x14ac:dyDescent="0.25">
      <c r="A79" s="39">
        <v>64</v>
      </c>
      <c r="B79" s="39" t="s">
        <v>93</v>
      </c>
      <c r="C79" s="39" t="s">
        <v>95</v>
      </c>
      <c r="D79" s="39" t="s">
        <v>96</v>
      </c>
      <c r="E79" s="40" t="s">
        <v>97</v>
      </c>
      <c r="F79" s="58">
        <f t="shared" ref="F79:F86" si="21">1.33*M79</f>
        <v>25.907070000000004</v>
      </c>
      <c r="G79" s="58">
        <f t="shared" ref="G79:G86" si="22">F79*560</f>
        <v>14507.959200000003</v>
      </c>
      <c r="H79" s="58">
        <f t="shared" si="20"/>
        <v>14507.959200000003</v>
      </c>
      <c r="I79" s="39">
        <v>1</v>
      </c>
      <c r="J79" s="39" t="s">
        <v>18</v>
      </c>
      <c r="K79" s="39" t="s">
        <v>22</v>
      </c>
      <c r="L79" s="44">
        <v>64.930000000000007</v>
      </c>
      <c r="M79" s="12">
        <f t="shared" ref="M79:M86" si="23">0.3*L79</f>
        <v>19.479000000000003</v>
      </c>
      <c r="N79" s="43"/>
      <c r="O79" s="66">
        <v>14507.959200000003</v>
      </c>
    </row>
    <row r="80" spans="1:15" ht="18" customHeight="1" x14ac:dyDescent="0.25">
      <c r="A80" s="39">
        <v>65</v>
      </c>
      <c r="B80" s="39" t="s">
        <v>93</v>
      </c>
      <c r="C80" s="39" t="s">
        <v>24</v>
      </c>
      <c r="D80" s="39" t="s">
        <v>98</v>
      </c>
      <c r="E80" s="40" t="s">
        <v>99</v>
      </c>
      <c r="F80" s="58">
        <f t="shared" si="21"/>
        <v>3.2279100000000001</v>
      </c>
      <c r="G80" s="58">
        <f t="shared" si="22"/>
        <v>1807.6296</v>
      </c>
      <c r="H80" s="58">
        <f t="shared" si="20"/>
        <v>12653.4072</v>
      </c>
      <c r="I80" s="39">
        <v>7</v>
      </c>
      <c r="J80" s="39" t="s">
        <v>18</v>
      </c>
      <c r="K80" s="39" t="s">
        <v>22</v>
      </c>
      <c r="L80" s="44">
        <v>8.09</v>
      </c>
      <c r="M80" s="12">
        <f t="shared" si="23"/>
        <v>2.427</v>
      </c>
      <c r="N80" s="43"/>
      <c r="O80" s="66">
        <v>12653.4072</v>
      </c>
    </row>
    <row r="81" spans="1:15" ht="18" customHeight="1" x14ac:dyDescent="0.25">
      <c r="A81" s="39">
        <v>66</v>
      </c>
      <c r="B81" s="39" t="s">
        <v>93</v>
      </c>
      <c r="C81" s="39" t="s">
        <v>100</v>
      </c>
      <c r="D81" s="39" t="s">
        <v>101</v>
      </c>
      <c r="E81" s="40" t="s">
        <v>102</v>
      </c>
      <c r="F81" s="58">
        <f t="shared" si="21"/>
        <v>34.964370000000002</v>
      </c>
      <c r="G81" s="58">
        <f t="shared" si="22"/>
        <v>19580.047200000001</v>
      </c>
      <c r="H81" s="58">
        <f t="shared" si="20"/>
        <v>97900.236000000004</v>
      </c>
      <c r="I81" s="39">
        <v>5</v>
      </c>
      <c r="J81" s="39" t="s">
        <v>18</v>
      </c>
      <c r="K81" s="39" t="s">
        <v>22</v>
      </c>
      <c r="L81" s="44">
        <v>87.63</v>
      </c>
      <c r="M81" s="12">
        <f t="shared" si="23"/>
        <v>26.288999999999998</v>
      </c>
      <c r="N81" s="43"/>
      <c r="O81" s="66">
        <v>97900.236000000004</v>
      </c>
    </row>
    <row r="82" spans="1:15" ht="18" customHeight="1" x14ac:dyDescent="0.25">
      <c r="A82" s="39">
        <v>67</v>
      </c>
      <c r="B82" s="39" t="s">
        <v>93</v>
      </c>
      <c r="C82" s="21" t="s">
        <v>117</v>
      </c>
      <c r="D82" s="39" t="s">
        <v>103</v>
      </c>
      <c r="E82" s="40" t="s">
        <v>104</v>
      </c>
      <c r="F82" s="58">
        <f t="shared" si="21"/>
        <v>52.109400000000001</v>
      </c>
      <c r="G82" s="58">
        <f t="shared" si="22"/>
        <v>29181.263999999999</v>
      </c>
      <c r="H82" s="58">
        <f t="shared" si="20"/>
        <v>29181.263999999999</v>
      </c>
      <c r="I82" s="39">
        <v>1</v>
      </c>
      <c r="J82" s="39" t="s">
        <v>18</v>
      </c>
      <c r="K82" s="39" t="s">
        <v>22</v>
      </c>
      <c r="L82" s="44">
        <v>130.6</v>
      </c>
      <c r="M82" s="12">
        <f t="shared" si="23"/>
        <v>39.18</v>
      </c>
      <c r="N82" s="43"/>
      <c r="O82" s="66">
        <v>29181.263999999999</v>
      </c>
    </row>
    <row r="83" spans="1:15" ht="18" customHeight="1" x14ac:dyDescent="0.25">
      <c r="A83" s="27">
        <v>5</v>
      </c>
      <c r="B83" s="39" t="s">
        <v>93</v>
      </c>
      <c r="C83" s="27" t="s">
        <v>24</v>
      </c>
      <c r="D83" s="27" t="s">
        <v>147</v>
      </c>
      <c r="E83" s="28" t="s">
        <v>148</v>
      </c>
      <c r="F83" s="58">
        <f t="shared" si="21"/>
        <v>3.5231700000000004</v>
      </c>
      <c r="G83" s="58">
        <f t="shared" si="22"/>
        <v>1972.9752000000003</v>
      </c>
      <c r="H83" s="58">
        <f t="shared" si="20"/>
        <v>5918.9256000000005</v>
      </c>
      <c r="I83" s="27">
        <v>3</v>
      </c>
      <c r="J83" s="27" t="s">
        <v>18</v>
      </c>
      <c r="K83" s="27" t="s">
        <v>22</v>
      </c>
      <c r="L83" s="32">
        <v>8.83</v>
      </c>
      <c r="M83" s="12">
        <f t="shared" si="23"/>
        <v>2.649</v>
      </c>
      <c r="N83" s="31"/>
      <c r="O83" s="66">
        <v>5918.9256000000005</v>
      </c>
    </row>
    <row r="84" spans="1:15" ht="18" customHeight="1" x14ac:dyDescent="0.25">
      <c r="A84" s="21">
        <v>36</v>
      </c>
      <c r="B84" s="39" t="s">
        <v>93</v>
      </c>
      <c r="C84" s="21" t="s">
        <v>25</v>
      </c>
      <c r="D84" s="21" t="s">
        <v>26</v>
      </c>
      <c r="E84" s="22" t="s">
        <v>27</v>
      </c>
      <c r="F84" s="58">
        <f t="shared" si="21"/>
        <v>3.8383799999999999</v>
      </c>
      <c r="G84" s="58">
        <f t="shared" si="22"/>
        <v>2149.4928</v>
      </c>
      <c r="H84" s="58">
        <f t="shared" si="20"/>
        <v>2149.4928</v>
      </c>
      <c r="I84" s="6">
        <v>1</v>
      </c>
      <c r="J84" s="21" t="s">
        <v>18</v>
      </c>
      <c r="K84" s="21" t="s">
        <v>22</v>
      </c>
      <c r="L84" s="26">
        <v>9.6199999999999992</v>
      </c>
      <c r="M84" s="12">
        <f t="shared" si="23"/>
        <v>2.8859999999999997</v>
      </c>
      <c r="N84" s="25"/>
      <c r="O84" s="66">
        <v>2149.4928</v>
      </c>
    </row>
    <row r="85" spans="1:15" ht="18" customHeight="1" x14ac:dyDescent="0.25">
      <c r="A85" s="21">
        <v>37</v>
      </c>
      <c r="B85" s="39" t="s">
        <v>93</v>
      </c>
      <c r="C85" s="21" t="s">
        <v>25</v>
      </c>
      <c r="D85" s="21" t="s">
        <v>28</v>
      </c>
      <c r="E85" s="22" t="s">
        <v>29</v>
      </c>
      <c r="F85" s="58">
        <f t="shared" si="21"/>
        <v>3.8383799999999999</v>
      </c>
      <c r="G85" s="58">
        <f t="shared" si="22"/>
        <v>2149.4928</v>
      </c>
      <c r="H85" s="58">
        <f t="shared" si="20"/>
        <v>2149.4928</v>
      </c>
      <c r="I85" s="6">
        <v>1</v>
      </c>
      <c r="J85" s="21" t="s">
        <v>18</v>
      </c>
      <c r="K85" s="21" t="s">
        <v>22</v>
      </c>
      <c r="L85" s="26">
        <v>9.6199999999999992</v>
      </c>
      <c r="M85" s="12">
        <f t="shared" si="23"/>
        <v>2.8859999999999997</v>
      </c>
      <c r="N85" s="25"/>
      <c r="O85" s="66">
        <v>2149.4928</v>
      </c>
    </row>
    <row r="86" spans="1:15" ht="18" customHeight="1" x14ac:dyDescent="0.25">
      <c r="A86" s="21">
        <v>38</v>
      </c>
      <c r="B86" s="39" t="s">
        <v>93</v>
      </c>
      <c r="C86" s="21" t="s">
        <v>25</v>
      </c>
      <c r="D86" s="21" t="s">
        <v>30</v>
      </c>
      <c r="E86" s="22" t="s">
        <v>31</v>
      </c>
      <c r="F86" s="58">
        <f t="shared" si="21"/>
        <v>3.8383799999999999</v>
      </c>
      <c r="G86" s="58">
        <f t="shared" si="22"/>
        <v>2149.4928</v>
      </c>
      <c r="H86" s="58">
        <f t="shared" si="20"/>
        <v>2149.4928</v>
      </c>
      <c r="I86" s="6">
        <v>1</v>
      </c>
      <c r="J86" s="21" t="s">
        <v>18</v>
      </c>
      <c r="K86" s="21" t="s">
        <v>22</v>
      </c>
      <c r="L86" s="26">
        <v>9.6199999999999992</v>
      </c>
      <c r="M86" s="12">
        <f t="shared" si="23"/>
        <v>2.8859999999999997</v>
      </c>
      <c r="N86" s="25"/>
      <c r="O86" s="66">
        <v>2149.4928</v>
      </c>
    </row>
    <row r="87" spans="1:15" ht="18" customHeight="1" x14ac:dyDescent="0.25">
      <c r="A87" s="39">
        <v>68</v>
      </c>
      <c r="B87" s="39" t="s">
        <v>93</v>
      </c>
      <c r="C87" s="39" t="s">
        <v>40</v>
      </c>
      <c r="D87" s="39" t="s">
        <v>41</v>
      </c>
      <c r="E87" s="40" t="s">
        <v>42</v>
      </c>
      <c r="F87" s="58">
        <v>1450</v>
      </c>
      <c r="G87" s="58">
        <f t="shared" ref="G87:G88" si="24">F87</f>
        <v>1450</v>
      </c>
      <c r="H87" s="58">
        <f t="shared" si="20"/>
        <v>1450</v>
      </c>
      <c r="I87" s="39">
        <v>1</v>
      </c>
      <c r="J87" s="39" t="s">
        <v>18</v>
      </c>
      <c r="K87" s="6" t="s">
        <v>140</v>
      </c>
      <c r="L87" s="41"/>
      <c r="M87" s="42"/>
      <c r="N87" s="43"/>
      <c r="O87" s="66">
        <v>1450</v>
      </c>
    </row>
    <row r="88" spans="1:15" ht="18" customHeight="1" x14ac:dyDescent="0.25">
      <c r="A88" s="39">
        <v>69</v>
      </c>
      <c r="B88" s="39" t="s">
        <v>93</v>
      </c>
      <c r="C88" s="39" t="s">
        <v>44</v>
      </c>
      <c r="D88" s="39" t="s">
        <v>45</v>
      </c>
      <c r="E88" s="40" t="s">
        <v>46</v>
      </c>
      <c r="F88" s="58">
        <v>1100</v>
      </c>
      <c r="G88" s="58">
        <f t="shared" si="24"/>
        <v>1100</v>
      </c>
      <c r="H88" s="58">
        <f t="shared" si="20"/>
        <v>1100</v>
      </c>
      <c r="I88" s="39">
        <v>1</v>
      </c>
      <c r="J88" s="39" t="s">
        <v>18</v>
      </c>
      <c r="K88" s="6" t="s">
        <v>140</v>
      </c>
      <c r="L88" s="41"/>
      <c r="M88" s="42"/>
      <c r="N88" s="43"/>
      <c r="O88" s="66">
        <v>1100</v>
      </c>
    </row>
    <row r="89" spans="1:15" ht="18" customHeight="1" x14ac:dyDescent="0.25">
      <c r="A89" s="39">
        <v>70</v>
      </c>
      <c r="B89" s="39" t="s">
        <v>93</v>
      </c>
      <c r="C89" s="39" t="s">
        <v>47</v>
      </c>
      <c r="D89" s="39" t="s">
        <v>48</v>
      </c>
      <c r="E89" s="54" t="s">
        <v>48</v>
      </c>
      <c r="F89" s="58">
        <f ca="1">OFFSET(F89,1,2)</f>
        <v>15000</v>
      </c>
      <c r="G89" s="58">
        <f ca="1">F89</f>
        <v>15000</v>
      </c>
      <c r="H89" s="58">
        <f t="shared" ca="1" si="20"/>
        <v>15000</v>
      </c>
      <c r="I89" s="39">
        <v>1</v>
      </c>
      <c r="J89" s="6" t="s">
        <v>18</v>
      </c>
      <c r="K89" s="39" t="s">
        <v>47</v>
      </c>
      <c r="L89" s="41"/>
      <c r="M89" s="42"/>
      <c r="N89" s="43"/>
      <c r="O89" s="66">
        <v>15000</v>
      </c>
    </row>
    <row r="90" spans="1:15" ht="20.100000000000001" customHeight="1" x14ac:dyDescent="0.25">
      <c r="A90" s="39">
        <v>71</v>
      </c>
      <c r="B90" s="39" t="s">
        <v>93</v>
      </c>
      <c r="C90" s="39" t="s">
        <v>49</v>
      </c>
      <c r="D90" s="39" t="s">
        <v>50</v>
      </c>
      <c r="E90" s="40" t="s">
        <v>51</v>
      </c>
      <c r="F90" s="63">
        <v>2.5</v>
      </c>
      <c r="G90" s="58">
        <v>100</v>
      </c>
      <c r="H90" s="58">
        <f t="shared" si="20"/>
        <v>15000</v>
      </c>
      <c r="I90" s="6">
        <f>60*F90</f>
        <v>150</v>
      </c>
      <c r="J90" s="6" t="s">
        <v>18</v>
      </c>
      <c r="K90" s="39" t="s">
        <v>49</v>
      </c>
      <c r="L90" s="41"/>
      <c r="M90" s="42"/>
      <c r="N90" s="43"/>
      <c r="O90" s="66">
        <v>15000</v>
      </c>
    </row>
    <row r="91" spans="1:15" ht="20.100000000000001" customHeight="1" x14ac:dyDescent="0.25">
      <c r="A91" s="39"/>
      <c r="B91" s="72" t="s">
        <v>162</v>
      </c>
      <c r="C91" s="39"/>
      <c r="D91" s="39"/>
      <c r="E91" s="40"/>
      <c r="F91" s="63"/>
      <c r="G91" s="58"/>
      <c r="H91" s="58">
        <f ca="1">SUBTOTAL(9,H77:H90)</f>
        <v>215060.27040000001</v>
      </c>
      <c r="I91" s="6"/>
      <c r="J91" s="6"/>
      <c r="K91" s="39"/>
      <c r="L91" s="41"/>
      <c r="M91" s="42"/>
      <c r="N91" s="43"/>
      <c r="O91" s="66">
        <v>215060.27040000001</v>
      </c>
    </row>
    <row r="92" spans="1:15" ht="18" customHeight="1" x14ac:dyDescent="0.25">
      <c r="A92" s="2">
        <v>72</v>
      </c>
      <c r="B92" s="2" t="s">
        <v>105</v>
      </c>
      <c r="C92" s="2"/>
      <c r="D92" s="2"/>
      <c r="E92" s="3" t="s">
        <v>106</v>
      </c>
      <c r="F92" s="57"/>
      <c r="G92" s="57"/>
      <c r="H92" s="57"/>
      <c r="I92" s="2">
        <v>1</v>
      </c>
      <c r="J92" s="2" t="s">
        <v>13</v>
      </c>
      <c r="K92" s="2" t="s">
        <v>14</v>
      </c>
      <c r="L92" s="4"/>
      <c r="M92" s="4"/>
      <c r="N92" s="5"/>
    </row>
    <row r="93" spans="1:15" ht="18" customHeight="1" x14ac:dyDescent="0.25">
      <c r="A93" s="45">
        <v>73</v>
      </c>
      <c r="B93" s="45" t="s">
        <v>105</v>
      </c>
      <c r="C93" s="45" t="s">
        <v>15</v>
      </c>
      <c r="D93" s="39" t="s">
        <v>151</v>
      </c>
      <c r="E93" s="15" t="s">
        <v>152</v>
      </c>
      <c r="F93" s="63">
        <v>26500</v>
      </c>
      <c r="G93" s="58">
        <f>0.6*F93</f>
        <v>15900</v>
      </c>
      <c r="H93" s="58">
        <f t="shared" ref="H93:H103" si="25">G93*I93</f>
        <v>15900</v>
      </c>
      <c r="I93" s="45">
        <v>1</v>
      </c>
      <c r="J93" s="45" t="s">
        <v>18</v>
      </c>
      <c r="K93" s="6" t="s">
        <v>141</v>
      </c>
      <c r="L93" s="47"/>
      <c r="M93" s="48"/>
      <c r="N93" s="49"/>
      <c r="O93" s="66">
        <v>15900</v>
      </c>
    </row>
    <row r="94" spans="1:15" ht="18" customHeight="1" x14ac:dyDescent="0.25">
      <c r="A94" s="45">
        <v>74</v>
      </c>
      <c r="B94" s="45" t="s">
        <v>105</v>
      </c>
      <c r="C94" s="45" t="s">
        <v>95</v>
      </c>
      <c r="D94" s="45" t="s">
        <v>96</v>
      </c>
      <c r="E94" s="46" t="s">
        <v>97</v>
      </c>
      <c r="F94" s="58">
        <f t="shared" ref="F94:F99" si="26">1.33*M94</f>
        <v>25.907070000000004</v>
      </c>
      <c r="G94" s="58">
        <f t="shared" ref="G94:G99" si="27">F94*560</f>
        <v>14507.959200000003</v>
      </c>
      <c r="H94" s="58">
        <f t="shared" si="25"/>
        <v>14507.959200000003</v>
      </c>
      <c r="I94" s="45">
        <v>1</v>
      </c>
      <c r="J94" s="45" t="s">
        <v>18</v>
      </c>
      <c r="K94" s="45" t="s">
        <v>22</v>
      </c>
      <c r="L94" s="50">
        <v>64.930000000000007</v>
      </c>
      <c r="M94" s="12">
        <f t="shared" ref="M94:M99" si="28">0.3*L94</f>
        <v>19.479000000000003</v>
      </c>
      <c r="N94" s="49"/>
      <c r="O94" s="66">
        <v>14507.959200000003</v>
      </c>
    </row>
    <row r="95" spans="1:15" ht="18" customHeight="1" x14ac:dyDescent="0.25">
      <c r="A95" s="45">
        <v>75</v>
      </c>
      <c r="B95" s="45" t="s">
        <v>105</v>
      </c>
      <c r="C95" s="45" t="s">
        <v>24</v>
      </c>
      <c r="D95" s="45" t="s">
        <v>98</v>
      </c>
      <c r="E95" s="46" t="s">
        <v>99</v>
      </c>
      <c r="F95" s="58">
        <f t="shared" si="26"/>
        <v>3.2279100000000001</v>
      </c>
      <c r="G95" s="58">
        <f t="shared" si="27"/>
        <v>1807.6296</v>
      </c>
      <c r="H95" s="58">
        <f t="shared" si="25"/>
        <v>9038.1479999999992</v>
      </c>
      <c r="I95" s="45">
        <v>5</v>
      </c>
      <c r="J95" s="45" t="s">
        <v>18</v>
      </c>
      <c r="K95" s="45" t="s">
        <v>22</v>
      </c>
      <c r="L95" s="50">
        <v>8.09</v>
      </c>
      <c r="M95" s="12">
        <f t="shared" si="28"/>
        <v>2.427</v>
      </c>
      <c r="N95" s="49"/>
      <c r="O95" s="66">
        <v>9038.1479999999992</v>
      </c>
    </row>
    <row r="96" spans="1:15" ht="18" customHeight="1" x14ac:dyDescent="0.25">
      <c r="A96" s="27">
        <v>5</v>
      </c>
      <c r="B96" s="45" t="s">
        <v>105</v>
      </c>
      <c r="C96" s="27" t="s">
        <v>24</v>
      </c>
      <c r="D96" s="27" t="s">
        <v>147</v>
      </c>
      <c r="E96" s="28" t="s">
        <v>148</v>
      </c>
      <c r="F96" s="58">
        <f t="shared" si="26"/>
        <v>3.5231700000000004</v>
      </c>
      <c r="G96" s="58">
        <f t="shared" si="27"/>
        <v>1972.9752000000003</v>
      </c>
      <c r="H96" s="58">
        <f t="shared" si="25"/>
        <v>5918.9256000000005</v>
      </c>
      <c r="I96" s="27">
        <v>3</v>
      </c>
      <c r="J96" s="27" t="s">
        <v>18</v>
      </c>
      <c r="K96" s="27" t="s">
        <v>22</v>
      </c>
      <c r="L96" s="32">
        <v>8.83</v>
      </c>
      <c r="M96" s="12">
        <f t="shared" si="28"/>
        <v>2.649</v>
      </c>
      <c r="N96" s="31"/>
      <c r="O96" s="66">
        <v>5918.9256000000005</v>
      </c>
    </row>
    <row r="97" spans="1:15" ht="18" customHeight="1" x14ac:dyDescent="0.25">
      <c r="A97" s="21">
        <v>36</v>
      </c>
      <c r="B97" s="45" t="s">
        <v>105</v>
      </c>
      <c r="C97" s="21" t="s">
        <v>25</v>
      </c>
      <c r="D97" s="21" t="s">
        <v>26</v>
      </c>
      <c r="E97" s="22" t="s">
        <v>27</v>
      </c>
      <c r="F97" s="58">
        <f t="shared" si="26"/>
        <v>3.8383799999999999</v>
      </c>
      <c r="G97" s="58">
        <f t="shared" si="27"/>
        <v>2149.4928</v>
      </c>
      <c r="H97" s="58">
        <f t="shared" si="25"/>
        <v>2149.4928</v>
      </c>
      <c r="I97" s="6">
        <v>1</v>
      </c>
      <c r="J97" s="21" t="s">
        <v>18</v>
      </c>
      <c r="K97" s="21" t="s">
        <v>22</v>
      </c>
      <c r="L97" s="26">
        <v>9.6199999999999992</v>
      </c>
      <c r="M97" s="12">
        <f t="shared" si="28"/>
        <v>2.8859999999999997</v>
      </c>
      <c r="N97" s="25"/>
      <c r="O97" s="66">
        <v>2149.4928</v>
      </c>
    </row>
    <row r="98" spans="1:15" ht="18" customHeight="1" x14ac:dyDescent="0.25">
      <c r="A98" s="21">
        <v>37</v>
      </c>
      <c r="B98" s="45" t="s">
        <v>105</v>
      </c>
      <c r="C98" s="21" t="s">
        <v>25</v>
      </c>
      <c r="D98" s="21" t="s">
        <v>28</v>
      </c>
      <c r="E98" s="22" t="s">
        <v>29</v>
      </c>
      <c r="F98" s="58">
        <f t="shared" si="26"/>
        <v>3.8383799999999999</v>
      </c>
      <c r="G98" s="58">
        <f t="shared" si="27"/>
        <v>2149.4928</v>
      </c>
      <c r="H98" s="58">
        <f t="shared" si="25"/>
        <v>2149.4928</v>
      </c>
      <c r="I98" s="6">
        <v>1</v>
      </c>
      <c r="J98" s="21" t="s">
        <v>18</v>
      </c>
      <c r="K98" s="21" t="s">
        <v>22</v>
      </c>
      <c r="L98" s="26">
        <v>9.6199999999999992</v>
      </c>
      <c r="M98" s="12">
        <f t="shared" si="28"/>
        <v>2.8859999999999997</v>
      </c>
      <c r="N98" s="25"/>
      <c r="O98" s="66">
        <v>2149.4928</v>
      </c>
    </row>
    <row r="99" spans="1:15" ht="18" customHeight="1" x14ac:dyDescent="0.25">
      <c r="A99" s="21">
        <v>38</v>
      </c>
      <c r="B99" s="45" t="s">
        <v>105</v>
      </c>
      <c r="C99" s="21" t="s">
        <v>25</v>
      </c>
      <c r="D99" s="21" t="s">
        <v>30</v>
      </c>
      <c r="E99" s="22" t="s">
        <v>31</v>
      </c>
      <c r="F99" s="58">
        <f t="shared" si="26"/>
        <v>3.8383799999999999</v>
      </c>
      <c r="G99" s="58">
        <f t="shared" si="27"/>
        <v>2149.4928</v>
      </c>
      <c r="H99" s="58">
        <f t="shared" si="25"/>
        <v>2149.4928</v>
      </c>
      <c r="I99" s="6">
        <v>1</v>
      </c>
      <c r="J99" s="21" t="s">
        <v>18</v>
      </c>
      <c r="K99" s="21" t="s">
        <v>22</v>
      </c>
      <c r="L99" s="26">
        <v>9.6199999999999992</v>
      </c>
      <c r="M99" s="12">
        <f t="shared" si="28"/>
        <v>2.8859999999999997</v>
      </c>
      <c r="N99" s="25"/>
      <c r="O99" s="66">
        <v>2149.4928</v>
      </c>
    </row>
    <row r="100" spans="1:15" ht="18" customHeight="1" x14ac:dyDescent="0.25">
      <c r="A100" s="45">
        <v>76</v>
      </c>
      <c r="B100" s="45" t="s">
        <v>105</v>
      </c>
      <c r="C100" s="45" t="s">
        <v>40</v>
      </c>
      <c r="D100" s="45" t="s">
        <v>41</v>
      </c>
      <c r="E100" s="46" t="s">
        <v>42</v>
      </c>
      <c r="F100" s="58">
        <v>1450</v>
      </c>
      <c r="G100" s="58">
        <f t="shared" ref="G100:G101" si="29">F100</f>
        <v>1450</v>
      </c>
      <c r="H100" s="58">
        <f t="shared" si="25"/>
        <v>1450</v>
      </c>
      <c r="I100" s="45">
        <v>1</v>
      </c>
      <c r="J100" s="45" t="s">
        <v>18</v>
      </c>
      <c r="K100" s="6" t="s">
        <v>140</v>
      </c>
      <c r="L100" s="47"/>
      <c r="M100" s="48"/>
      <c r="N100" s="49"/>
      <c r="O100" s="66">
        <v>1450</v>
      </c>
    </row>
    <row r="101" spans="1:15" ht="18" customHeight="1" x14ac:dyDescent="0.25">
      <c r="A101" s="45">
        <v>77</v>
      </c>
      <c r="B101" s="45" t="s">
        <v>105</v>
      </c>
      <c r="C101" s="45" t="s">
        <v>44</v>
      </c>
      <c r="D101" s="45" t="s">
        <v>45</v>
      </c>
      <c r="E101" s="46" t="s">
        <v>46</v>
      </c>
      <c r="F101" s="58">
        <v>1100</v>
      </c>
      <c r="G101" s="58">
        <f t="shared" si="29"/>
        <v>1100</v>
      </c>
      <c r="H101" s="58">
        <f t="shared" si="25"/>
        <v>1100</v>
      </c>
      <c r="I101" s="45">
        <v>1</v>
      </c>
      <c r="J101" s="45" t="s">
        <v>18</v>
      </c>
      <c r="K101" s="6" t="s">
        <v>140</v>
      </c>
      <c r="L101" s="47"/>
      <c r="M101" s="48"/>
      <c r="N101" s="49"/>
      <c r="O101" s="66">
        <v>1100</v>
      </c>
    </row>
    <row r="102" spans="1:15" ht="18" customHeight="1" x14ac:dyDescent="0.25">
      <c r="A102" s="45">
        <v>78</v>
      </c>
      <c r="B102" s="45" t="s">
        <v>105</v>
      </c>
      <c r="C102" s="45" t="s">
        <v>47</v>
      </c>
      <c r="D102" s="45" t="s">
        <v>48</v>
      </c>
      <c r="E102" s="54" t="s">
        <v>48</v>
      </c>
      <c r="F102" s="58">
        <f ca="1">OFFSET(F102,1,2)</f>
        <v>10200</v>
      </c>
      <c r="G102" s="58">
        <f ca="1">F102</f>
        <v>10200</v>
      </c>
      <c r="H102" s="58">
        <f t="shared" ca="1" si="25"/>
        <v>10200</v>
      </c>
      <c r="I102" s="45">
        <v>1</v>
      </c>
      <c r="J102" s="6" t="s">
        <v>18</v>
      </c>
      <c r="K102" s="45" t="s">
        <v>47</v>
      </c>
      <c r="L102" s="47"/>
      <c r="M102" s="48"/>
      <c r="N102" s="49"/>
      <c r="O102" s="66">
        <v>10200</v>
      </c>
    </row>
    <row r="103" spans="1:15" ht="20.100000000000001" customHeight="1" x14ac:dyDescent="0.25">
      <c r="A103" s="45">
        <v>79</v>
      </c>
      <c r="B103" s="45" t="s">
        <v>105</v>
      </c>
      <c r="C103" s="45" t="s">
        <v>49</v>
      </c>
      <c r="D103" s="45" t="s">
        <v>50</v>
      </c>
      <c r="E103" s="46" t="s">
        <v>51</v>
      </c>
      <c r="F103" s="64">
        <v>1.7</v>
      </c>
      <c r="G103" s="58">
        <v>100</v>
      </c>
      <c r="H103" s="58">
        <f t="shared" si="25"/>
        <v>10200</v>
      </c>
      <c r="I103" s="6">
        <f>60*F103</f>
        <v>102</v>
      </c>
      <c r="J103" s="6" t="s">
        <v>18</v>
      </c>
      <c r="K103" s="45" t="s">
        <v>49</v>
      </c>
      <c r="L103" s="47"/>
      <c r="M103" s="48"/>
      <c r="N103" s="49"/>
      <c r="O103" s="66">
        <v>10200</v>
      </c>
    </row>
    <row r="104" spans="1:15" ht="20.100000000000001" customHeight="1" x14ac:dyDescent="0.25">
      <c r="A104" s="45"/>
      <c r="B104" s="73" t="s">
        <v>163</v>
      </c>
      <c r="C104" s="45"/>
      <c r="D104" s="45"/>
      <c r="E104" s="46"/>
      <c r="F104" s="64"/>
      <c r="G104" s="58"/>
      <c r="H104" s="58">
        <f ca="1">SUBTOTAL(9,H92:H103)</f>
        <v>74763.511200000008</v>
      </c>
      <c r="I104" s="6"/>
      <c r="J104" s="6"/>
      <c r="K104" s="45"/>
      <c r="L104" s="47"/>
      <c r="M104" s="48"/>
      <c r="N104" s="49"/>
      <c r="O104" s="66">
        <v>74763.511200000008</v>
      </c>
    </row>
    <row r="105" spans="1:15" ht="18" customHeight="1" x14ac:dyDescent="0.25">
      <c r="A105" s="2">
        <v>80</v>
      </c>
      <c r="B105" s="2" t="s">
        <v>107</v>
      </c>
      <c r="C105" s="2"/>
      <c r="D105" s="2"/>
      <c r="E105" s="3" t="s">
        <v>108</v>
      </c>
      <c r="F105" s="57"/>
      <c r="G105" s="57"/>
      <c r="H105" s="57"/>
      <c r="I105" s="2">
        <v>1</v>
      </c>
      <c r="J105" s="2" t="s">
        <v>13</v>
      </c>
      <c r="K105" s="2" t="s">
        <v>14</v>
      </c>
      <c r="L105" s="4"/>
      <c r="M105" s="4"/>
      <c r="N105" s="5"/>
    </row>
    <row r="106" spans="1:15" ht="18" customHeight="1" x14ac:dyDescent="0.25">
      <c r="A106" s="39">
        <v>81</v>
      </c>
      <c r="B106" s="39" t="s">
        <v>107</v>
      </c>
      <c r="C106" s="39" t="s">
        <v>15</v>
      </c>
      <c r="D106" s="39" t="s">
        <v>151</v>
      </c>
      <c r="E106" s="15" t="s">
        <v>152</v>
      </c>
      <c r="F106" s="63">
        <v>26500</v>
      </c>
      <c r="G106" s="58">
        <f>0.6*F106</f>
        <v>15900</v>
      </c>
      <c r="H106" s="58">
        <f t="shared" ref="H106:H118" si="30">G106*I106</f>
        <v>15900</v>
      </c>
      <c r="I106" s="39">
        <v>1</v>
      </c>
      <c r="J106" s="39" t="s">
        <v>18</v>
      </c>
      <c r="K106" s="6" t="s">
        <v>141</v>
      </c>
      <c r="L106" s="41"/>
      <c r="M106" s="42"/>
      <c r="N106" s="43"/>
      <c r="O106" s="66">
        <v>15900</v>
      </c>
    </row>
    <row r="107" spans="1:15" ht="18" customHeight="1" x14ac:dyDescent="0.25">
      <c r="A107" s="39">
        <v>82</v>
      </c>
      <c r="B107" s="39" t="s">
        <v>107</v>
      </c>
      <c r="C107" s="39" t="s">
        <v>95</v>
      </c>
      <c r="D107" s="39" t="s">
        <v>96</v>
      </c>
      <c r="E107" s="40" t="s">
        <v>97</v>
      </c>
      <c r="F107" s="58">
        <f t="shared" ref="F107:F114" si="31">1.33*M107</f>
        <v>25.907070000000004</v>
      </c>
      <c r="G107" s="58">
        <f t="shared" ref="G107:G114" si="32">F107*560</f>
        <v>14507.959200000003</v>
      </c>
      <c r="H107" s="58">
        <f t="shared" si="30"/>
        <v>14507.959200000003</v>
      </c>
      <c r="I107" s="39">
        <v>1</v>
      </c>
      <c r="J107" s="39" t="s">
        <v>18</v>
      </c>
      <c r="K107" s="39" t="s">
        <v>22</v>
      </c>
      <c r="L107" s="44">
        <v>64.930000000000007</v>
      </c>
      <c r="M107" s="12">
        <f t="shared" ref="M107:M114" si="33">0.3*L107</f>
        <v>19.479000000000003</v>
      </c>
      <c r="N107" s="43"/>
      <c r="O107" s="66">
        <v>14507.959200000003</v>
      </c>
    </row>
    <row r="108" spans="1:15" ht="18" customHeight="1" x14ac:dyDescent="0.25">
      <c r="A108" s="39">
        <v>83</v>
      </c>
      <c r="B108" s="39" t="s">
        <v>107</v>
      </c>
      <c r="C108" s="39" t="s">
        <v>24</v>
      </c>
      <c r="D108" s="39" t="s">
        <v>98</v>
      </c>
      <c r="E108" s="40" t="s">
        <v>99</v>
      </c>
      <c r="F108" s="58">
        <f t="shared" si="31"/>
        <v>3.2279100000000001</v>
      </c>
      <c r="G108" s="58">
        <f t="shared" si="32"/>
        <v>1807.6296</v>
      </c>
      <c r="H108" s="58">
        <f t="shared" si="30"/>
        <v>3615.2592</v>
      </c>
      <c r="I108" s="39">
        <v>2</v>
      </c>
      <c r="J108" s="39" t="s">
        <v>18</v>
      </c>
      <c r="K108" s="39" t="s">
        <v>22</v>
      </c>
      <c r="L108" s="44">
        <v>8.09</v>
      </c>
      <c r="M108" s="12">
        <f t="shared" si="33"/>
        <v>2.427</v>
      </c>
      <c r="N108" s="43"/>
      <c r="O108" s="66">
        <v>3615.2592</v>
      </c>
    </row>
    <row r="109" spans="1:15" ht="18" customHeight="1" x14ac:dyDescent="0.25">
      <c r="A109" s="39">
        <v>84</v>
      </c>
      <c r="B109" s="39" t="s">
        <v>107</v>
      </c>
      <c r="C109" s="39" t="s">
        <v>100</v>
      </c>
      <c r="D109" s="39" t="s">
        <v>101</v>
      </c>
      <c r="E109" s="40" t="s">
        <v>102</v>
      </c>
      <c r="F109" s="58">
        <f t="shared" si="31"/>
        <v>34.964370000000002</v>
      </c>
      <c r="G109" s="58">
        <f t="shared" si="32"/>
        <v>19580.047200000001</v>
      </c>
      <c r="H109" s="58">
        <f t="shared" si="30"/>
        <v>156640.37760000001</v>
      </c>
      <c r="I109" s="39">
        <v>8</v>
      </c>
      <c r="J109" s="39" t="s">
        <v>18</v>
      </c>
      <c r="K109" s="39" t="s">
        <v>22</v>
      </c>
      <c r="L109" s="44">
        <v>87.63</v>
      </c>
      <c r="M109" s="12">
        <f t="shared" si="33"/>
        <v>26.288999999999998</v>
      </c>
      <c r="N109" s="43"/>
      <c r="O109" s="66">
        <v>156640.37760000001</v>
      </c>
    </row>
    <row r="110" spans="1:15" ht="18" customHeight="1" x14ac:dyDescent="0.25">
      <c r="A110" s="39">
        <v>85</v>
      </c>
      <c r="B110" s="39" t="s">
        <v>107</v>
      </c>
      <c r="C110" s="21" t="s">
        <v>117</v>
      </c>
      <c r="D110" s="39" t="s">
        <v>103</v>
      </c>
      <c r="E110" s="40" t="s">
        <v>104</v>
      </c>
      <c r="F110" s="58">
        <f t="shared" si="31"/>
        <v>52.109400000000001</v>
      </c>
      <c r="G110" s="58">
        <f t="shared" si="32"/>
        <v>29181.263999999999</v>
      </c>
      <c r="H110" s="58">
        <f t="shared" si="30"/>
        <v>29181.263999999999</v>
      </c>
      <c r="I110" s="39">
        <v>1</v>
      </c>
      <c r="J110" s="39" t="s">
        <v>18</v>
      </c>
      <c r="K110" s="39" t="s">
        <v>22</v>
      </c>
      <c r="L110" s="44">
        <v>130.6</v>
      </c>
      <c r="M110" s="12">
        <f t="shared" si="33"/>
        <v>39.18</v>
      </c>
      <c r="N110" s="43"/>
      <c r="O110" s="66">
        <v>29181.263999999999</v>
      </c>
    </row>
    <row r="111" spans="1:15" ht="18" customHeight="1" x14ac:dyDescent="0.25">
      <c r="A111" s="27">
        <v>5</v>
      </c>
      <c r="B111" s="39" t="s">
        <v>107</v>
      </c>
      <c r="C111" s="27" t="s">
        <v>24</v>
      </c>
      <c r="D111" s="27" t="s">
        <v>147</v>
      </c>
      <c r="E111" s="28" t="s">
        <v>148</v>
      </c>
      <c r="F111" s="58">
        <f t="shared" si="31"/>
        <v>3.5231700000000004</v>
      </c>
      <c r="G111" s="58">
        <f t="shared" si="32"/>
        <v>1972.9752000000003</v>
      </c>
      <c r="H111" s="58">
        <f t="shared" si="30"/>
        <v>5918.9256000000005</v>
      </c>
      <c r="I111" s="27">
        <v>3</v>
      </c>
      <c r="J111" s="27" t="s">
        <v>18</v>
      </c>
      <c r="K111" s="27" t="s">
        <v>22</v>
      </c>
      <c r="L111" s="32">
        <v>8.83</v>
      </c>
      <c r="M111" s="12">
        <f t="shared" si="33"/>
        <v>2.649</v>
      </c>
      <c r="N111" s="31"/>
      <c r="O111" s="66">
        <v>5918.9256000000005</v>
      </c>
    </row>
    <row r="112" spans="1:15" ht="18" customHeight="1" x14ac:dyDescent="0.25">
      <c r="A112" s="21">
        <v>36</v>
      </c>
      <c r="B112" s="39" t="s">
        <v>107</v>
      </c>
      <c r="C112" s="21" t="s">
        <v>25</v>
      </c>
      <c r="D112" s="21" t="s">
        <v>26</v>
      </c>
      <c r="E112" s="22" t="s">
        <v>27</v>
      </c>
      <c r="F112" s="58">
        <f t="shared" si="31"/>
        <v>3.8383799999999999</v>
      </c>
      <c r="G112" s="58">
        <f t="shared" si="32"/>
        <v>2149.4928</v>
      </c>
      <c r="H112" s="58">
        <f t="shared" si="30"/>
        <v>2149.4928</v>
      </c>
      <c r="I112" s="6">
        <v>1</v>
      </c>
      <c r="J112" s="21" t="s">
        <v>18</v>
      </c>
      <c r="K112" s="21" t="s">
        <v>22</v>
      </c>
      <c r="L112" s="26">
        <v>9.6199999999999992</v>
      </c>
      <c r="M112" s="12">
        <f t="shared" si="33"/>
        <v>2.8859999999999997</v>
      </c>
      <c r="N112" s="25"/>
      <c r="O112" s="66">
        <v>2149.4928</v>
      </c>
    </row>
    <row r="113" spans="1:15" ht="18" customHeight="1" x14ac:dyDescent="0.25">
      <c r="A113" s="21">
        <v>37</v>
      </c>
      <c r="B113" s="39" t="s">
        <v>107</v>
      </c>
      <c r="C113" s="21" t="s">
        <v>25</v>
      </c>
      <c r="D113" s="21" t="s">
        <v>28</v>
      </c>
      <c r="E113" s="22" t="s">
        <v>29</v>
      </c>
      <c r="F113" s="58">
        <f t="shared" si="31"/>
        <v>3.8383799999999999</v>
      </c>
      <c r="G113" s="58">
        <f t="shared" si="32"/>
        <v>2149.4928</v>
      </c>
      <c r="H113" s="58">
        <f t="shared" si="30"/>
        <v>2149.4928</v>
      </c>
      <c r="I113" s="6">
        <v>1</v>
      </c>
      <c r="J113" s="21" t="s">
        <v>18</v>
      </c>
      <c r="K113" s="21" t="s">
        <v>22</v>
      </c>
      <c r="L113" s="26">
        <v>9.6199999999999992</v>
      </c>
      <c r="M113" s="12">
        <f t="shared" si="33"/>
        <v>2.8859999999999997</v>
      </c>
      <c r="N113" s="25"/>
      <c r="O113" s="66">
        <v>2149.4928</v>
      </c>
    </row>
    <row r="114" spans="1:15" ht="18" customHeight="1" x14ac:dyDescent="0.25">
      <c r="A114" s="21">
        <v>38</v>
      </c>
      <c r="B114" s="39" t="s">
        <v>107</v>
      </c>
      <c r="C114" s="21" t="s">
        <v>25</v>
      </c>
      <c r="D114" s="21" t="s">
        <v>30</v>
      </c>
      <c r="E114" s="22" t="s">
        <v>31</v>
      </c>
      <c r="F114" s="58">
        <f t="shared" si="31"/>
        <v>3.8383799999999999</v>
      </c>
      <c r="G114" s="58">
        <f t="shared" si="32"/>
        <v>2149.4928</v>
      </c>
      <c r="H114" s="58">
        <f t="shared" si="30"/>
        <v>2149.4928</v>
      </c>
      <c r="I114" s="6">
        <v>1</v>
      </c>
      <c r="J114" s="21" t="s">
        <v>18</v>
      </c>
      <c r="K114" s="21" t="s">
        <v>22</v>
      </c>
      <c r="L114" s="26">
        <v>9.6199999999999992</v>
      </c>
      <c r="M114" s="12">
        <f t="shared" si="33"/>
        <v>2.8859999999999997</v>
      </c>
      <c r="N114" s="25"/>
      <c r="O114" s="66">
        <v>2149.4928</v>
      </c>
    </row>
    <row r="115" spans="1:15" ht="18" customHeight="1" x14ac:dyDescent="0.25">
      <c r="A115" s="39">
        <v>86</v>
      </c>
      <c r="B115" s="39" t="s">
        <v>107</v>
      </c>
      <c r="C115" s="39" t="s">
        <v>40</v>
      </c>
      <c r="D115" s="39" t="s">
        <v>41</v>
      </c>
      <c r="E115" s="40" t="s">
        <v>42</v>
      </c>
      <c r="F115" s="58">
        <v>1450</v>
      </c>
      <c r="G115" s="58">
        <f t="shared" ref="G115:G116" si="34">F115</f>
        <v>1450</v>
      </c>
      <c r="H115" s="58">
        <f t="shared" si="30"/>
        <v>1450</v>
      </c>
      <c r="I115" s="39">
        <v>1</v>
      </c>
      <c r="J115" s="39" t="s">
        <v>18</v>
      </c>
      <c r="K115" s="6" t="s">
        <v>140</v>
      </c>
      <c r="L115" s="41"/>
      <c r="M115" s="42"/>
      <c r="N115" s="43"/>
      <c r="O115" s="66">
        <v>1450</v>
      </c>
    </row>
    <row r="116" spans="1:15" ht="18" customHeight="1" x14ac:dyDescent="0.25">
      <c r="A116" s="39">
        <v>87</v>
      </c>
      <c r="B116" s="39" t="s">
        <v>107</v>
      </c>
      <c r="C116" s="39" t="s">
        <v>44</v>
      </c>
      <c r="D116" s="39" t="s">
        <v>45</v>
      </c>
      <c r="E116" s="40" t="s">
        <v>46</v>
      </c>
      <c r="F116" s="58">
        <v>1100</v>
      </c>
      <c r="G116" s="58">
        <f t="shared" si="34"/>
        <v>1100</v>
      </c>
      <c r="H116" s="58">
        <f t="shared" si="30"/>
        <v>1100</v>
      </c>
      <c r="I116" s="39">
        <v>1</v>
      </c>
      <c r="J116" s="39" t="s">
        <v>18</v>
      </c>
      <c r="K116" s="6" t="s">
        <v>140</v>
      </c>
      <c r="L116" s="41"/>
      <c r="M116" s="42"/>
      <c r="N116" s="43"/>
      <c r="O116" s="66">
        <v>1100</v>
      </c>
    </row>
    <row r="117" spans="1:15" ht="18" customHeight="1" x14ac:dyDescent="0.25">
      <c r="A117" s="39">
        <v>88</v>
      </c>
      <c r="B117" s="39" t="s">
        <v>107</v>
      </c>
      <c r="C117" s="39" t="s">
        <v>47</v>
      </c>
      <c r="D117" s="39" t="s">
        <v>48</v>
      </c>
      <c r="E117" s="54" t="s">
        <v>48</v>
      </c>
      <c r="F117" s="58">
        <f ca="1">OFFSET(F117,1,2)</f>
        <v>15000</v>
      </c>
      <c r="G117" s="58">
        <f ca="1">F117</f>
        <v>15000</v>
      </c>
      <c r="H117" s="58">
        <f t="shared" ca="1" si="30"/>
        <v>15000</v>
      </c>
      <c r="I117" s="39">
        <v>1</v>
      </c>
      <c r="J117" s="6" t="s">
        <v>18</v>
      </c>
      <c r="K117" s="39" t="s">
        <v>47</v>
      </c>
      <c r="L117" s="41"/>
      <c r="M117" s="42"/>
      <c r="N117" s="43"/>
      <c r="O117" s="66">
        <v>15000</v>
      </c>
    </row>
    <row r="118" spans="1:15" ht="20.100000000000001" customHeight="1" x14ac:dyDescent="0.25">
      <c r="A118" s="39">
        <v>89</v>
      </c>
      <c r="B118" s="39" t="s">
        <v>107</v>
      </c>
      <c r="C118" s="39" t="s">
        <v>49</v>
      </c>
      <c r="D118" s="39" t="s">
        <v>50</v>
      </c>
      <c r="E118" s="40" t="s">
        <v>51</v>
      </c>
      <c r="F118" s="63">
        <v>2.5</v>
      </c>
      <c r="G118" s="58">
        <v>100</v>
      </c>
      <c r="H118" s="58">
        <f t="shared" si="30"/>
        <v>15000</v>
      </c>
      <c r="I118" s="6">
        <f>60*F118</f>
        <v>150</v>
      </c>
      <c r="J118" s="6" t="s">
        <v>18</v>
      </c>
      <c r="K118" s="39" t="s">
        <v>49</v>
      </c>
      <c r="L118" s="41"/>
      <c r="M118" s="42"/>
      <c r="N118" s="43"/>
      <c r="O118" s="66">
        <v>15000</v>
      </c>
    </row>
    <row r="119" spans="1:15" ht="20.100000000000001" customHeight="1" x14ac:dyDescent="0.25">
      <c r="A119" s="39"/>
      <c r="B119" s="72" t="s">
        <v>164</v>
      </c>
      <c r="C119" s="39"/>
      <c r="D119" s="39"/>
      <c r="E119" s="40"/>
      <c r="F119" s="63"/>
      <c r="G119" s="58"/>
      <c r="H119" s="58">
        <f ca="1">SUBTOTAL(9,H105:H118)</f>
        <v>264762.26400000002</v>
      </c>
      <c r="I119" s="6"/>
      <c r="J119" s="6"/>
      <c r="K119" s="39"/>
      <c r="L119" s="41"/>
      <c r="M119" s="42"/>
      <c r="N119" s="43"/>
      <c r="O119" s="66">
        <v>264762.26400000002</v>
      </c>
    </row>
    <row r="120" spans="1:15" ht="18" customHeight="1" x14ac:dyDescent="0.25">
      <c r="A120" s="2">
        <v>90</v>
      </c>
      <c r="B120" s="2" t="s">
        <v>109</v>
      </c>
      <c r="C120" s="2"/>
      <c r="D120" s="2"/>
      <c r="E120" s="3" t="s">
        <v>110</v>
      </c>
      <c r="F120" s="57"/>
      <c r="G120" s="57"/>
      <c r="H120" s="57"/>
      <c r="I120" s="2">
        <v>1</v>
      </c>
      <c r="J120" s="2" t="s">
        <v>13</v>
      </c>
      <c r="K120" s="2" t="s">
        <v>14</v>
      </c>
      <c r="L120" s="4"/>
      <c r="M120" s="4"/>
      <c r="N120" s="5"/>
    </row>
    <row r="121" spans="1:15" ht="18" customHeight="1" x14ac:dyDescent="0.25">
      <c r="A121" s="21">
        <v>91</v>
      </c>
      <c r="B121" s="21" t="s">
        <v>109</v>
      </c>
      <c r="C121" s="21" t="s">
        <v>15</v>
      </c>
      <c r="D121" s="39" t="s">
        <v>151</v>
      </c>
      <c r="E121" s="15" t="s">
        <v>152</v>
      </c>
      <c r="F121" s="63">
        <v>26500</v>
      </c>
      <c r="G121" s="58">
        <f>0.6*F121</f>
        <v>15900</v>
      </c>
      <c r="H121" s="58">
        <f t="shared" ref="H121:H134" si="35">G121*I121</f>
        <v>15900</v>
      </c>
      <c r="I121" s="21">
        <v>1</v>
      </c>
      <c r="J121" s="21" t="s">
        <v>18</v>
      </c>
      <c r="K121" s="6" t="s">
        <v>141</v>
      </c>
      <c r="L121" s="23"/>
      <c r="M121" s="24"/>
      <c r="N121" s="25"/>
      <c r="O121" s="66">
        <v>15900</v>
      </c>
    </row>
    <row r="122" spans="1:15" ht="18" customHeight="1" x14ac:dyDescent="0.25">
      <c r="A122" s="21">
        <v>92</v>
      </c>
      <c r="B122" s="21" t="s">
        <v>109</v>
      </c>
      <c r="C122" s="21" t="s">
        <v>24</v>
      </c>
      <c r="D122" s="21" t="s">
        <v>111</v>
      </c>
      <c r="E122" s="22" t="s">
        <v>112</v>
      </c>
      <c r="F122" s="58">
        <f t="shared" ref="F122:F129" si="36">1.33*M122</f>
        <v>18.170459999999999</v>
      </c>
      <c r="G122" s="58">
        <f t="shared" ref="G122:G129" si="37">F122*560</f>
        <v>10175.4576</v>
      </c>
      <c r="H122" s="58">
        <f t="shared" si="35"/>
        <v>10175.4576</v>
      </c>
      <c r="I122" s="21">
        <v>1</v>
      </c>
      <c r="J122" s="21" t="s">
        <v>18</v>
      </c>
      <c r="K122" s="21" t="s">
        <v>22</v>
      </c>
      <c r="L122" s="26">
        <v>45.54</v>
      </c>
      <c r="M122" s="12">
        <f t="shared" ref="M122:M129" si="38">0.3*L122</f>
        <v>13.661999999999999</v>
      </c>
      <c r="N122" s="25"/>
      <c r="O122" s="66">
        <v>10175.4576</v>
      </c>
    </row>
    <row r="123" spans="1:15" ht="18" customHeight="1" x14ac:dyDescent="0.25">
      <c r="A123" s="21">
        <v>93</v>
      </c>
      <c r="B123" s="21" t="s">
        <v>109</v>
      </c>
      <c r="C123" s="21" t="s">
        <v>24</v>
      </c>
      <c r="D123" s="21" t="s">
        <v>113</v>
      </c>
      <c r="E123" s="22" t="s">
        <v>114</v>
      </c>
      <c r="F123" s="58">
        <f t="shared" si="36"/>
        <v>14.531580000000002</v>
      </c>
      <c r="G123" s="58">
        <f t="shared" si="37"/>
        <v>8137.6848000000009</v>
      </c>
      <c r="H123" s="58">
        <f t="shared" si="35"/>
        <v>24413.054400000001</v>
      </c>
      <c r="I123" s="21">
        <v>3</v>
      </c>
      <c r="J123" s="21" t="s">
        <v>18</v>
      </c>
      <c r="K123" s="21" t="s">
        <v>22</v>
      </c>
      <c r="L123" s="26">
        <v>36.42</v>
      </c>
      <c r="M123" s="12">
        <f t="shared" si="38"/>
        <v>10.926</v>
      </c>
      <c r="N123" s="25"/>
      <c r="O123" s="66">
        <v>24413.054400000001</v>
      </c>
    </row>
    <row r="124" spans="1:15" ht="18" customHeight="1" x14ac:dyDescent="0.25">
      <c r="A124" s="21">
        <v>94</v>
      </c>
      <c r="B124" s="21" t="s">
        <v>109</v>
      </c>
      <c r="C124" s="21" t="s">
        <v>24</v>
      </c>
      <c r="D124" s="21" t="s">
        <v>115</v>
      </c>
      <c r="E124" s="22" t="s">
        <v>116</v>
      </c>
      <c r="F124" s="58">
        <f t="shared" si="36"/>
        <v>3.2279100000000001</v>
      </c>
      <c r="G124" s="58">
        <f t="shared" si="37"/>
        <v>1807.6296</v>
      </c>
      <c r="H124" s="58">
        <f t="shared" si="35"/>
        <v>5422.8887999999997</v>
      </c>
      <c r="I124" s="21">
        <v>3</v>
      </c>
      <c r="J124" s="21" t="s">
        <v>18</v>
      </c>
      <c r="K124" s="21" t="s">
        <v>22</v>
      </c>
      <c r="L124" s="26">
        <v>8.09</v>
      </c>
      <c r="M124" s="12">
        <f t="shared" si="38"/>
        <v>2.427</v>
      </c>
      <c r="N124" s="25"/>
      <c r="O124" s="66">
        <v>5422.8887999999997</v>
      </c>
    </row>
    <row r="125" spans="1:15" ht="18" customHeight="1" x14ac:dyDescent="0.25">
      <c r="A125" s="21">
        <v>95</v>
      </c>
      <c r="B125" s="21" t="s">
        <v>109</v>
      </c>
      <c r="C125" s="21" t="s">
        <v>117</v>
      </c>
      <c r="D125" s="21" t="s">
        <v>103</v>
      </c>
      <c r="E125" s="22" t="s">
        <v>104</v>
      </c>
      <c r="F125" s="58">
        <f t="shared" si="36"/>
        <v>52.109400000000001</v>
      </c>
      <c r="G125" s="58">
        <f t="shared" si="37"/>
        <v>29181.263999999999</v>
      </c>
      <c r="H125" s="58">
        <f t="shared" si="35"/>
        <v>29181.263999999999</v>
      </c>
      <c r="I125" s="21">
        <v>1</v>
      </c>
      <c r="J125" s="21" t="s">
        <v>18</v>
      </c>
      <c r="K125" s="21" t="s">
        <v>22</v>
      </c>
      <c r="L125" s="26">
        <v>130.6</v>
      </c>
      <c r="M125" s="12">
        <f t="shared" si="38"/>
        <v>39.18</v>
      </c>
      <c r="N125" s="25"/>
      <c r="O125" s="66">
        <v>29181.263999999999</v>
      </c>
    </row>
    <row r="126" spans="1:15" ht="18" customHeight="1" x14ac:dyDescent="0.25">
      <c r="A126" s="27">
        <v>5</v>
      </c>
      <c r="B126" s="21" t="s">
        <v>109</v>
      </c>
      <c r="C126" s="27" t="s">
        <v>24</v>
      </c>
      <c r="D126" s="27" t="s">
        <v>147</v>
      </c>
      <c r="E126" s="28" t="s">
        <v>148</v>
      </c>
      <c r="F126" s="58">
        <f t="shared" si="36"/>
        <v>3.5231700000000004</v>
      </c>
      <c r="G126" s="58">
        <f t="shared" si="37"/>
        <v>1972.9752000000003</v>
      </c>
      <c r="H126" s="58">
        <f t="shared" si="35"/>
        <v>5918.9256000000005</v>
      </c>
      <c r="I126" s="27">
        <v>3</v>
      </c>
      <c r="J126" s="27" t="s">
        <v>18</v>
      </c>
      <c r="K126" s="27" t="s">
        <v>22</v>
      </c>
      <c r="L126" s="32">
        <v>8.83</v>
      </c>
      <c r="M126" s="12">
        <f t="shared" si="38"/>
        <v>2.649</v>
      </c>
      <c r="N126" s="31"/>
      <c r="O126" s="66">
        <v>5918.9256000000005</v>
      </c>
    </row>
    <row r="127" spans="1:15" ht="18" customHeight="1" x14ac:dyDescent="0.25">
      <c r="A127" s="21">
        <v>36</v>
      </c>
      <c r="B127" s="21" t="s">
        <v>109</v>
      </c>
      <c r="C127" s="21" t="s">
        <v>25</v>
      </c>
      <c r="D127" s="21" t="s">
        <v>26</v>
      </c>
      <c r="E127" s="22" t="s">
        <v>27</v>
      </c>
      <c r="F127" s="58">
        <f t="shared" si="36"/>
        <v>3.8383799999999999</v>
      </c>
      <c r="G127" s="58">
        <f t="shared" si="37"/>
        <v>2149.4928</v>
      </c>
      <c r="H127" s="58">
        <f t="shared" si="35"/>
        <v>2149.4928</v>
      </c>
      <c r="I127" s="6">
        <v>1</v>
      </c>
      <c r="J127" s="21" t="s">
        <v>18</v>
      </c>
      <c r="K127" s="21" t="s">
        <v>22</v>
      </c>
      <c r="L127" s="26">
        <v>9.6199999999999992</v>
      </c>
      <c r="M127" s="12">
        <f t="shared" si="38"/>
        <v>2.8859999999999997</v>
      </c>
      <c r="N127" s="25"/>
      <c r="O127" s="66">
        <v>2149.4928</v>
      </c>
    </row>
    <row r="128" spans="1:15" ht="18" customHeight="1" x14ac:dyDescent="0.25">
      <c r="A128" s="21">
        <v>37</v>
      </c>
      <c r="B128" s="21" t="s">
        <v>109</v>
      </c>
      <c r="C128" s="21" t="s">
        <v>25</v>
      </c>
      <c r="D128" s="21" t="s">
        <v>28</v>
      </c>
      <c r="E128" s="22" t="s">
        <v>29</v>
      </c>
      <c r="F128" s="58">
        <f t="shared" si="36"/>
        <v>3.8383799999999999</v>
      </c>
      <c r="G128" s="58">
        <f t="shared" si="37"/>
        <v>2149.4928</v>
      </c>
      <c r="H128" s="58">
        <f t="shared" si="35"/>
        <v>2149.4928</v>
      </c>
      <c r="I128" s="6">
        <v>1</v>
      </c>
      <c r="J128" s="21" t="s">
        <v>18</v>
      </c>
      <c r="K128" s="21" t="s">
        <v>22</v>
      </c>
      <c r="L128" s="26">
        <v>9.6199999999999992</v>
      </c>
      <c r="M128" s="12">
        <f t="shared" si="38"/>
        <v>2.8859999999999997</v>
      </c>
      <c r="N128" s="25"/>
      <c r="O128" s="66">
        <v>2149.4928</v>
      </c>
    </row>
    <row r="129" spans="1:15" ht="18" customHeight="1" x14ac:dyDescent="0.25">
      <c r="A129" s="21">
        <v>38</v>
      </c>
      <c r="B129" s="21" t="s">
        <v>109</v>
      </c>
      <c r="C129" s="21" t="s">
        <v>25</v>
      </c>
      <c r="D129" s="21" t="s">
        <v>30</v>
      </c>
      <c r="E129" s="22" t="s">
        <v>31</v>
      </c>
      <c r="F129" s="58">
        <f t="shared" si="36"/>
        <v>3.8383799999999999</v>
      </c>
      <c r="G129" s="58">
        <f t="shared" si="37"/>
        <v>2149.4928</v>
      </c>
      <c r="H129" s="58">
        <f t="shared" si="35"/>
        <v>2149.4928</v>
      </c>
      <c r="I129" s="6">
        <v>1</v>
      </c>
      <c r="J129" s="21" t="s">
        <v>18</v>
      </c>
      <c r="K129" s="21" t="s">
        <v>22</v>
      </c>
      <c r="L129" s="26">
        <v>9.6199999999999992</v>
      </c>
      <c r="M129" s="12">
        <f t="shared" si="38"/>
        <v>2.8859999999999997</v>
      </c>
      <c r="N129" s="25"/>
      <c r="O129" s="66">
        <v>2149.4928</v>
      </c>
    </row>
    <row r="130" spans="1:15" ht="18" customHeight="1" x14ac:dyDescent="0.25">
      <c r="A130" s="21">
        <v>96</v>
      </c>
      <c r="B130" s="21" t="s">
        <v>109</v>
      </c>
      <c r="C130" s="21" t="s">
        <v>118</v>
      </c>
      <c r="D130" s="21" t="s">
        <v>119</v>
      </c>
      <c r="E130" s="22" t="s">
        <v>120</v>
      </c>
      <c r="F130" s="60">
        <v>110</v>
      </c>
      <c r="G130" s="58">
        <f t="shared" ref="G130:G132" si="39">F130</f>
        <v>110</v>
      </c>
      <c r="H130" s="58">
        <f t="shared" si="35"/>
        <v>110</v>
      </c>
      <c r="I130" s="21">
        <v>1</v>
      </c>
      <c r="J130" s="21" t="s">
        <v>18</v>
      </c>
      <c r="K130" s="21" t="s">
        <v>140</v>
      </c>
      <c r="L130" s="23"/>
      <c r="M130" s="24"/>
      <c r="N130" s="25"/>
      <c r="O130" s="66">
        <v>110</v>
      </c>
    </row>
    <row r="131" spans="1:15" ht="18" customHeight="1" x14ac:dyDescent="0.25">
      <c r="A131" s="21">
        <v>97</v>
      </c>
      <c r="B131" s="21" t="s">
        <v>109</v>
      </c>
      <c r="C131" s="21" t="s">
        <v>40</v>
      </c>
      <c r="D131" s="21" t="s">
        <v>41</v>
      </c>
      <c r="E131" s="22" t="s">
        <v>42</v>
      </c>
      <c r="F131" s="58">
        <v>1450</v>
      </c>
      <c r="G131" s="58">
        <f t="shared" si="39"/>
        <v>1450</v>
      </c>
      <c r="H131" s="58">
        <f t="shared" si="35"/>
        <v>1450</v>
      </c>
      <c r="I131" s="21">
        <v>1</v>
      </c>
      <c r="J131" s="21" t="s">
        <v>18</v>
      </c>
      <c r="K131" s="6" t="s">
        <v>140</v>
      </c>
      <c r="L131" s="23"/>
      <c r="M131" s="24"/>
      <c r="N131" s="25"/>
      <c r="O131" s="66">
        <v>1450</v>
      </c>
    </row>
    <row r="132" spans="1:15" ht="18" customHeight="1" x14ac:dyDescent="0.25">
      <c r="A132" s="21">
        <v>98</v>
      </c>
      <c r="B132" s="21" t="s">
        <v>109</v>
      </c>
      <c r="C132" s="21" t="s">
        <v>44</v>
      </c>
      <c r="D132" s="21" t="s">
        <v>45</v>
      </c>
      <c r="E132" s="22" t="s">
        <v>46</v>
      </c>
      <c r="F132" s="58">
        <v>1100</v>
      </c>
      <c r="G132" s="58">
        <f t="shared" si="39"/>
        <v>1100</v>
      </c>
      <c r="H132" s="58">
        <f t="shared" si="35"/>
        <v>1100</v>
      </c>
      <c r="I132" s="21">
        <v>1</v>
      </c>
      <c r="J132" s="21" t="s">
        <v>18</v>
      </c>
      <c r="K132" s="6" t="s">
        <v>140</v>
      </c>
      <c r="L132" s="23"/>
      <c r="M132" s="24"/>
      <c r="N132" s="25"/>
      <c r="O132" s="66">
        <v>1100</v>
      </c>
    </row>
    <row r="133" spans="1:15" ht="18" customHeight="1" x14ac:dyDescent="0.25">
      <c r="A133" s="21">
        <v>99</v>
      </c>
      <c r="B133" s="21" t="s">
        <v>109</v>
      </c>
      <c r="C133" s="21" t="s">
        <v>47</v>
      </c>
      <c r="D133" s="21" t="s">
        <v>48</v>
      </c>
      <c r="E133" s="54" t="s">
        <v>48</v>
      </c>
      <c r="F133" s="58">
        <f ca="1">OFFSET(F133,1,2)</f>
        <v>13800</v>
      </c>
      <c r="G133" s="58">
        <f ca="1">F133</f>
        <v>13800</v>
      </c>
      <c r="H133" s="58">
        <f t="shared" ca="1" si="35"/>
        <v>13800</v>
      </c>
      <c r="I133" s="21">
        <v>1</v>
      </c>
      <c r="J133" s="6" t="s">
        <v>18</v>
      </c>
      <c r="K133" s="21" t="s">
        <v>47</v>
      </c>
      <c r="L133" s="23"/>
      <c r="M133" s="24"/>
      <c r="N133" s="25"/>
      <c r="O133" s="66">
        <v>13800</v>
      </c>
    </row>
    <row r="134" spans="1:15" ht="20.100000000000001" customHeight="1" x14ac:dyDescent="0.25">
      <c r="A134" s="21">
        <v>100</v>
      </c>
      <c r="B134" s="21" t="s">
        <v>109</v>
      </c>
      <c r="C134" s="21" t="s">
        <v>49</v>
      </c>
      <c r="D134" s="21" t="s">
        <v>50</v>
      </c>
      <c r="E134" s="22" t="s">
        <v>51</v>
      </c>
      <c r="F134" s="60">
        <v>2.2999999999999998</v>
      </c>
      <c r="G134" s="58">
        <v>100</v>
      </c>
      <c r="H134" s="58">
        <f t="shared" si="35"/>
        <v>13800</v>
      </c>
      <c r="I134" s="6">
        <f>60*F134</f>
        <v>138</v>
      </c>
      <c r="J134" s="6" t="s">
        <v>18</v>
      </c>
      <c r="K134" s="21" t="s">
        <v>49</v>
      </c>
      <c r="L134" s="23"/>
      <c r="M134" s="24"/>
      <c r="N134" s="25"/>
      <c r="O134" s="66">
        <v>13800</v>
      </c>
    </row>
    <row r="135" spans="1:15" ht="20.100000000000001" customHeight="1" x14ac:dyDescent="0.25">
      <c r="A135" s="21"/>
      <c r="B135" s="69" t="s">
        <v>165</v>
      </c>
      <c r="C135" s="21"/>
      <c r="D135" s="21"/>
      <c r="E135" s="22"/>
      <c r="F135" s="60"/>
      <c r="G135" s="58"/>
      <c r="H135" s="58">
        <f ca="1">SUBTOTAL(9,H120:H134)</f>
        <v>127720.06880000001</v>
      </c>
      <c r="I135" s="6"/>
      <c r="J135" s="6"/>
      <c r="K135" s="21"/>
      <c r="L135" s="23"/>
      <c r="M135" s="24"/>
      <c r="N135" s="25"/>
      <c r="O135" s="66">
        <v>127720.06880000001</v>
      </c>
    </row>
    <row r="136" spans="1:15" ht="18" customHeight="1" x14ac:dyDescent="0.25">
      <c r="A136" s="2">
        <v>101</v>
      </c>
      <c r="B136" s="2" t="s">
        <v>121</v>
      </c>
      <c r="C136" s="2"/>
      <c r="D136" s="2"/>
      <c r="E136" s="3" t="s">
        <v>122</v>
      </c>
      <c r="F136" s="57"/>
      <c r="G136" s="57"/>
      <c r="H136" s="57"/>
      <c r="I136" s="2">
        <v>1</v>
      </c>
      <c r="J136" s="2" t="s">
        <v>13</v>
      </c>
      <c r="K136" s="2" t="s">
        <v>14</v>
      </c>
      <c r="L136" s="4"/>
      <c r="M136" s="4"/>
      <c r="N136" s="5"/>
    </row>
    <row r="137" spans="1:15" ht="18" customHeight="1" x14ac:dyDescent="0.25">
      <c r="A137" s="21">
        <v>102</v>
      </c>
      <c r="B137" s="21" t="s">
        <v>121</v>
      </c>
      <c r="C137" s="21" t="s">
        <v>15</v>
      </c>
      <c r="D137" s="39" t="s">
        <v>151</v>
      </c>
      <c r="E137" s="15" t="s">
        <v>152</v>
      </c>
      <c r="F137" s="63">
        <v>26500</v>
      </c>
      <c r="G137" s="58">
        <f>0.6*F137</f>
        <v>15900</v>
      </c>
      <c r="H137" s="58">
        <f t="shared" ref="H137:H150" si="40">G137*I137</f>
        <v>15900</v>
      </c>
      <c r="I137" s="21">
        <v>1</v>
      </c>
      <c r="J137" s="21" t="s">
        <v>18</v>
      </c>
      <c r="K137" s="6" t="s">
        <v>141</v>
      </c>
      <c r="L137" s="23"/>
      <c r="M137" s="24"/>
      <c r="N137" s="25"/>
      <c r="O137" s="66">
        <v>15900</v>
      </c>
    </row>
    <row r="138" spans="1:15" ht="18" customHeight="1" x14ac:dyDescent="0.25">
      <c r="A138" s="21">
        <v>103</v>
      </c>
      <c r="B138" s="21" t="s">
        <v>121</v>
      </c>
      <c r="C138" s="21" t="s">
        <v>24</v>
      </c>
      <c r="D138" s="21" t="s">
        <v>111</v>
      </c>
      <c r="E138" s="22" t="s">
        <v>112</v>
      </c>
      <c r="F138" s="58">
        <f t="shared" ref="F138:F145" si="41">1.33*M138</f>
        <v>18.170459999999999</v>
      </c>
      <c r="G138" s="58">
        <f t="shared" ref="G138:G145" si="42">F138*560</f>
        <v>10175.4576</v>
      </c>
      <c r="H138" s="58">
        <f t="shared" si="40"/>
        <v>10175.4576</v>
      </c>
      <c r="I138" s="21">
        <v>1</v>
      </c>
      <c r="J138" s="21" t="s">
        <v>18</v>
      </c>
      <c r="K138" s="21" t="s">
        <v>22</v>
      </c>
      <c r="L138" s="26">
        <v>45.54</v>
      </c>
      <c r="M138" s="12">
        <f t="shared" ref="M138:M145" si="43">0.3*L138</f>
        <v>13.661999999999999</v>
      </c>
      <c r="N138" s="25"/>
      <c r="O138" s="66">
        <v>10175.4576</v>
      </c>
    </row>
    <row r="139" spans="1:15" ht="18" customHeight="1" x14ac:dyDescent="0.25">
      <c r="A139" s="21">
        <v>104</v>
      </c>
      <c r="B139" s="21" t="s">
        <v>121</v>
      </c>
      <c r="C139" s="21" t="s">
        <v>24</v>
      </c>
      <c r="D139" s="21" t="s">
        <v>113</v>
      </c>
      <c r="E139" s="22" t="s">
        <v>114</v>
      </c>
      <c r="F139" s="58">
        <f t="shared" si="41"/>
        <v>14.531580000000002</v>
      </c>
      <c r="G139" s="58">
        <f t="shared" si="42"/>
        <v>8137.6848000000009</v>
      </c>
      <c r="H139" s="58">
        <f t="shared" si="40"/>
        <v>24413.054400000001</v>
      </c>
      <c r="I139" s="21">
        <v>3</v>
      </c>
      <c r="J139" s="21" t="s">
        <v>18</v>
      </c>
      <c r="K139" s="21" t="s">
        <v>22</v>
      </c>
      <c r="L139" s="26">
        <v>36.42</v>
      </c>
      <c r="M139" s="12">
        <f t="shared" si="43"/>
        <v>10.926</v>
      </c>
      <c r="N139" s="25"/>
      <c r="O139" s="66">
        <v>24413.054400000001</v>
      </c>
    </row>
    <row r="140" spans="1:15" ht="18" customHeight="1" x14ac:dyDescent="0.25">
      <c r="A140" s="21">
        <v>105</v>
      </c>
      <c r="B140" s="21" t="s">
        <v>121</v>
      </c>
      <c r="C140" s="21" t="s">
        <v>24</v>
      </c>
      <c r="D140" s="21" t="s">
        <v>115</v>
      </c>
      <c r="E140" s="22" t="s">
        <v>116</v>
      </c>
      <c r="F140" s="58">
        <f t="shared" si="41"/>
        <v>3.2279100000000001</v>
      </c>
      <c r="G140" s="58">
        <f t="shared" si="42"/>
        <v>1807.6296</v>
      </c>
      <c r="H140" s="58">
        <f t="shared" si="40"/>
        <v>5422.8887999999997</v>
      </c>
      <c r="I140" s="21">
        <v>3</v>
      </c>
      <c r="J140" s="21" t="s">
        <v>18</v>
      </c>
      <c r="K140" s="21" t="s">
        <v>22</v>
      </c>
      <c r="L140" s="26">
        <v>8.09</v>
      </c>
      <c r="M140" s="12">
        <f t="shared" si="43"/>
        <v>2.427</v>
      </c>
      <c r="N140" s="25"/>
      <c r="O140" s="66">
        <v>5422.8887999999997</v>
      </c>
    </row>
    <row r="141" spans="1:15" ht="18.75" customHeight="1" x14ac:dyDescent="0.25">
      <c r="A141" s="21">
        <v>106</v>
      </c>
      <c r="B141" s="21" t="s">
        <v>121</v>
      </c>
      <c r="C141" s="21" t="s">
        <v>117</v>
      </c>
      <c r="D141" s="21" t="s">
        <v>103</v>
      </c>
      <c r="E141" s="22" t="s">
        <v>104</v>
      </c>
      <c r="F141" s="58">
        <f t="shared" si="41"/>
        <v>52.109400000000001</v>
      </c>
      <c r="G141" s="58">
        <f t="shared" si="42"/>
        <v>29181.263999999999</v>
      </c>
      <c r="H141" s="58">
        <f t="shared" si="40"/>
        <v>29181.263999999999</v>
      </c>
      <c r="I141" s="21">
        <v>1</v>
      </c>
      <c r="J141" s="21" t="s">
        <v>18</v>
      </c>
      <c r="K141" s="21" t="s">
        <v>22</v>
      </c>
      <c r="L141" s="26">
        <v>130.6</v>
      </c>
      <c r="M141" s="12">
        <f t="shared" si="43"/>
        <v>39.18</v>
      </c>
      <c r="N141" s="25"/>
      <c r="O141" s="66">
        <v>29181.263999999999</v>
      </c>
    </row>
    <row r="142" spans="1:15" ht="18.75" customHeight="1" x14ac:dyDescent="0.25">
      <c r="A142" s="27">
        <v>5</v>
      </c>
      <c r="B142" s="21" t="s">
        <v>121</v>
      </c>
      <c r="C142" s="27" t="s">
        <v>24</v>
      </c>
      <c r="D142" s="27" t="s">
        <v>147</v>
      </c>
      <c r="E142" s="28" t="s">
        <v>148</v>
      </c>
      <c r="F142" s="58">
        <f t="shared" si="41"/>
        <v>3.5231700000000004</v>
      </c>
      <c r="G142" s="58">
        <f t="shared" si="42"/>
        <v>1972.9752000000003</v>
      </c>
      <c r="H142" s="58">
        <f t="shared" si="40"/>
        <v>5918.9256000000005</v>
      </c>
      <c r="I142" s="27">
        <v>3</v>
      </c>
      <c r="J142" s="27" t="s">
        <v>18</v>
      </c>
      <c r="K142" s="27" t="s">
        <v>22</v>
      </c>
      <c r="L142" s="32">
        <v>8.83</v>
      </c>
      <c r="M142" s="12">
        <f t="shared" si="43"/>
        <v>2.649</v>
      </c>
      <c r="N142" s="31"/>
      <c r="O142" s="66">
        <v>5918.9256000000005</v>
      </c>
    </row>
    <row r="143" spans="1:15" ht="18.75" customHeight="1" x14ac:dyDescent="0.25">
      <c r="A143" s="21">
        <v>36</v>
      </c>
      <c r="B143" s="21" t="s">
        <v>121</v>
      </c>
      <c r="C143" s="21" t="s">
        <v>25</v>
      </c>
      <c r="D143" s="21" t="s">
        <v>26</v>
      </c>
      <c r="E143" s="22" t="s">
        <v>27</v>
      </c>
      <c r="F143" s="58">
        <f t="shared" si="41"/>
        <v>3.8383799999999999</v>
      </c>
      <c r="G143" s="58">
        <f t="shared" si="42"/>
        <v>2149.4928</v>
      </c>
      <c r="H143" s="58">
        <f t="shared" si="40"/>
        <v>2149.4928</v>
      </c>
      <c r="I143" s="6">
        <v>1</v>
      </c>
      <c r="J143" s="21" t="s">
        <v>18</v>
      </c>
      <c r="K143" s="21" t="s">
        <v>22</v>
      </c>
      <c r="L143" s="26">
        <v>9.6199999999999992</v>
      </c>
      <c r="M143" s="12">
        <f t="shared" si="43"/>
        <v>2.8859999999999997</v>
      </c>
      <c r="N143" s="25"/>
      <c r="O143" s="66">
        <v>2149.4928</v>
      </c>
    </row>
    <row r="144" spans="1:15" ht="18" customHeight="1" x14ac:dyDescent="0.25">
      <c r="A144" s="21">
        <v>37</v>
      </c>
      <c r="B144" s="21" t="s">
        <v>121</v>
      </c>
      <c r="C144" s="21" t="s">
        <v>25</v>
      </c>
      <c r="D144" s="21" t="s">
        <v>28</v>
      </c>
      <c r="E144" s="22" t="s">
        <v>29</v>
      </c>
      <c r="F144" s="58">
        <f t="shared" si="41"/>
        <v>3.8383799999999999</v>
      </c>
      <c r="G144" s="58">
        <f t="shared" si="42"/>
        <v>2149.4928</v>
      </c>
      <c r="H144" s="58">
        <f t="shared" si="40"/>
        <v>2149.4928</v>
      </c>
      <c r="I144" s="6">
        <v>1</v>
      </c>
      <c r="J144" s="21" t="s">
        <v>18</v>
      </c>
      <c r="K144" s="21" t="s">
        <v>22</v>
      </c>
      <c r="L144" s="26">
        <v>9.6199999999999992</v>
      </c>
      <c r="M144" s="12">
        <f t="shared" si="43"/>
        <v>2.8859999999999997</v>
      </c>
      <c r="N144" s="25"/>
      <c r="O144" s="66">
        <v>2149.4928</v>
      </c>
    </row>
    <row r="145" spans="1:15" ht="18" customHeight="1" x14ac:dyDescent="0.25">
      <c r="A145" s="21">
        <v>38</v>
      </c>
      <c r="B145" s="21" t="s">
        <v>121</v>
      </c>
      <c r="C145" s="21" t="s">
        <v>25</v>
      </c>
      <c r="D145" s="21" t="s">
        <v>30</v>
      </c>
      <c r="E145" s="22" t="s">
        <v>31</v>
      </c>
      <c r="F145" s="58">
        <f t="shared" si="41"/>
        <v>3.8383799999999999</v>
      </c>
      <c r="G145" s="58">
        <f t="shared" si="42"/>
        <v>2149.4928</v>
      </c>
      <c r="H145" s="58">
        <f t="shared" si="40"/>
        <v>2149.4928</v>
      </c>
      <c r="I145" s="6">
        <v>1</v>
      </c>
      <c r="J145" s="21" t="s">
        <v>18</v>
      </c>
      <c r="K145" s="21" t="s">
        <v>22</v>
      </c>
      <c r="L145" s="26">
        <v>9.6199999999999992</v>
      </c>
      <c r="M145" s="12">
        <f t="shared" si="43"/>
        <v>2.8859999999999997</v>
      </c>
      <c r="N145" s="25"/>
      <c r="O145" s="66">
        <v>2149.4928</v>
      </c>
    </row>
    <row r="146" spans="1:15" ht="18" customHeight="1" x14ac:dyDescent="0.25">
      <c r="A146" s="21">
        <v>107</v>
      </c>
      <c r="B146" s="21" t="s">
        <v>121</v>
      </c>
      <c r="C146" s="21" t="s">
        <v>118</v>
      </c>
      <c r="D146" s="21" t="s">
        <v>119</v>
      </c>
      <c r="E146" s="22" t="s">
        <v>120</v>
      </c>
      <c r="F146" s="60">
        <v>110</v>
      </c>
      <c r="G146" s="58">
        <f t="shared" ref="G146:G148" si="44">F146</f>
        <v>110</v>
      </c>
      <c r="H146" s="58">
        <f t="shared" si="40"/>
        <v>110</v>
      </c>
      <c r="I146" s="21">
        <v>1</v>
      </c>
      <c r="J146" s="21" t="s">
        <v>18</v>
      </c>
      <c r="K146" s="21" t="s">
        <v>140</v>
      </c>
      <c r="L146" s="23"/>
      <c r="M146" s="24"/>
      <c r="N146" s="25"/>
      <c r="O146" s="66">
        <v>110</v>
      </c>
    </row>
    <row r="147" spans="1:15" ht="18" customHeight="1" x14ac:dyDescent="0.25">
      <c r="A147" s="21">
        <v>108</v>
      </c>
      <c r="B147" s="21" t="s">
        <v>121</v>
      </c>
      <c r="C147" s="21" t="s">
        <v>40</v>
      </c>
      <c r="D147" s="21" t="s">
        <v>41</v>
      </c>
      <c r="E147" s="22" t="s">
        <v>42</v>
      </c>
      <c r="F147" s="58">
        <v>1450</v>
      </c>
      <c r="G147" s="58">
        <f t="shared" si="44"/>
        <v>1450</v>
      </c>
      <c r="H147" s="58">
        <f t="shared" si="40"/>
        <v>1450</v>
      </c>
      <c r="I147" s="21">
        <v>1</v>
      </c>
      <c r="J147" s="21" t="s">
        <v>18</v>
      </c>
      <c r="K147" s="6" t="s">
        <v>140</v>
      </c>
      <c r="L147" s="23"/>
      <c r="M147" s="24"/>
      <c r="N147" s="25"/>
      <c r="O147" s="66">
        <v>1450</v>
      </c>
    </row>
    <row r="148" spans="1:15" ht="18" customHeight="1" x14ac:dyDescent="0.25">
      <c r="A148" s="21">
        <v>109</v>
      </c>
      <c r="B148" s="21" t="s">
        <v>121</v>
      </c>
      <c r="C148" s="21" t="s">
        <v>44</v>
      </c>
      <c r="D148" s="21" t="s">
        <v>45</v>
      </c>
      <c r="E148" s="22" t="s">
        <v>46</v>
      </c>
      <c r="F148" s="58">
        <v>1100</v>
      </c>
      <c r="G148" s="58">
        <f t="shared" si="44"/>
        <v>1100</v>
      </c>
      <c r="H148" s="58">
        <f t="shared" si="40"/>
        <v>1100</v>
      </c>
      <c r="I148" s="21">
        <v>1</v>
      </c>
      <c r="J148" s="21" t="s">
        <v>18</v>
      </c>
      <c r="K148" s="6" t="s">
        <v>140</v>
      </c>
      <c r="L148" s="23"/>
      <c r="M148" s="24"/>
      <c r="N148" s="25"/>
      <c r="O148" s="66">
        <v>1100</v>
      </c>
    </row>
    <row r="149" spans="1:15" ht="18" customHeight="1" x14ac:dyDescent="0.25">
      <c r="A149" s="21">
        <v>110</v>
      </c>
      <c r="B149" s="21" t="s">
        <v>121</v>
      </c>
      <c r="C149" s="21" t="s">
        <v>47</v>
      </c>
      <c r="D149" s="21" t="s">
        <v>48</v>
      </c>
      <c r="E149" s="54" t="s">
        <v>48</v>
      </c>
      <c r="F149" s="58">
        <f ca="1">OFFSET(F149,1,2)</f>
        <v>13800</v>
      </c>
      <c r="G149" s="58">
        <f ca="1">F149</f>
        <v>13800</v>
      </c>
      <c r="H149" s="58">
        <f t="shared" ca="1" si="40"/>
        <v>13800</v>
      </c>
      <c r="I149" s="21">
        <v>1</v>
      </c>
      <c r="J149" s="6" t="s">
        <v>18</v>
      </c>
      <c r="K149" s="21" t="s">
        <v>47</v>
      </c>
      <c r="L149" s="23"/>
      <c r="M149" s="24"/>
      <c r="N149" s="25"/>
      <c r="O149" s="66">
        <v>13800</v>
      </c>
    </row>
    <row r="150" spans="1:15" ht="20.100000000000001" customHeight="1" x14ac:dyDescent="0.25">
      <c r="A150" s="21">
        <v>111</v>
      </c>
      <c r="B150" s="21" t="s">
        <v>121</v>
      </c>
      <c r="C150" s="21" t="s">
        <v>49</v>
      </c>
      <c r="D150" s="21" t="s">
        <v>50</v>
      </c>
      <c r="E150" s="22" t="s">
        <v>51</v>
      </c>
      <c r="F150" s="60">
        <v>2.2999999999999998</v>
      </c>
      <c r="G150" s="58">
        <v>100</v>
      </c>
      <c r="H150" s="58">
        <f t="shared" si="40"/>
        <v>13800</v>
      </c>
      <c r="I150" s="6">
        <f>60*F150</f>
        <v>138</v>
      </c>
      <c r="J150" s="6" t="s">
        <v>18</v>
      </c>
      <c r="K150" s="21" t="s">
        <v>49</v>
      </c>
      <c r="L150" s="23"/>
      <c r="M150" s="24"/>
      <c r="N150" s="25"/>
      <c r="O150" s="66">
        <v>13800</v>
      </c>
    </row>
    <row r="151" spans="1:15" ht="20.100000000000001" customHeight="1" x14ac:dyDescent="0.25">
      <c r="A151" s="21"/>
      <c r="B151" s="69" t="s">
        <v>166</v>
      </c>
      <c r="C151" s="21"/>
      <c r="D151" s="21"/>
      <c r="E151" s="22"/>
      <c r="F151" s="60"/>
      <c r="G151" s="58"/>
      <c r="H151" s="58">
        <f ca="1">SUBTOTAL(9,H136:H150)</f>
        <v>127720.06880000001</v>
      </c>
      <c r="I151" s="6"/>
      <c r="J151" s="6"/>
      <c r="K151" s="21"/>
      <c r="L151" s="23"/>
      <c r="M151" s="24"/>
      <c r="N151" s="25"/>
      <c r="O151" s="66">
        <v>127720.06880000001</v>
      </c>
    </row>
    <row r="152" spans="1:15" ht="18" customHeight="1" x14ac:dyDescent="0.25">
      <c r="A152" s="2">
        <v>112</v>
      </c>
      <c r="B152" s="2" t="s">
        <v>123</v>
      </c>
      <c r="C152" s="2"/>
      <c r="D152" s="2"/>
      <c r="E152" s="3" t="s">
        <v>124</v>
      </c>
      <c r="F152" s="57"/>
      <c r="G152" s="57"/>
      <c r="H152" s="57"/>
      <c r="I152" s="2">
        <v>1</v>
      </c>
      <c r="J152" s="2" t="s">
        <v>13</v>
      </c>
      <c r="K152" s="2" t="s">
        <v>14</v>
      </c>
      <c r="L152" s="4"/>
      <c r="M152" s="4"/>
      <c r="N152" s="5"/>
    </row>
    <row r="153" spans="1:15" ht="18" customHeight="1" x14ac:dyDescent="0.25">
      <c r="A153" s="14">
        <v>113</v>
      </c>
      <c r="B153" s="14" t="s">
        <v>123</v>
      </c>
      <c r="C153" s="14" t="s">
        <v>15</v>
      </c>
      <c r="D153" s="39" t="s">
        <v>151</v>
      </c>
      <c r="E153" s="15" t="s">
        <v>152</v>
      </c>
      <c r="F153" s="63">
        <v>26500</v>
      </c>
      <c r="G153" s="58">
        <f>0.6*F153</f>
        <v>15900</v>
      </c>
      <c r="H153" s="58">
        <f t="shared" ref="H153:H165" si="45">G153*I153</f>
        <v>15900</v>
      </c>
      <c r="I153" s="14">
        <v>1</v>
      </c>
      <c r="J153" s="14" t="s">
        <v>18</v>
      </c>
      <c r="K153" s="6" t="s">
        <v>141</v>
      </c>
      <c r="L153" s="16"/>
      <c r="M153" s="17"/>
      <c r="N153" s="18"/>
      <c r="O153" s="66">
        <v>15900</v>
      </c>
    </row>
    <row r="154" spans="1:15" ht="18" customHeight="1" x14ac:dyDescent="0.25">
      <c r="A154" s="14">
        <v>114</v>
      </c>
      <c r="B154" s="14" t="s">
        <v>123</v>
      </c>
      <c r="C154" s="14" t="s">
        <v>95</v>
      </c>
      <c r="D154" s="14" t="s">
        <v>125</v>
      </c>
      <c r="E154" s="15" t="s">
        <v>126</v>
      </c>
      <c r="F154" s="58">
        <f t="shared" ref="F154:F161" si="46">1.33*M154</f>
        <v>39.939900000000002</v>
      </c>
      <c r="G154" s="58">
        <f t="shared" ref="G154:G161" si="47">F154*560</f>
        <v>22366.344000000001</v>
      </c>
      <c r="H154" s="58">
        <f t="shared" si="45"/>
        <v>22366.344000000001</v>
      </c>
      <c r="I154" s="14">
        <v>1</v>
      </c>
      <c r="J154" s="14" t="s">
        <v>18</v>
      </c>
      <c r="K154" s="14" t="s">
        <v>22</v>
      </c>
      <c r="L154" s="20">
        <v>100.1</v>
      </c>
      <c r="M154" s="12">
        <f t="shared" ref="M154:M161" si="48">0.3*L154</f>
        <v>30.029999999999998</v>
      </c>
      <c r="N154" s="18"/>
      <c r="O154" s="66">
        <v>22366.344000000001</v>
      </c>
    </row>
    <row r="155" spans="1:15" ht="18" customHeight="1" x14ac:dyDescent="0.25">
      <c r="A155" s="14">
        <v>115</v>
      </c>
      <c r="B155" s="14" t="s">
        <v>123</v>
      </c>
      <c r="C155" s="14" t="s">
        <v>24</v>
      </c>
      <c r="D155" s="14" t="s">
        <v>127</v>
      </c>
      <c r="E155" s="15" t="s">
        <v>128</v>
      </c>
      <c r="F155" s="58">
        <f t="shared" si="46"/>
        <v>77.3262</v>
      </c>
      <c r="G155" s="58">
        <f t="shared" si="47"/>
        <v>43302.671999999999</v>
      </c>
      <c r="H155" s="58">
        <f t="shared" si="45"/>
        <v>43302.671999999999</v>
      </c>
      <c r="I155" s="14">
        <v>1</v>
      </c>
      <c r="J155" s="14" t="s">
        <v>18</v>
      </c>
      <c r="K155" s="14" t="s">
        <v>22</v>
      </c>
      <c r="L155" s="20">
        <v>193.8</v>
      </c>
      <c r="M155" s="12">
        <f t="shared" si="48"/>
        <v>58.14</v>
      </c>
      <c r="N155" s="18"/>
      <c r="O155" s="66">
        <v>43302.671999999999</v>
      </c>
    </row>
    <row r="156" spans="1:15" ht="18" customHeight="1" x14ac:dyDescent="0.25">
      <c r="A156" s="14">
        <v>116</v>
      </c>
      <c r="B156" s="14" t="s">
        <v>123</v>
      </c>
      <c r="C156" s="14" t="s">
        <v>100</v>
      </c>
      <c r="D156" s="14" t="s">
        <v>101</v>
      </c>
      <c r="E156" s="15" t="s">
        <v>102</v>
      </c>
      <c r="F156" s="58">
        <f t="shared" si="46"/>
        <v>34.964370000000002</v>
      </c>
      <c r="G156" s="58">
        <f t="shared" si="47"/>
        <v>19580.047200000001</v>
      </c>
      <c r="H156" s="58">
        <f t="shared" si="45"/>
        <v>19580.047200000001</v>
      </c>
      <c r="I156" s="14">
        <v>1</v>
      </c>
      <c r="J156" s="14" t="s">
        <v>18</v>
      </c>
      <c r="K156" s="14" t="s">
        <v>22</v>
      </c>
      <c r="L156" s="20">
        <v>87.63</v>
      </c>
      <c r="M156" s="12">
        <f t="shared" si="48"/>
        <v>26.288999999999998</v>
      </c>
      <c r="N156" s="18"/>
      <c r="O156" s="66">
        <v>19580.047200000001</v>
      </c>
    </row>
    <row r="157" spans="1:15" ht="18" customHeight="1" x14ac:dyDescent="0.25">
      <c r="A157" s="14">
        <v>117</v>
      </c>
      <c r="B157" s="14" t="s">
        <v>123</v>
      </c>
      <c r="C157" s="14" t="s">
        <v>24</v>
      </c>
      <c r="D157" s="14" t="s">
        <v>115</v>
      </c>
      <c r="E157" s="15" t="s">
        <v>116</v>
      </c>
      <c r="F157" s="58">
        <f t="shared" si="46"/>
        <v>3.2279100000000001</v>
      </c>
      <c r="G157" s="58">
        <f t="shared" si="47"/>
        <v>1807.6296</v>
      </c>
      <c r="H157" s="58">
        <f t="shared" si="45"/>
        <v>3615.2592</v>
      </c>
      <c r="I157" s="14">
        <v>2</v>
      </c>
      <c r="J157" s="14" t="s">
        <v>18</v>
      </c>
      <c r="K157" s="14" t="s">
        <v>22</v>
      </c>
      <c r="L157" s="20">
        <v>8.09</v>
      </c>
      <c r="M157" s="12">
        <f t="shared" si="48"/>
        <v>2.427</v>
      </c>
      <c r="N157" s="18"/>
      <c r="O157" s="66">
        <v>3615.2592</v>
      </c>
    </row>
    <row r="158" spans="1:15" ht="18.75" customHeight="1" x14ac:dyDescent="0.25">
      <c r="A158" s="27">
        <v>5</v>
      </c>
      <c r="B158" s="14" t="s">
        <v>123</v>
      </c>
      <c r="C158" s="27" t="s">
        <v>24</v>
      </c>
      <c r="D158" s="27" t="s">
        <v>147</v>
      </c>
      <c r="E158" s="28" t="s">
        <v>148</v>
      </c>
      <c r="F158" s="58">
        <f t="shared" si="46"/>
        <v>3.5231700000000004</v>
      </c>
      <c r="G158" s="58">
        <f t="shared" si="47"/>
        <v>1972.9752000000003</v>
      </c>
      <c r="H158" s="58">
        <f t="shared" si="45"/>
        <v>5918.9256000000005</v>
      </c>
      <c r="I158" s="27">
        <v>3</v>
      </c>
      <c r="J158" s="27" t="s">
        <v>18</v>
      </c>
      <c r="K158" s="27" t="s">
        <v>22</v>
      </c>
      <c r="L158" s="32">
        <v>8.83</v>
      </c>
      <c r="M158" s="12">
        <f t="shared" si="48"/>
        <v>2.649</v>
      </c>
      <c r="N158" s="31"/>
      <c r="O158" s="66">
        <v>5918.9256000000005</v>
      </c>
    </row>
    <row r="159" spans="1:15" ht="18.75" customHeight="1" x14ac:dyDescent="0.25">
      <c r="A159" s="21">
        <v>36</v>
      </c>
      <c r="B159" s="14" t="s">
        <v>123</v>
      </c>
      <c r="C159" s="21" t="s">
        <v>25</v>
      </c>
      <c r="D159" s="21" t="s">
        <v>26</v>
      </c>
      <c r="E159" s="22" t="s">
        <v>27</v>
      </c>
      <c r="F159" s="58">
        <f t="shared" si="46"/>
        <v>3.8383799999999999</v>
      </c>
      <c r="G159" s="58">
        <f t="shared" si="47"/>
        <v>2149.4928</v>
      </c>
      <c r="H159" s="58">
        <f t="shared" si="45"/>
        <v>2149.4928</v>
      </c>
      <c r="I159" s="6">
        <v>1</v>
      </c>
      <c r="J159" s="21" t="s">
        <v>18</v>
      </c>
      <c r="K159" s="21" t="s">
        <v>22</v>
      </c>
      <c r="L159" s="26">
        <v>9.6199999999999992</v>
      </c>
      <c r="M159" s="12">
        <f t="shared" si="48"/>
        <v>2.8859999999999997</v>
      </c>
      <c r="N159" s="25"/>
      <c r="O159" s="66">
        <v>2149.4928</v>
      </c>
    </row>
    <row r="160" spans="1:15" ht="18" customHeight="1" x14ac:dyDescent="0.25">
      <c r="A160" s="21">
        <v>37</v>
      </c>
      <c r="B160" s="14" t="s">
        <v>123</v>
      </c>
      <c r="C160" s="21" t="s">
        <v>25</v>
      </c>
      <c r="D160" s="21" t="s">
        <v>28</v>
      </c>
      <c r="E160" s="22" t="s">
        <v>29</v>
      </c>
      <c r="F160" s="58">
        <f t="shared" si="46"/>
        <v>3.8383799999999999</v>
      </c>
      <c r="G160" s="58">
        <f t="shared" si="47"/>
        <v>2149.4928</v>
      </c>
      <c r="H160" s="58">
        <f t="shared" si="45"/>
        <v>2149.4928</v>
      </c>
      <c r="I160" s="6">
        <v>1</v>
      </c>
      <c r="J160" s="21" t="s">
        <v>18</v>
      </c>
      <c r="K160" s="21" t="s">
        <v>22</v>
      </c>
      <c r="L160" s="26">
        <v>9.6199999999999992</v>
      </c>
      <c r="M160" s="12">
        <f t="shared" si="48"/>
        <v>2.8859999999999997</v>
      </c>
      <c r="N160" s="25"/>
      <c r="O160" s="66">
        <v>2149.4928</v>
      </c>
    </row>
    <row r="161" spans="1:15" ht="18" customHeight="1" x14ac:dyDescent="0.25">
      <c r="A161" s="21">
        <v>38</v>
      </c>
      <c r="B161" s="14" t="s">
        <v>123</v>
      </c>
      <c r="C161" s="21" t="s">
        <v>25</v>
      </c>
      <c r="D161" s="21" t="s">
        <v>30</v>
      </c>
      <c r="E161" s="22" t="s">
        <v>31</v>
      </c>
      <c r="F161" s="58">
        <f t="shared" si="46"/>
        <v>3.8383799999999999</v>
      </c>
      <c r="G161" s="58">
        <f t="shared" si="47"/>
        <v>2149.4928</v>
      </c>
      <c r="H161" s="58">
        <f t="shared" si="45"/>
        <v>2149.4928</v>
      </c>
      <c r="I161" s="6">
        <v>1</v>
      </c>
      <c r="J161" s="21" t="s">
        <v>18</v>
      </c>
      <c r="K161" s="21" t="s">
        <v>22</v>
      </c>
      <c r="L161" s="26">
        <v>9.6199999999999992</v>
      </c>
      <c r="M161" s="12">
        <f t="shared" si="48"/>
        <v>2.8859999999999997</v>
      </c>
      <c r="N161" s="25"/>
      <c r="O161" s="66">
        <v>2149.4928</v>
      </c>
    </row>
    <row r="162" spans="1:15" ht="18" customHeight="1" x14ac:dyDescent="0.25">
      <c r="A162" s="14">
        <v>118</v>
      </c>
      <c r="B162" s="14" t="s">
        <v>123</v>
      </c>
      <c r="C162" s="14" t="s">
        <v>40</v>
      </c>
      <c r="D162" s="14" t="s">
        <v>41</v>
      </c>
      <c r="E162" s="15" t="s">
        <v>42</v>
      </c>
      <c r="F162" s="58">
        <v>1450</v>
      </c>
      <c r="G162" s="58">
        <f t="shared" ref="G162:G163" si="49">F162</f>
        <v>1450</v>
      </c>
      <c r="H162" s="58">
        <f t="shared" si="45"/>
        <v>1450</v>
      </c>
      <c r="I162" s="14">
        <v>1</v>
      </c>
      <c r="J162" s="14" t="s">
        <v>18</v>
      </c>
      <c r="K162" s="6" t="s">
        <v>140</v>
      </c>
      <c r="L162" s="16"/>
      <c r="M162" s="17"/>
      <c r="N162" s="18"/>
      <c r="O162" s="66">
        <v>1450</v>
      </c>
    </row>
    <row r="163" spans="1:15" ht="18" customHeight="1" x14ac:dyDescent="0.25">
      <c r="A163" s="14">
        <v>119</v>
      </c>
      <c r="B163" s="14" t="s">
        <v>123</v>
      </c>
      <c r="C163" s="14" t="s">
        <v>44</v>
      </c>
      <c r="D163" s="14" t="s">
        <v>45</v>
      </c>
      <c r="E163" s="15" t="s">
        <v>46</v>
      </c>
      <c r="F163" s="58">
        <v>1100</v>
      </c>
      <c r="G163" s="58">
        <f t="shared" si="49"/>
        <v>1100</v>
      </c>
      <c r="H163" s="58">
        <f t="shared" si="45"/>
        <v>1100</v>
      </c>
      <c r="I163" s="14">
        <v>1</v>
      </c>
      <c r="J163" s="14" t="s">
        <v>18</v>
      </c>
      <c r="K163" s="6" t="s">
        <v>140</v>
      </c>
      <c r="L163" s="16"/>
      <c r="M163" s="17"/>
      <c r="N163" s="18"/>
      <c r="O163" s="66">
        <v>1100</v>
      </c>
    </row>
    <row r="164" spans="1:15" ht="18" customHeight="1" x14ac:dyDescent="0.25">
      <c r="A164" s="14">
        <v>120</v>
      </c>
      <c r="B164" s="14" t="s">
        <v>123</v>
      </c>
      <c r="C164" s="14" t="s">
        <v>47</v>
      </c>
      <c r="D164" s="14" t="s">
        <v>48</v>
      </c>
      <c r="E164" s="54" t="s">
        <v>48</v>
      </c>
      <c r="F164" s="58">
        <f ca="1">OFFSET(F164,1,2)</f>
        <v>18000</v>
      </c>
      <c r="G164" s="58">
        <f ca="1">F164</f>
        <v>18000</v>
      </c>
      <c r="H164" s="58">
        <f t="shared" ca="1" si="45"/>
        <v>18000</v>
      </c>
      <c r="I164" s="14">
        <v>1</v>
      </c>
      <c r="J164" s="6" t="s">
        <v>18</v>
      </c>
      <c r="K164" s="14" t="s">
        <v>47</v>
      </c>
      <c r="L164" s="16"/>
      <c r="M164" s="17"/>
      <c r="N164" s="18"/>
      <c r="O164" s="66">
        <v>18000</v>
      </c>
    </row>
    <row r="165" spans="1:15" ht="20.100000000000001" customHeight="1" x14ac:dyDescent="0.25">
      <c r="A165" s="14">
        <v>121</v>
      </c>
      <c r="B165" s="14" t="s">
        <v>123</v>
      </c>
      <c r="C165" s="14" t="s">
        <v>49</v>
      </c>
      <c r="D165" s="14" t="s">
        <v>50</v>
      </c>
      <c r="E165" s="15" t="s">
        <v>51</v>
      </c>
      <c r="F165" s="59">
        <v>3</v>
      </c>
      <c r="G165" s="58">
        <v>100</v>
      </c>
      <c r="H165" s="58">
        <f t="shared" si="45"/>
        <v>18000</v>
      </c>
      <c r="I165" s="6">
        <f>60*F165</f>
        <v>180</v>
      </c>
      <c r="J165" s="6" t="s">
        <v>18</v>
      </c>
      <c r="K165" s="14" t="s">
        <v>49</v>
      </c>
      <c r="L165" s="16"/>
      <c r="M165" s="17"/>
      <c r="N165" s="18"/>
      <c r="O165" s="66">
        <v>18000</v>
      </c>
    </row>
    <row r="166" spans="1:15" ht="20.100000000000001" customHeight="1" x14ac:dyDescent="0.25">
      <c r="A166" s="14"/>
      <c r="B166" s="68" t="s">
        <v>167</v>
      </c>
      <c r="C166" s="14"/>
      <c r="D166" s="14"/>
      <c r="E166" s="15"/>
      <c r="F166" s="59"/>
      <c r="G166" s="58"/>
      <c r="H166" s="58">
        <f ca="1">SUBTOTAL(9,H152:H165)</f>
        <v>155681.72640000001</v>
      </c>
      <c r="I166" s="6"/>
      <c r="J166" s="6"/>
      <c r="K166" s="14"/>
      <c r="L166" s="16"/>
      <c r="M166" s="17"/>
      <c r="N166" s="18"/>
      <c r="O166" s="66">
        <v>155681.72640000001</v>
      </c>
    </row>
    <row r="167" spans="1:15" ht="18" customHeight="1" x14ac:dyDescent="0.25">
      <c r="A167" s="2">
        <v>122</v>
      </c>
      <c r="B167" s="2" t="s">
        <v>129</v>
      </c>
      <c r="C167" s="2"/>
      <c r="D167" s="2"/>
      <c r="E167" s="3" t="s">
        <v>130</v>
      </c>
      <c r="F167" s="57"/>
      <c r="G167" s="57"/>
      <c r="H167" s="57"/>
      <c r="I167" s="2">
        <v>1</v>
      </c>
      <c r="J167" s="2" t="s">
        <v>13</v>
      </c>
      <c r="K167" s="2" t="s">
        <v>14</v>
      </c>
      <c r="L167" s="4"/>
      <c r="M167" s="4"/>
      <c r="N167" s="5"/>
    </row>
    <row r="168" spans="1:15" ht="18" customHeight="1" x14ac:dyDescent="0.25">
      <c r="A168" s="6">
        <v>123</v>
      </c>
      <c r="B168" s="6" t="s">
        <v>129</v>
      </c>
      <c r="C168" s="6" t="s">
        <v>15</v>
      </c>
      <c r="D168" s="39" t="s">
        <v>151</v>
      </c>
      <c r="E168" s="15" t="s">
        <v>152</v>
      </c>
      <c r="F168" s="63">
        <v>26500</v>
      </c>
      <c r="G168" s="58">
        <f>0.6*F168</f>
        <v>15900</v>
      </c>
      <c r="H168" s="58">
        <f t="shared" ref="H168:H179" si="50">G168*I168</f>
        <v>15900</v>
      </c>
      <c r="I168" s="6">
        <v>1</v>
      </c>
      <c r="J168" s="6" t="s">
        <v>18</v>
      </c>
      <c r="K168" s="6" t="s">
        <v>141</v>
      </c>
      <c r="L168" s="8"/>
      <c r="M168" s="9"/>
      <c r="N168" s="10"/>
      <c r="O168" s="66">
        <v>15900</v>
      </c>
    </row>
    <row r="169" spans="1:15" ht="18" customHeight="1" x14ac:dyDescent="0.25">
      <c r="A169" s="6">
        <v>124</v>
      </c>
      <c r="B169" s="6" t="s">
        <v>129</v>
      </c>
      <c r="C169" s="6" t="s">
        <v>95</v>
      </c>
      <c r="D169" s="6" t="s">
        <v>96</v>
      </c>
      <c r="E169" s="7" t="s">
        <v>97</v>
      </c>
      <c r="F169" s="58">
        <f t="shared" ref="F169:F175" si="51">1.33*M169</f>
        <v>25.907070000000004</v>
      </c>
      <c r="G169" s="58">
        <f t="shared" ref="G169:G175" si="52">F169*560</f>
        <v>14507.959200000003</v>
      </c>
      <c r="H169" s="58">
        <f t="shared" si="50"/>
        <v>14507.959200000003</v>
      </c>
      <c r="I169" s="6">
        <v>1</v>
      </c>
      <c r="J169" s="6" t="s">
        <v>18</v>
      </c>
      <c r="K169" s="6" t="s">
        <v>22</v>
      </c>
      <c r="L169" s="11">
        <v>64.930000000000007</v>
      </c>
      <c r="M169" s="12">
        <f t="shared" ref="M169:M175" si="53">0.3*L169</f>
        <v>19.479000000000003</v>
      </c>
      <c r="N169" s="10"/>
      <c r="O169" s="66">
        <v>14507.959200000003</v>
      </c>
    </row>
    <row r="170" spans="1:15" ht="18" customHeight="1" x14ac:dyDescent="0.25">
      <c r="A170" s="6">
        <v>125</v>
      </c>
      <c r="B170" s="6" t="s">
        <v>129</v>
      </c>
      <c r="C170" s="6" t="s">
        <v>24</v>
      </c>
      <c r="D170" s="6" t="s">
        <v>131</v>
      </c>
      <c r="E170" s="7" t="s">
        <v>132</v>
      </c>
      <c r="F170" s="58">
        <f t="shared" si="51"/>
        <v>14.531580000000002</v>
      </c>
      <c r="G170" s="58">
        <f t="shared" si="52"/>
        <v>8137.6848000000009</v>
      </c>
      <c r="H170" s="58">
        <f t="shared" si="50"/>
        <v>8137.6848000000009</v>
      </c>
      <c r="I170" s="6">
        <v>1</v>
      </c>
      <c r="J170" s="6" t="s">
        <v>18</v>
      </c>
      <c r="K170" s="6" t="s">
        <v>22</v>
      </c>
      <c r="L170" s="11">
        <v>36.42</v>
      </c>
      <c r="M170" s="12">
        <f t="shared" si="53"/>
        <v>10.926</v>
      </c>
      <c r="N170" s="10"/>
      <c r="O170" s="66">
        <v>8137.6848000000009</v>
      </c>
    </row>
    <row r="171" spans="1:15" ht="18" customHeight="1" x14ac:dyDescent="0.25">
      <c r="A171" s="6">
        <v>126</v>
      </c>
      <c r="B171" s="6" t="s">
        <v>129</v>
      </c>
      <c r="C171" s="6" t="s">
        <v>24</v>
      </c>
      <c r="D171" s="6" t="s">
        <v>115</v>
      </c>
      <c r="E171" s="7" t="s">
        <v>116</v>
      </c>
      <c r="F171" s="58">
        <f t="shared" si="51"/>
        <v>3.2279100000000001</v>
      </c>
      <c r="G171" s="58">
        <f t="shared" si="52"/>
        <v>1807.6296</v>
      </c>
      <c r="H171" s="58">
        <f t="shared" si="50"/>
        <v>1807.6296</v>
      </c>
      <c r="I171" s="6">
        <v>1</v>
      </c>
      <c r="J171" s="6" t="s">
        <v>18</v>
      </c>
      <c r="K171" s="6" t="s">
        <v>22</v>
      </c>
      <c r="L171" s="11">
        <v>8.09</v>
      </c>
      <c r="M171" s="12">
        <f t="shared" si="53"/>
        <v>2.427</v>
      </c>
      <c r="N171" s="10"/>
      <c r="O171" s="66">
        <v>1807.6296</v>
      </c>
    </row>
    <row r="172" spans="1:15" ht="18.75" customHeight="1" x14ac:dyDescent="0.25">
      <c r="A172" s="27">
        <v>5</v>
      </c>
      <c r="B172" s="6" t="s">
        <v>129</v>
      </c>
      <c r="C172" s="27" t="s">
        <v>24</v>
      </c>
      <c r="D172" s="27" t="s">
        <v>147</v>
      </c>
      <c r="E172" s="28" t="s">
        <v>148</v>
      </c>
      <c r="F172" s="58">
        <f t="shared" si="51"/>
        <v>3.5231700000000004</v>
      </c>
      <c r="G172" s="58">
        <f t="shared" si="52"/>
        <v>1972.9752000000003</v>
      </c>
      <c r="H172" s="58">
        <f t="shared" si="50"/>
        <v>5918.9256000000005</v>
      </c>
      <c r="I172" s="27">
        <v>3</v>
      </c>
      <c r="J172" s="27" t="s">
        <v>18</v>
      </c>
      <c r="K172" s="27" t="s">
        <v>22</v>
      </c>
      <c r="L172" s="32">
        <v>8.83</v>
      </c>
      <c r="M172" s="12">
        <f t="shared" si="53"/>
        <v>2.649</v>
      </c>
      <c r="N172" s="31"/>
      <c r="O172" s="66">
        <v>5918.9256000000005</v>
      </c>
    </row>
    <row r="173" spans="1:15" ht="18.75" customHeight="1" x14ac:dyDescent="0.25">
      <c r="A173" s="21">
        <v>36</v>
      </c>
      <c r="B173" s="6" t="s">
        <v>129</v>
      </c>
      <c r="C173" s="21" t="s">
        <v>25</v>
      </c>
      <c r="D173" s="21" t="s">
        <v>26</v>
      </c>
      <c r="E173" s="22" t="s">
        <v>27</v>
      </c>
      <c r="F173" s="58">
        <f t="shared" si="51"/>
        <v>3.8383799999999999</v>
      </c>
      <c r="G173" s="58">
        <f t="shared" si="52"/>
        <v>2149.4928</v>
      </c>
      <c r="H173" s="58">
        <f t="shared" si="50"/>
        <v>2149.4928</v>
      </c>
      <c r="I173" s="6">
        <v>1</v>
      </c>
      <c r="J173" s="21" t="s">
        <v>18</v>
      </c>
      <c r="K173" s="21" t="s">
        <v>22</v>
      </c>
      <c r="L173" s="26">
        <v>9.6199999999999992</v>
      </c>
      <c r="M173" s="12">
        <f t="shared" si="53"/>
        <v>2.8859999999999997</v>
      </c>
      <c r="N173" s="25"/>
      <c r="O173" s="66">
        <v>2149.4928</v>
      </c>
    </row>
    <row r="174" spans="1:15" ht="18" customHeight="1" x14ac:dyDescent="0.25">
      <c r="A174" s="21">
        <v>37</v>
      </c>
      <c r="B174" s="6" t="s">
        <v>129</v>
      </c>
      <c r="C174" s="21" t="s">
        <v>25</v>
      </c>
      <c r="D174" s="21" t="s">
        <v>28</v>
      </c>
      <c r="E174" s="22" t="s">
        <v>29</v>
      </c>
      <c r="F174" s="58">
        <f t="shared" si="51"/>
        <v>3.8383799999999999</v>
      </c>
      <c r="G174" s="58">
        <f t="shared" si="52"/>
        <v>2149.4928</v>
      </c>
      <c r="H174" s="58">
        <f t="shared" si="50"/>
        <v>2149.4928</v>
      </c>
      <c r="I174" s="6">
        <v>1</v>
      </c>
      <c r="J174" s="21" t="s">
        <v>18</v>
      </c>
      <c r="K174" s="21" t="s">
        <v>22</v>
      </c>
      <c r="L174" s="26">
        <v>9.6199999999999992</v>
      </c>
      <c r="M174" s="12">
        <f t="shared" si="53"/>
        <v>2.8859999999999997</v>
      </c>
      <c r="N174" s="25"/>
      <c r="O174" s="66">
        <v>2149.4928</v>
      </c>
    </row>
    <row r="175" spans="1:15" ht="18" customHeight="1" x14ac:dyDescent="0.25">
      <c r="A175" s="21">
        <v>38</v>
      </c>
      <c r="B175" s="6" t="s">
        <v>129</v>
      </c>
      <c r="C175" s="21" t="s">
        <v>25</v>
      </c>
      <c r="D175" s="21" t="s">
        <v>30</v>
      </c>
      <c r="E175" s="22" t="s">
        <v>31</v>
      </c>
      <c r="F175" s="58">
        <f t="shared" si="51"/>
        <v>3.8383799999999999</v>
      </c>
      <c r="G175" s="58">
        <f t="shared" si="52"/>
        <v>2149.4928</v>
      </c>
      <c r="H175" s="58">
        <f t="shared" si="50"/>
        <v>2149.4928</v>
      </c>
      <c r="I175" s="6">
        <v>1</v>
      </c>
      <c r="J175" s="21" t="s">
        <v>18</v>
      </c>
      <c r="K175" s="21" t="s">
        <v>22</v>
      </c>
      <c r="L175" s="26">
        <v>9.6199999999999992</v>
      </c>
      <c r="M175" s="12">
        <f t="shared" si="53"/>
        <v>2.8859999999999997</v>
      </c>
      <c r="N175" s="25"/>
      <c r="O175" s="66">
        <v>2149.4928</v>
      </c>
    </row>
    <row r="176" spans="1:15" ht="18" customHeight="1" x14ac:dyDescent="0.25">
      <c r="A176" s="6">
        <v>127</v>
      </c>
      <c r="B176" s="6" t="s">
        <v>129</v>
      </c>
      <c r="C176" s="6" t="s">
        <v>40</v>
      </c>
      <c r="D176" s="6" t="s">
        <v>41</v>
      </c>
      <c r="E176" s="7" t="s">
        <v>42</v>
      </c>
      <c r="F176" s="58">
        <v>1450</v>
      </c>
      <c r="G176" s="58">
        <f t="shared" ref="G176:G177" si="54">F176</f>
        <v>1450</v>
      </c>
      <c r="H176" s="58">
        <f t="shared" si="50"/>
        <v>1450</v>
      </c>
      <c r="I176" s="6">
        <v>1</v>
      </c>
      <c r="J176" s="6" t="s">
        <v>18</v>
      </c>
      <c r="K176" s="6" t="s">
        <v>140</v>
      </c>
      <c r="L176" s="8"/>
      <c r="M176" s="9"/>
      <c r="N176" s="10"/>
      <c r="O176" s="66">
        <v>1450</v>
      </c>
    </row>
    <row r="177" spans="1:15" ht="18" customHeight="1" x14ac:dyDescent="0.25">
      <c r="A177" s="6">
        <v>128</v>
      </c>
      <c r="B177" s="6" t="s">
        <v>129</v>
      </c>
      <c r="C177" s="6" t="s">
        <v>44</v>
      </c>
      <c r="D177" s="6" t="s">
        <v>45</v>
      </c>
      <c r="E177" s="7" t="s">
        <v>46</v>
      </c>
      <c r="F177" s="58">
        <v>1100</v>
      </c>
      <c r="G177" s="58">
        <f t="shared" si="54"/>
        <v>1100</v>
      </c>
      <c r="H177" s="58">
        <f t="shared" si="50"/>
        <v>1100</v>
      </c>
      <c r="I177" s="6">
        <v>1</v>
      </c>
      <c r="J177" s="6" t="s">
        <v>18</v>
      </c>
      <c r="K177" s="6" t="s">
        <v>140</v>
      </c>
      <c r="L177" s="8"/>
      <c r="M177" s="9"/>
      <c r="N177" s="10"/>
      <c r="O177" s="66">
        <v>1100</v>
      </c>
    </row>
    <row r="178" spans="1:15" ht="18" customHeight="1" x14ac:dyDescent="0.25">
      <c r="A178" s="6">
        <v>129</v>
      </c>
      <c r="B178" s="6" t="s">
        <v>129</v>
      </c>
      <c r="C178" s="6" t="s">
        <v>47</v>
      </c>
      <c r="D178" s="6" t="s">
        <v>48</v>
      </c>
      <c r="E178" s="54" t="s">
        <v>48</v>
      </c>
      <c r="F178" s="58">
        <f ca="1">OFFSET(F178,1,2)</f>
        <v>7800</v>
      </c>
      <c r="G178" s="58">
        <f ca="1">F178</f>
        <v>7800</v>
      </c>
      <c r="H178" s="58">
        <f t="shared" ca="1" si="50"/>
        <v>7800</v>
      </c>
      <c r="I178" s="6">
        <v>1</v>
      </c>
      <c r="J178" s="6" t="s">
        <v>18</v>
      </c>
      <c r="K178" s="6" t="s">
        <v>47</v>
      </c>
      <c r="L178" s="8"/>
      <c r="M178" s="9"/>
      <c r="N178" s="10"/>
      <c r="O178" s="66">
        <v>7800</v>
      </c>
    </row>
    <row r="179" spans="1:15" ht="20.100000000000001" customHeight="1" x14ac:dyDescent="0.25">
      <c r="A179" s="6">
        <v>130</v>
      </c>
      <c r="B179" s="6" t="s">
        <v>129</v>
      </c>
      <c r="C179" s="6" t="s">
        <v>49</v>
      </c>
      <c r="D179" s="6" t="s">
        <v>50</v>
      </c>
      <c r="E179" s="7" t="s">
        <v>51</v>
      </c>
      <c r="F179" s="58">
        <v>1.3</v>
      </c>
      <c r="G179" s="58">
        <v>100</v>
      </c>
      <c r="H179" s="58">
        <f t="shared" si="50"/>
        <v>7800</v>
      </c>
      <c r="I179" s="6">
        <f>60*F179</f>
        <v>78</v>
      </c>
      <c r="J179" s="6" t="s">
        <v>18</v>
      </c>
      <c r="K179" s="6" t="s">
        <v>49</v>
      </c>
      <c r="L179" s="8"/>
      <c r="M179" s="9"/>
      <c r="N179" s="10"/>
      <c r="O179" s="66">
        <v>7800</v>
      </c>
    </row>
    <row r="180" spans="1:15" ht="20.100000000000001" customHeight="1" x14ac:dyDescent="0.25">
      <c r="A180" s="6"/>
      <c r="B180" s="67" t="s">
        <v>168</v>
      </c>
      <c r="C180" s="6"/>
      <c r="D180" s="6"/>
      <c r="E180" s="7"/>
      <c r="F180" s="58"/>
      <c r="G180" s="58"/>
      <c r="H180" s="58">
        <f ca="1">SUBTOTAL(9,H167:H179)</f>
        <v>70870.67760000001</v>
      </c>
      <c r="I180" s="6"/>
      <c r="J180" s="6"/>
      <c r="K180" s="6"/>
      <c r="L180" s="8"/>
      <c r="M180" s="9"/>
      <c r="N180" s="10"/>
      <c r="O180" s="66">
        <v>70870.67760000001</v>
      </c>
    </row>
    <row r="181" spans="1:15" ht="18" customHeight="1" x14ac:dyDescent="0.25">
      <c r="A181" s="2">
        <v>131</v>
      </c>
      <c r="B181" s="2" t="s">
        <v>133</v>
      </c>
      <c r="C181" s="2"/>
      <c r="D181" s="2"/>
      <c r="E181" s="3" t="s">
        <v>134</v>
      </c>
      <c r="F181" s="57"/>
      <c r="G181" s="57"/>
      <c r="H181" s="57"/>
      <c r="I181" s="2">
        <v>1</v>
      </c>
      <c r="J181" s="2" t="s">
        <v>13</v>
      </c>
      <c r="K181" s="2" t="s">
        <v>14</v>
      </c>
      <c r="L181" s="4"/>
      <c r="M181" s="4"/>
      <c r="N181" s="5"/>
    </row>
    <row r="182" spans="1:15" ht="18" customHeight="1" x14ac:dyDescent="0.25">
      <c r="A182" s="27">
        <v>132</v>
      </c>
      <c r="B182" s="27" t="s">
        <v>133</v>
      </c>
      <c r="C182" s="27" t="s">
        <v>15</v>
      </c>
      <c r="D182" s="39" t="s">
        <v>151</v>
      </c>
      <c r="E182" s="15" t="s">
        <v>152</v>
      </c>
      <c r="F182" s="63">
        <v>26500</v>
      </c>
      <c r="G182" s="58">
        <f>0.6*F182</f>
        <v>15900</v>
      </c>
      <c r="H182" s="58">
        <f t="shared" ref="H182:H191" si="55">G182*I182</f>
        <v>15900</v>
      </c>
      <c r="I182" s="27">
        <v>1</v>
      </c>
      <c r="J182" s="27" t="s">
        <v>18</v>
      </c>
      <c r="K182" s="6" t="s">
        <v>141</v>
      </c>
      <c r="L182" s="29"/>
      <c r="M182" s="30"/>
      <c r="N182" s="31"/>
      <c r="O182" s="66">
        <v>15900</v>
      </c>
    </row>
    <row r="183" spans="1:15" ht="18" customHeight="1" x14ac:dyDescent="0.25">
      <c r="A183" s="27">
        <v>133</v>
      </c>
      <c r="B183" s="27" t="s">
        <v>133</v>
      </c>
      <c r="C183" s="27" t="s">
        <v>95</v>
      </c>
      <c r="D183" s="27" t="s">
        <v>96</v>
      </c>
      <c r="E183" s="28" t="s">
        <v>97</v>
      </c>
      <c r="F183" s="58">
        <f t="shared" ref="F183:F188" si="56">1.33*M183</f>
        <v>25.907070000000004</v>
      </c>
      <c r="G183" s="58">
        <f t="shared" ref="G183:G188" si="57">F183*560</f>
        <v>14507.959200000003</v>
      </c>
      <c r="H183" s="58">
        <f t="shared" si="55"/>
        <v>14507.959200000003</v>
      </c>
      <c r="I183" s="27">
        <v>1</v>
      </c>
      <c r="J183" s="27" t="s">
        <v>18</v>
      </c>
      <c r="K183" s="27" t="s">
        <v>22</v>
      </c>
      <c r="L183" s="32">
        <v>64.930000000000007</v>
      </c>
      <c r="M183" s="12">
        <f t="shared" ref="M183:M188" si="58">0.3*L183</f>
        <v>19.479000000000003</v>
      </c>
      <c r="N183" s="31"/>
      <c r="O183" s="66">
        <v>14507.959200000003</v>
      </c>
    </row>
    <row r="184" spans="1:15" ht="18" customHeight="1" x14ac:dyDescent="0.25">
      <c r="A184" s="27">
        <v>134</v>
      </c>
      <c r="B184" s="27" t="s">
        <v>133</v>
      </c>
      <c r="C184" s="27" t="s">
        <v>24</v>
      </c>
      <c r="D184" s="27" t="s">
        <v>131</v>
      </c>
      <c r="E184" s="28" t="s">
        <v>132</v>
      </c>
      <c r="F184" s="58">
        <f t="shared" si="56"/>
        <v>14.531580000000002</v>
      </c>
      <c r="G184" s="58">
        <f t="shared" si="57"/>
        <v>8137.6848000000009</v>
      </c>
      <c r="H184" s="58">
        <f t="shared" si="55"/>
        <v>16275.369600000002</v>
      </c>
      <c r="I184" s="27">
        <v>2</v>
      </c>
      <c r="J184" s="27" t="s">
        <v>18</v>
      </c>
      <c r="K184" s="27" t="s">
        <v>22</v>
      </c>
      <c r="L184" s="32">
        <v>36.42</v>
      </c>
      <c r="M184" s="12">
        <f t="shared" si="58"/>
        <v>10.926</v>
      </c>
      <c r="N184" s="31"/>
      <c r="O184" s="66">
        <v>16275.369600000002</v>
      </c>
    </row>
    <row r="185" spans="1:15" ht="18.75" customHeight="1" x14ac:dyDescent="0.25">
      <c r="A185" s="27">
        <v>5</v>
      </c>
      <c r="B185" s="27" t="s">
        <v>133</v>
      </c>
      <c r="C185" s="27" t="s">
        <v>24</v>
      </c>
      <c r="D185" s="27" t="s">
        <v>147</v>
      </c>
      <c r="E185" s="28" t="s">
        <v>148</v>
      </c>
      <c r="F185" s="58">
        <f t="shared" si="56"/>
        <v>3.5231700000000004</v>
      </c>
      <c r="G185" s="58">
        <f t="shared" si="57"/>
        <v>1972.9752000000003</v>
      </c>
      <c r="H185" s="58">
        <f t="shared" si="55"/>
        <v>5918.9256000000005</v>
      </c>
      <c r="I185" s="27">
        <v>3</v>
      </c>
      <c r="J185" s="27" t="s">
        <v>18</v>
      </c>
      <c r="K185" s="27" t="s">
        <v>22</v>
      </c>
      <c r="L185" s="32">
        <v>8.83</v>
      </c>
      <c r="M185" s="12">
        <f t="shared" si="58"/>
        <v>2.649</v>
      </c>
      <c r="N185" s="31"/>
      <c r="O185" s="66">
        <v>5918.9256000000005</v>
      </c>
    </row>
    <row r="186" spans="1:15" ht="18.75" customHeight="1" x14ac:dyDescent="0.25">
      <c r="A186" s="21">
        <v>36</v>
      </c>
      <c r="B186" s="27" t="s">
        <v>133</v>
      </c>
      <c r="C186" s="21" t="s">
        <v>25</v>
      </c>
      <c r="D186" s="21" t="s">
        <v>26</v>
      </c>
      <c r="E186" s="22" t="s">
        <v>27</v>
      </c>
      <c r="F186" s="58">
        <f t="shared" si="56"/>
        <v>3.8383799999999999</v>
      </c>
      <c r="G186" s="58">
        <f t="shared" si="57"/>
        <v>2149.4928</v>
      </c>
      <c r="H186" s="58">
        <f t="shared" si="55"/>
        <v>2149.4928</v>
      </c>
      <c r="I186" s="6">
        <v>1</v>
      </c>
      <c r="J186" s="21" t="s">
        <v>18</v>
      </c>
      <c r="K186" s="21" t="s">
        <v>22</v>
      </c>
      <c r="L186" s="26">
        <v>9.6199999999999992</v>
      </c>
      <c r="M186" s="12">
        <f t="shared" si="58"/>
        <v>2.8859999999999997</v>
      </c>
      <c r="N186" s="25"/>
      <c r="O186" s="66">
        <v>2149.4928</v>
      </c>
    </row>
    <row r="187" spans="1:15" ht="18" customHeight="1" x14ac:dyDescent="0.25">
      <c r="A187" s="21">
        <v>37</v>
      </c>
      <c r="B187" s="27" t="s">
        <v>133</v>
      </c>
      <c r="C187" s="21" t="s">
        <v>25</v>
      </c>
      <c r="D187" s="21" t="s">
        <v>28</v>
      </c>
      <c r="E187" s="22" t="s">
        <v>29</v>
      </c>
      <c r="F187" s="58">
        <f t="shared" si="56"/>
        <v>3.8383799999999999</v>
      </c>
      <c r="G187" s="58">
        <f t="shared" si="57"/>
        <v>2149.4928</v>
      </c>
      <c r="H187" s="58">
        <f t="shared" si="55"/>
        <v>2149.4928</v>
      </c>
      <c r="I187" s="6">
        <v>1</v>
      </c>
      <c r="J187" s="21" t="s">
        <v>18</v>
      </c>
      <c r="K187" s="21" t="s">
        <v>22</v>
      </c>
      <c r="L187" s="26">
        <v>9.6199999999999992</v>
      </c>
      <c r="M187" s="12">
        <f t="shared" si="58"/>
        <v>2.8859999999999997</v>
      </c>
      <c r="N187" s="25"/>
      <c r="O187" s="66">
        <v>2149.4928</v>
      </c>
    </row>
    <row r="188" spans="1:15" ht="18" customHeight="1" x14ac:dyDescent="0.25">
      <c r="A188" s="21">
        <v>38</v>
      </c>
      <c r="B188" s="27" t="s">
        <v>133</v>
      </c>
      <c r="C188" s="21" t="s">
        <v>25</v>
      </c>
      <c r="D188" s="21" t="s">
        <v>30</v>
      </c>
      <c r="E188" s="22" t="s">
        <v>31</v>
      </c>
      <c r="F188" s="58">
        <f t="shared" si="56"/>
        <v>3.8383799999999999</v>
      </c>
      <c r="G188" s="58">
        <f t="shared" si="57"/>
        <v>2149.4928</v>
      </c>
      <c r="H188" s="58">
        <f t="shared" si="55"/>
        <v>2149.4928</v>
      </c>
      <c r="I188" s="6">
        <v>1</v>
      </c>
      <c r="J188" s="21" t="s">
        <v>18</v>
      </c>
      <c r="K188" s="21" t="s">
        <v>22</v>
      </c>
      <c r="L188" s="26">
        <v>9.6199999999999992</v>
      </c>
      <c r="M188" s="12">
        <f t="shared" si="58"/>
        <v>2.8859999999999997</v>
      </c>
      <c r="N188" s="25"/>
      <c r="O188" s="66">
        <v>2149.4928</v>
      </c>
    </row>
    <row r="189" spans="1:15" ht="18" customHeight="1" x14ac:dyDescent="0.25">
      <c r="A189" s="27">
        <v>135</v>
      </c>
      <c r="B189" s="27" t="s">
        <v>133</v>
      </c>
      <c r="C189" s="27" t="s">
        <v>40</v>
      </c>
      <c r="D189" s="27" t="s">
        <v>41</v>
      </c>
      <c r="E189" s="28" t="s">
        <v>42</v>
      </c>
      <c r="F189" s="58">
        <v>1450</v>
      </c>
      <c r="G189" s="58">
        <f t="shared" ref="G189:G190" si="59">F189</f>
        <v>1450</v>
      </c>
      <c r="H189" s="58">
        <f t="shared" si="55"/>
        <v>1450</v>
      </c>
      <c r="I189" s="27">
        <v>1</v>
      </c>
      <c r="J189" s="27" t="s">
        <v>18</v>
      </c>
      <c r="K189" s="6" t="s">
        <v>140</v>
      </c>
      <c r="L189" s="29"/>
      <c r="M189" s="30"/>
      <c r="N189" s="31"/>
      <c r="O189" s="66">
        <v>1450</v>
      </c>
    </row>
    <row r="190" spans="1:15" ht="18" customHeight="1" x14ac:dyDescent="0.25">
      <c r="A190" s="27">
        <v>136</v>
      </c>
      <c r="B190" s="27" t="s">
        <v>133</v>
      </c>
      <c r="C190" s="27" t="s">
        <v>44</v>
      </c>
      <c r="D190" s="27" t="s">
        <v>45</v>
      </c>
      <c r="E190" s="28" t="s">
        <v>46</v>
      </c>
      <c r="F190" s="58">
        <f ca="1">OFFSET(F190,1,2)</f>
        <v>7800</v>
      </c>
      <c r="G190" s="58">
        <f t="shared" ca="1" si="59"/>
        <v>7800</v>
      </c>
      <c r="H190" s="58">
        <f t="shared" ca="1" si="55"/>
        <v>7800</v>
      </c>
      <c r="I190" s="27">
        <v>1</v>
      </c>
      <c r="J190" s="27" t="s">
        <v>18</v>
      </c>
      <c r="K190" s="6" t="s">
        <v>140</v>
      </c>
      <c r="L190" s="29"/>
      <c r="M190" s="30"/>
      <c r="N190" s="31"/>
      <c r="O190" s="66">
        <v>7800</v>
      </c>
    </row>
    <row r="191" spans="1:15" ht="18" customHeight="1" x14ac:dyDescent="0.25">
      <c r="A191" s="27">
        <v>137</v>
      </c>
      <c r="B191" s="27" t="s">
        <v>133</v>
      </c>
      <c r="C191" s="27" t="s">
        <v>47</v>
      </c>
      <c r="D191" s="27" t="s">
        <v>48</v>
      </c>
      <c r="E191" s="54" t="s">
        <v>48</v>
      </c>
      <c r="F191" s="58">
        <v>1.3</v>
      </c>
      <c r="G191" s="58">
        <v>100</v>
      </c>
      <c r="H191" s="58">
        <f t="shared" si="55"/>
        <v>7800</v>
      </c>
      <c r="I191" s="27">
        <f>60*F191</f>
        <v>78</v>
      </c>
      <c r="J191" s="6" t="s">
        <v>18</v>
      </c>
      <c r="K191" s="27" t="s">
        <v>47</v>
      </c>
      <c r="L191" s="29"/>
      <c r="M191" s="30"/>
      <c r="N191" s="31"/>
      <c r="O191" s="66">
        <v>7800</v>
      </c>
    </row>
    <row r="192" spans="1:15" x14ac:dyDescent="0.25">
      <c r="A192" s="27"/>
      <c r="B192" s="70" t="s">
        <v>169</v>
      </c>
      <c r="C192" s="27"/>
      <c r="D192" s="27"/>
      <c r="E192" s="28"/>
      <c r="F192" s="28"/>
      <c r="G192" s="28"/>
      <c r="H192" s="28">
        <f ca="1">SUBTOTAL(9,H181:H191)</f>
        <v>76100.732799999998</v>
      </c>
      <c r="I192" s="27"/>
      <c r="J192" s="27"/>
      <c r="K192" s="27"/>
      <c r="L192" s="29"/>
      <c r="M192" s="30"/>
      <c r="N192" s="31"/>
      <c r="O192" s="66">
        <v>76100.732799999998</v>
      </c>
    </row>
    <row r="193" spans="1:15" x14ac:dyDescent="0.25">
      <c r="A193" s="51" t="s">
        <v>135</v>
      </c>
      <c r="B193" s="52"/>
      <c r="C193" s="52"/>
      <c r="D193" s="52"/>
      <c r="E193" s="52"/>
      <c r="F193" s="65"/>
      <c r="G193" s="65"/>
      <c r="H193" s="65"/>
      <c r="I193" s="52"/>
      <c r="J193" s="52"/>
      <c r="K193" s="52"/>
      <c r="L193" s="52"/>
      <c r="M193" s="53">
        <f>SUM(M2:M191)</f>
        <v>1728.2909999999979</v>
      </c>
      <c r="N193" s="52"/>
    </row>
    <row r="194" spans="1:15" x14ac:dyDescent="0.25">
      <c r="A194" s="74"/>
      <c r="B194" s="76" t="s">
        <v>170</v>
      </c>
      <c r="H194" s="66">
        <f ca="1">SUBTOTAL(9,H3:H193)</f>
        <v>4163465.1552000036</v>
      </c>
      <c r="M194" s="75"/>
      <c r="O194" s="66">
        <v>4163465.1552000036</v>
      </c>
    </row>
  </sheetData>
  <autoFilter ref="A2:N193" xr:uid="{00000000-0001-0000-0000-000000000000}"/>
  <mergeCells count="1">
    <mergeCell ref="A1:N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A9E5-B974-4E53-B321-9EC2616B93C8}">
  <dimension ref="A1:P16"/>
  <sheetViews>
    <sheetView workbookViewId="0">
      <selection activeCell="S6" sqref="S6"/>
    </sheetView>
  </sheetViews>
  <sheetFormatPr defaultRowHeight="32.25" customHeight="1" x14ac:dyDescent="0.25"/>
  <cols>
    <col min="5" max="5" width="49.140625" customWidth="1"/>
    <col min="11" max="11" width="13.140625" customWidth="1"/>
  </cols>
  <sheetData>
    <row r="1" spans="1:16" ht="32.2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6" t="s">
        <v>138</v>
      </c>
      <c r="G1" s="56" t="s">
        <v>138</v>
      </c>
      <c r="H1" s="56" t="s">
        <v>139</v>
      </c>
      <c r="I1" s="1" t="s">
        <v>6</v>
      </c>
      <c r="J1" s="1" t="s">
        <v>7</v>
      </c>
      <c r="K1" s="1" t="s">
        <v>8</v>
      </c>
      <c r="L1" s="1" t="s">
        <v>9</v>
      </c>
      <c r="M1" s="55">
        <v>-0.72</v>
      </c>
      <c r="N1" s="1" t="s">
        <v>10</v>
      </c>
      <c r="O1" s="66" t="s">
        <v>171</v>
      </c>
      <c r="P1">
        <v>2.2999999999999998</v>
      </c>
    </row>
    <row r="2" spans="1:16" ht="32.25" customHeight="1" x14ac:dyDescent="0.25">
      <c r="A2" s="2">
        <v>1</v>
      </c>
      <c r="B2" s="2" t="s">
        <v>11</v>
      </c>
      <c r="C2" s="2"/>
      <c r="D2" s="2"/>
      <c r="E2" s="3" t="s">
        <v>12</v>
      </c>
      <c r="F2" s="57">
        <f>ROUNDUP(P2,-3)</f>
        <v>1885000</v>
      </c>
      <c r="G2" s="57">
        <f>0.7*F2</f>
        <v>1319500</v>
      </c>
      <c r="H2" s="57">
        <f>I2*G2</f>
        <v>1319500</v>
      </c>
      <c r="I2" s="2">
        <v>1</v>
      </c>
      <c r="J2" s="2" t="s">
        <v>13</v>
      </c>
      <c r="K2" s="2" t="s">
        <v>14</v>
      </c>
      <c r="L2" s="4"/>
      <c r="M2" s="4"/>
      <c r="N2" s="5"/>
      <c r="O2" s="66">
        <v>878494.70000000007</v>
      </c>
      <c r="P2">
        <f>2.145*O2</f>
        <v>1884371.1315000001</v>
      </c>
    </row>
    <row r="3" spans="1:16" ht="32.25" customHeight="1" x14ac:dyDescent="0.25">
      <c r="A3" s="2">
        <v>16</v>
      </c>
      <c r="B3" s="2" t="s">
        <v>52</v>
      </c>
      <c r="C3" s="2"/>
      <c r="D3" s="2"/>
      <c r="E3" s="3" t="s">
        <v>53</v>
      </c>
      <c r="F3" s="57">
        <f t="shared" ref="F3:F13" si="0">ROUNDUP(P3,-3)</f>
        <v>1570000</v>
      </c>
      <c r="G3" s="57">
        <f t="shared" ref="G3:G13" si="1">0.7*F3</f>
        <v>1099000</v>
      </c>
      <c r="H3" s="57">
        <f t="shared" ref="H3:H16" si="2">I3*G3</f>
        <v>1099000</v>
      </c>
      <c r="I3" s="2">
        <v>1</v>
      </c>
      <c r="J3" s="2" t="s">
        <v>13</v>
      </c>
      <c r="K3" s="2" t="s">
        <v>14</v>
      </c>
      <c r="L3" s="4"/>
      <c r="M3" s="4"/>
      <c r="N3" s="5"/>
      <c r="O3" s="66">
        <v>731742.97199999995</v>
      </c>
      <c r="P3">
        <f t="shared" ref="P3:P16" si="3">2.145*O3</f>
        <v>1569588.6749399998</v>
      </c>
    </row>
    <row r="4" spans="1:16" ht="32.25" customHeight="1" x14ac:dyDescent="0.25">
      <c r="A4" s="2">
        <v>25</v>
      </c>
      <c r="B4" s="2" t="s">
        <v>55</v>
      </c>
      <c r="C4" s="2"/>
      <c r="D4" s="2"/>
      <c r="E4" s="3" t="s">
        <v>56</v>
      </c>
      <c r="F4" s="57">
        <f t="shared" si="0"/>
        <v>2172000</v>
      </c>
      <c r="G4" s="57">
        <f t="shared" si="1"/>
        <v>1520400</v>
      </c>
      <c r="H4" s="57">
        <f t="shared" si="2"/>
        <v>1520400</v>
      </c>
      <c r="I4" s="2">
        <v>1</v>
      </c>
      <c r="J4" s="2" t="s">
        <v>13</v>
      </c>
      <c r="K4" s="2" t="s">
        <v>14</v>
      </c>
      <c r="L4" s="4"/>
      <c r="M4" s="4"/>
      <c r="N4" s="5"/>
      <c r="O4" s="66">
        <v>1012464.8552000002</v>
      </c>
      <c r="P4">
        <f t="shared" si="3"/>
        <v>2171737.1144040003</v>
      </c>
    </row>
    <row r="5" spans="1:16" ht="32.25" customHeight="1" x14ac:dyDescent="0.25">
      <c r="A5" s="2">
        <v>46</v>
      </c>
      <c r="B5" s="2" t="s">
        <v>81</v>
      </c>
      <c r="C5" s="2"/>
      <c r="D5" s="2"/>
      <c r="E5" s="3" t="s">
        <v>82</v>
      </c>
      <c r="F5" s="57">
        <f t="shared" si="0"/>
        <v>919000</v>
      </c>
      <c r="G5" s="57">
        <f t="shared" si="1"/>
        <v>643300</v>
      </c>
      <c r="H5" s="57">
        <f t="shared" si="2"/>
        <v>643300</v>
      </c>
      <c r="I5" s="2">
        <v>1</v>
      </c>
      <c r="J5" s="2" t="s">
        <v>13</v>
      </c>
      <c r="K5" s="2" t="s">
        <v>14</v>
      </c>
      <c r="L5" s="4"/>
      <c r="M5" s="4"/>
      <c r="N5" s="5"/>
      <c r="O5" s="66">
        <v>428083.30800000002</v>
      </c>
      <c r="P5">
        <f t="shared" si="3"/>
        <v>918238.69566000008</v>
      </c>
    </row>
    <row r="6" spans="1:16" ht="32.25" customHeight="1" x14ac:dyDescent="0.25">
      <c r="A6" s="2">
        <v>62</v>
      </c>
      <c r="B6" s="2" t="s">
        <v>93</v>
      </c>
      <c r="C6" s="2"/>
      <c r="D6" s="2"/>
      <c r="E6" s="3" t="s">
        <v>94</v>
      </c>
      <c r="F6" s="57">
        <f t="shared" si="0"/>
        <v>462000</v>
      </c>
      <c r="G6" s="57">
        <f t="shared" si="1"/>
        <v>323400</v>
      </c>
      <c r="H6" s="57">
        <f t="shared" si="2"/>
        <v>323400</v>
      </c>
      <c r="I6" s="2">
        <v>1</v>
      </c>
      <c r="J6" s="2" t="s">
        <v>13</v>
      </c>
      <c r="K6" s="2" t="s">
        <v>14</v>
      </c>
      <c r="L6" s="4"/>
      <c r="M6" s="4"/>
      <c r="N6" s="5"/>
      <c r="O6" s="66">
        <v>215060.27040000001</v>
      </c>
      <c r="P6">
        <f t="shared" si="3"/>
        <v>461304.28000800003</v>
      </c>
    </row>
    <row r="7" spans="1:16" ht="32.25" customHeight="1" x14ac:dyDescent="0.25">
      <c r="A7" s="2">
        <v>72</v>
      </c>
      <c r="B7" s="2" t="s">
        <v>105</v>
      </c>
      <c r="C7" s="2"/>
      <c r="D7" s="2"/>
      <c r="E7" s="3" t="s">
        <v>106</v>
      </c>
      <c r="F7" s="57">
        <f t="shared" si="0"/>
        <v>161000</v>
      </c>
      <c r="G7" s="57">
        <f t="shared" si="1"/>
        <v>112700</v>
      </c>
      <c r="H7" s="57">
        <f t="shared" si="2"/>
        <v>112700</v>
      </c>
      <c r="I7" s="2">
        <v>1</v>
      </c>
      <c r="J7" s="2" t="s">
        <v>13</v>
      </c>
      <c r="K7" s="2" t="s">
        <v>14</v>
      </c>
      <c r="L7" s="4"/>
      <c r="M7" s="4"/>
      <c r="N7" s="5"/>
      <c r="O7" s="66">
        <v>74763.511200000008</v>
      </c>
      <c r="P7">
        <f t="shared" si="3"/>
        <v>160367.73152400003</v>
      </c>
    </row>
    <row r="8" spans="1:16" ht="32.25" customHeight="1" x14ac:dyDescent="0.25">
      <c r="A8" s="2">
        <v>80</v>
      </c>
      <c r="B8" s="2" t="s">
        <v>107</v>
      </c>
      <c r="C8" s="2"/>
      <c r="D8" s="2"/>
      <c r="E8" s="3" t="s">
        <v>108</v>
      </c>
      <c r="F8" s="57">
        <f t="shared" si="0"/>
        <v>568000</v>
      </c>
      <c r="G8" s="57">
        <f t="shared" si="1"/>
        <v>397600</v>
      </c>
      <c r="H8" s="57">
        <f t="shared" si="2"/>
        <v>397600</v>
      </c>
      <c r="I8" s="2">
        <v>1</v>
      </c>
      <c r="J8" s="2" t="s">
        <v>13</v>
      </c>
      <c r="K8" s="2" t="s">
        <v>14</v>
      </c>
      <c r="L8" s="4"/>
      <c r="M8" s="4"/>
      <c r="N8" s="5"/>
      <c r="O8" s="66">
        <v>264762.26400000002</v>
      </c>
      <c r="P8">
        <f t="shared" si="3"/>
        <v>567915.05628000002</v>
      </c>
    </row>
    <row r="9" spans="1:16" ht="32.25" customHeight="1" x14ac:dyDescent="0.25">
      <c r="A9" s="2">
        <v>90</v>
      </c>
      <c r="B9" s="2" t="s">
        <v>109</v>
      </c>
      <c r="C9" s="2"/>
      <c r="D9" s="2"/>
      <c r="E9" s="3" t="s">
        <v>110</v>
      </c>
      <c r="F9" s="57">
        <f t="shared" si="0"/>
        <v>274000</v>
      </c>
      <c r="G9" s="57">
        <f t="shared" si="1"/>
        <v>191800</v>
      </c>
      <c r="H9" s="57">
        <f t="shared" si="2"/>
        <v>191800</v>
      </c>
      <c r="I9" s="2">
        <v>1</v>
      </c>
      <c r="J9" s="2" t="s">
        <v>13</v>
      </c>
      <c r="K9" s="2" t="s">
        <v>14</v>
      </c>
      <c r="L9" s="4"/>
      <c r="M9" s="4"/>
      <c r="N9" s="5"/>
      <c r="O9" s="66">
        <v>127720.06880000001</v>
      </c>
      <c r="P9">
        <f t="shared" si="3"/>
        <v>273959.54757600004</v>
      </c>
    </row>
    <row r="10" spans="1:16" ht="32.25" customHeight="1" x14ac:dyDescent="0.25">
      <c r="A10" s="2">
        <v>101</v>
      </c>
      <c r="B10" s="2" t="s">
        <v>121</v>
      </c>
      <c r="C10" s="2"/>
      <c r="D10" s="2"/>
      <c r="E10" s="3" t="s">
        <v>122</v>
      </c>
      <c r="F10" s="57">
        <f t="shared" si="0"/>
        <v>274000</v>
      </c>
      <c r="G10" s="57">
        <f t="shared" si="1"/>
        <v>191800</v>
      </c>
      <c r="H10" s="57">
        <f t="shared" si="2"/>
        <v>191800</v>
      </c>
      <c r="I10" s="2">
        <v>1</v>
      </c>
      <c r="J10" s="2" t="s">
        <v>13</v>
      </c>
      <c r="K10" s="2" t="s">
        <v>14</v>
      </c>
      <c r="L10" s="4"/>
      <c r="M10" s="4"/>
      <c r="N10" s="5"/>
      <c r="O10" s="66">
        <v>127720.06880000001</v>
      </c>
      <c r="P10">
        <f t="shared" si="3"/>
        <v>273959.54757600004</v>
      </c>
    </row>
    <row r="11" spans="1:16" ht="32.25" customHeight="1" x14ac:dyDescent="0.25">
      <c r="A11" s="2">
        <v>112</v>
      </c>
      <c r="B11" s="2" t="s">
        <v>123</v>
      </c>
      <c r="C11" s="2"/>
      <c r="D11" s="2"/>
      <c r="E11" s="3" t="s">
        <v>124</v>
      </c>
      <c r="F11" s="57">
        <f t="shared" si="0"/>
        <v>334000</v>
      </c>
      <c r="G11" s="57">
        <f t="shared" si="1"/>
        <v>233799.99999999997</v>
      </c>
      <c r="H11" s="57">
        <f t="shared" si="2"/>
        <v>233799.99999999997</v>
      </c>
      <c r="I11" s="2">
        <v>1</v>
      </c>
      <c r="J11" s="2" t="s">
        <v>13</v>
      </c>
      <c r="K11" s="2" t="s">
        <v>14</v>
      </c>
      <c r="L11" s="4"/>
      <c r="M11" s="4"/>
      <c r="N11" s="5"/>
      <c r="O11" s="66">
        <v>155681.72640000001</v>
      </c>
      <c r="P11">
        <f t="shared" si="3"/>
        <v>333937.30312800006</v>
      </c>
    </row>
    <row r="12" spans="1:16" ht="32.25" customHeight="1" x14ac:dyDescent="0.25">
      <c r="A12" s="2">
        <v>122</v>
      </c>
      <c r="B12" s="2" t="s">
        <v>129</v>
      </c>
      <c r="C12" s="2"/>
      <c r="D12" s="2"/>
      <c r="E12" s="3" t="s">
        <v>130</v>
      </c>
      <c r="F12" s="57">
        <f t="shared" si="0"/>
        <v>153000</v>
      </c>
      <c r="G12" s="57">
        <f t="shared" si="1"/>
        <v>107100</v>
      </c>
      <c r="H12" s="57">
        <f t="shared" si="2"/>
        <v>107100</v>
      </c>
      <c r="I12" s="2">
        <v>1</v>
      </c>
      <c r="J12" s="2" t="s">
        <v>13</v>
      </c>
      <c r="K12" s="2" t="s">
        <v>14</v>
      </c>
      <c r="L12" s="4"/>
      <c r="M12" s="4"/>
      <c r="N12" s="5"/>
      <c r="O12" s="66">
        <v>70870.67760000001</v>
      </c>
      <c r="P12">
        <f t="shared" si="3"/>
        <v>152017.60345200001</v>
      </c>
    </row>
    <row r="13" spans="1:16" ht="32.25" customHeight="1" x14ac:dyDescent="0.25">
      <c r="A13" s="2">
        <v>131</v>
      </c>
      <c r="B13" s="2" t="s">
        <v>133</v>
      </c>
      <c r="C13" s="2"/>
      <c r="D13" s="2"/>
      <c r="E13" s="3" t="s">
        <v>134</v>
      </c>
      <c r="F13" s="57">
        <f t="shared" si="0"/>
        <v>164000</v>
      </c>
      <c r="G13" s="57">
        <f t="shared" si="1"/>
        <v>114799.99999999999</v>
      </c>
      <c r="H13" s="57">
        <f t="shared" si="2"/>
        <v>114799.99999999999</v>
      </c>
      <c r="I13" s="2">
        <v>1</v>
      </c>
      <c r="J13" s="2" t="s">
        <v>13</v>
      </c>
      <c r="K13" s="2" t="s">
        <v>14</v>
      </c>
      <c r="L13" s="4"/>
      <c r="M13" s="4"/>
      <c r="N13" s="5"/>
      <c r="O13" s="66">
        <v>76100.732799999998</v>
      </c>
      <c r="P13">
        <f t="shared" si="3"/>
        <v>163236.071856</v>
      </c>
    </row>
    <row r="14" spans="1:16" ht="32.25" customHeight="1" x14ac:dyDescent="0.25">
      <c r="A14" s="2">
        <v>56</v>
      </c>
      <c r="B14" s="2" t="s">
        <v>83</v>
      </c>
      <c r="C14" s="2"/>
      <c r="D14" s="2"/>
      <c r="E14" s="3" t="s">
        <v>172</v>
      </c>
      <c r="F14" s="57">
        <v>247500</v>
      </c>
      <c r="G14" s="57">
        <f>0.8*F14</f>
        <v>198000</v>
      </c>
      <c r="H14" s="57">
        <f t="shared" si="2"/>
        <v>198000</v>
      </c>
      <c r="I14" s="2">
        <v>1</v>
      </c>
      <c r="J14" s="2" t="s">
        <v>13</v>
      </c>
      <c r="K14" s="2" t="s">
        <v>14</v>
      </c>
      <c r="L14" s="4"/>
      <c r="M14" s="4"/>
      <c r="N14" s="5"/>
      <c r="O14" s="66">
        <v>0</v>
      </c>
      <c r="P14">
        <f t="shared" si="3"/>
        <v>0</v>
      </c>
    </row>
    <row r="15" spans="1:16" ht="32.25" customHeight="1" x14ac:dyDescent="0.25">
      <c r="A15" s="2">
        <v>58</v>
      </c>
      <c r="B15" s="2" t="s">
        <v>88</v>
      </c>
      <c r="C15" s="2"/>
      <c r="D15" s="2"/>
      <c r="E15" s="3" t="s">
        <v>173</v>
      </c>
      <c r="F15" s="57">
        <v>247500</v>
      </c>
      <c r="G15" s="57">
        <f t="shared" ref="G15:G16" si="4">0.8*F15</f>
        <v>198000</v>
      </c>
      <c r="H15" s="57">
        <f t="shared" si="2"/>
        <v>198000</v>
      </c>
      <c r="I15" s="2">
        <v>1</v>
      </c>
      <c r="J15" s="2" t="s">
        <v>13</v>
      </c>
      <c r="K15" s="2" t="s">
        <v>14</v>
      </c>
      <c r="L15" s="4"/>
      <c r="M15" s="4"/>
      <c r="N15" s="5"/>
      <c r="O15" s="66">
        <v>0</v>
      </c>
      <c r="P15">
        <f t="shared" si="3"/>
        <v>0</v>
      </c>
    </row>
    <row r="16" spans="1:16" ht="32.25" customHeight="1" x14ac:dyDescent="0.25">
      <c r="A16" s="2">
        <v>60</v>
      </c>
      <c r="B16" s="2" t="s">
        <v>90</v>
      </c>
      <c r="C16" s="2"/>
      <c r="D16" s="2"/>
      <c r="E16" s="3" t="s">
        <v>174</v>
      </c>
      <c r="F16" s="57">
        <v>265000</v>
      </c>
      <c r="G16" s="57">
        <f t="shared" si="4"/>
        <v>212000</v>
      </c>
      <c r="H16" s="57">
        <f t="shared" si="2"/>
        <v>212000</v>
      </c>
      <c r="I16" s="2">
        <v>1</v>
      </c>
      <c r="J16" s="2" t="s">
        <v>13</v>
      </c>
      <c r="K16" s="2" t="s">
        <v>14</v>
      </c>
      <c r="L16" s="4"/>
      <c r="M16" s="4"/>
      <c r="N16" s="5"/>
      <c r="O16" s="66">
        <v>0</v>
      </c>
      <c r="P16">
        <f t="shared" si="3"/>
        <v>0</v>
      </c>
    </row>
  </sheetData>
  <autoFilter ref="A1:O16" xr:uid="{9BFDA9E5-B974-4E53-B321-9EC2616B93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BOM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2026-04-30T05:38:06Z</dcterms:created>
  <dcterms:modified xsi:type="dcterms:W3CDTF">2026-04-30T13:20:57Z</dcterms:modified>
</cp:coreProperties>
</file>