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29 yakup bey tav depo\"/>
    </mc:Choice>
  </mc:AlternateContent>
  <xr:revisionPtr revIDLastSave="0" documentId="13_ncr:1_{5CAD83BE-D4E2-4034-87E5-A907B9AA34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1" sheetId="2" r:id="rId1"/>
  </sheets>
  <definedNames>
    <definedName name="_xlnm._FilterDatabase" localSheetId="0">Sayfa1!$A$1:$H$16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/>
  <c r="H18" i="2"/>
  <c r="H17" i="2"/>
  <c r="H14" i="2"/>
  <c r="H15" i="2"/>
  <c r="H16" i="2"/>
  <c r="H3" i="2"/>
  <c r="H4" i="2"/>
  <c r="H5" i="2"/>
  <c r="H6" i="2"/>
  <c r="H7" i="2"/>
  <c r="H8" i="2"/>
  <c r="H9" i="2"/>
  <c r="H10" i="2"/>
  <c r="H11" i="2"/>
  <c r="H12" i="2"/>
  <c r="H13" i="2"/>
  <c r="H2" i="2"/>
</calcChain>
</file>

<file path=xl/sharedStrings.xml><?xml version="1.0" encoding="utf-8"?>
<sst xmlns="http://schemas.openxmlformats.org/spreadsheetml/2006/main" count="56" uniqueCount="28">
  <si>
    <t>№</t>
  </si>
  <si>
    <t>Артикул</t>
  </si>
  <si>
    <t>Наименование</t>
  </si>
  <si>
    <t>Кол-во</t>
  </si>
  <si>
    <t>Ед.</t>
  </si>
  <si>
    <t>Завод</t>
  </si>
  <si>
    <t>компл.</t>
  </si>
  <si>
    <t>TEKSAN</t>
  </si>
  <si>
    <t>Цен</t>
  </si>
  <si>
    <t>Сумма</t>
  </si>
  <si>
    <t>ВЩ-1 (комплект) (260430 AERO grj)</t>
  </si>
  <si>
    <t>РЩ-1 (комплект) (260430 AERO grj)</t>
  </si>
  <si>
    <t>ВЩ-2 (АВР) (комплект) (260430 AERO grj)</t>
  </si>
  <si>
    <t>ЩСБП-1 (комплект) (260430 AERO grj)</t>
  </si>
  <si>
    <t>ЩО-1 (комплект) (260430 AERO grj)</t>
  </si>
  <si>
    <t>ЩАО-1 (комплект) (260430 AERO grj)</t>
  </si>
  <si>
    <t>ЩО-2 (комплект) (260430 AERO grj)</t>
  </si>
  <si>
    <t>ЩС-К1 (комплект) (260430 AERO grj)</t>
  </si>
  <si>
    <t>ЩС-К2 (комплект) (260430 AERO grj)</t>
  </si>
  <si>
    <t>ЩС-Пт (комплект) (260430 AERO grj)</t>
  </si>
  <si>
    <t>ЩС-Н (комплект) (260430 AERO grj)</t>
  </si>
  <si>
    <t>ЩСн-1 (комплект) (260430 AERO grj)</t>
  </si>
  <si>
    <t>УКРМ-1-Рег. конденсаторная установка 5кВАр, 380В, IP31, ABB (комплект) (260430 AERO grj)</t>
  </si>
  <si>
    <t>УКРМ-2-Рег. конденсаторная установка 5кВАр, 380В, IP31, ABB (комплект) (260430 AERO grj)</t>
  </si>
  <si>
    <t>УКРМ-3-Рег. конденсаторная установка 12.5кВАр, 380В, IP31, ABB (комплект) (260430 AERO grj)</t>
  </si>
  <si>
    <t>toplam</t>
  </si>
  <si>
    <t>indirim</t>
  </si>
  <si>
    <t>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</si>
</sst>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1" fillId="2" borderId="0" xfId="0" applyNumberFormat="1" applyFont="1" applyFill="1" applyBorder="1" applyAlignment="1">
      <alignment vertical="center" wrapText="1"/>
    </xf>
    <xf numFmtId="0" fontId="2" fillId="4" borderId="0" xfId="0" applyFont="1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99C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A9E5-B974-4E53-B321-9EC2616B93C8}">
  <dimension ref="A1:H19"/>
  <sheetViews>
    <sheetView tabSelected="1" topLeftCell="A13" workbookViewId="0">
      <selection activeCell="P17" sqref="P17"/>
    </sheetView>
  </sheetViews>
  <sheetFormatPr defaultRowHeight="32.25" customHeight="1" x14ac:dyDescent="0.25"/>
  <cols>
    <col min="3" max="3" width="49.140625" customWidth="1"/>
    <col min="4" max="5" width="9.140625" style="8"/>
    <col min="6" max="6" width="13.140625" style="8" customWidth="1"/>
    <col min="7" max="7" width="12.140625" customWidth="1"/>
    <col min="8" max="8" width="14.7109375" customWidth="1"/>
  </cols>
  <sheetData>
    <row r="1" spans="1:8" ht="32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6" t="s">
        <v>9</v>
      </c>
    </row>
    <row r="2" spans="1:8" ht="32.25" customHeight="1" x14ac:dyDescent="0.25">
      <c r="A2" s="2">
        <v>1</v>
      </c>
      <c r="B2" s="2"/>
      <c r="C2" s="3" t="s">
        <v>10</v>
      </c>
      <c r="D2" s="7">
        <v>1</v>
      </c>
      <c r="E2" s="7" t="s">
        <v>6</v>
      </c>
      <c r="F2" s="7" t="s">
        <v>7</v>
      </c>
      <c r="G2" s="4">
        <v>1885000</v>
      </c>
      <c r="H2" s="4">
        <f>D2*G2</f>
        <v>1885000</v>
      </c>
    </row>
    <row r="3" spans="1:8" ht="32.25" customHeight="1" x14ac:dyDescent="0.25">
      <c r="A3" s="2">
        <v>16</v>
      </c>
      <c r="B3" s="2"/>
      <c r="C3" s="3" t="s">
        <v>11</v>
      </c>
      <c r="D3" s="7">
        <v>1</v>
      </c>
      <c r="E3" s="7" t="s">
        <v>6</v>
      </c>
      <c r="F3" s="7" t="s">
        <v>7</v>
      </c>
      <c r="G3" s="4">
        <v>1570000</v>
      </c>
      <c r="H3" s="4">
        <f>D3*G3</f>
        <v>1570000</v>
      </c>
    </row>
    <row r="4" spans="1:8" ht="32.25" customHeight="1" x14ac:dyDescent="0.25">
      <c r="A4" s="2">
        <v>25</v>
      </c>
      <c r="B4" s="2"/>
      <c r="C4" s="3" t="s">
        <v>12</v>
      </c>
      <c r="D4" s="7">
        <v>1</v>
      </c>
      <c r="E4" s="7" t="s">
        <v>6</v>
      </c>
      <c r="F4" s="7" t="s">
        <v>7</v>
      </c>
      <c r="G4" s="4">
        <v>2172000</v>
      </c>
      <c r="H4" s="4">
        <f>D4*G4</f>
        <v>2172000</v>
      </c>
    </row>
    <row r="5" spans="1:8" ht="32.25" customHeight="1" x14ac:dyDescent="0.25">
      <c r="A5" s="2">
        <v>46</v>
      </c>
      <c r="B5" s="2"/>
      <c r="C5" s="3" t="s">
        <v>13</v>
      </c>
      <c r="D5" s="7">
        <v>1</v>
      </c>
      <c r="E5" s="7" t="s">
        <v>6</v>
      </c>
      <c r="F5" s="7" t="s">
        <v>7</v>
      </c>
      <c r="G5" s="4">
        <v>919000</v>
      </c>
      <c r="H5" s="4">
        <f>D5*G5</f>
        <v>919000</v>
      </c>
    </row>
    <row r="6" spans="1:8" ht="32.25" customHeight="1" x14ac:dyDescent="0.25">
      <c r="A6" s="2">
        <v>62</v>
      </c>
      <c r="B6" s="2"/>
      <c r="C6" s="3" t="s">
        <v>14</v>
      </c>
      <c r="D6" s="7">
        <v>1</v>
      </c>
      <c r="E6" s="7" t="s">
        <v>6</v>
      </c>
      <c r="F6" s="7" t="s">
        <v>7</v>
      </c>
      <c r="G6" s="4">
        <v>462000</v>
      </c>
      <c r="H6" s="4">
        <f>D6*G6</f>
        <v>462000</v>
      </c>
    </row>
    <row r="7" spans="1:8" ht="32.25" customHeight="1" x14ac:dyDescent="0.25">
      <c r="A7" s="2">
        <v>72</v>
      </c>
      <c r="B7" s="2"/>
      <c r="C7" s="3" t="s">
        <v>15</v>
      </c>
      <c r="D7" s="7">
        <v>1</v>
      </c>
      <c r="E7" s="7" t="s">
        <v>6</v>
      </c>
      <c r="F7" s="7" t="s">
        <v>7</v>
      </c>
      <c r="G7" s="4">
        <v>161000</v>
      </c>
      <c r="H7" s="4">
        <f>D7*G7</f>
        <v>161000</v>
      </c>
    </row>
    <row r="8" spans="1:8" ht="32.25" customHeight="1" x14ac:dyDescent="0.25">
      <c r="A8" s="2">
        <v>80</v>
      </c>
      <c r="B8" s="2"/>
      <c r="C8" s="3" t="s">
        <v>16</v>
      </c>
      <c r="D8" s="7">
        <v>1</v>
      </c>
      <c r="E8" s="7" t="s">
        <v>6</v>
      </c>
      <c r="F8" s="7" t="s">
        <v>7</v>
      </c>
      <c r="G8" s="4">
        <v>568000</v>
      </c>
      <c r="H8" s="4">
        <f>D8*G8</f>
        <v>568000</v>
      </c>
    </row>
    <row r="9" spans="1:8" ht="32.25" customHeight="1" x14ac:dyDescent="0.25">
      <c r="A9" s="2">
        <v>90</v>
      </c>
      <c r="B9" s="2"/>
      <c r="C9" s="3" t="s">
        <v>17</v>
      </c>
      <c r="D9" s="7">
        <v>1</v>
      </c>
      <c r="E9" s="7" t="s">
        <v>6</v>
      </c>
      <c r="F9" s="7" t="s">
        <v>7</v>
      </c>
      <c r="G9" s="4">
        <v>274000</v>
      </c>
      <c r="H9" s="4">
        <f>D9*G9</f>
        <v>274000</v>
      </c>
    </row>
    <row r="10" spans="1:8" ht="32.25" customHeight="1" x14ac:dyDescent="0.25">
      <c r="A10" s="2">
        <v>101</v>
      </c>
      <c r="B10" s="2"/>
      <c r="C10" s="3" t="s">
        <v>18</v>
      </c>
      <c r="D10" s="7">
        <v>1</v>
      </c>
      <c r="E10" s="7" t="s">
        <v>6</v>
      </c>
      <c r="F10" s="7" t="s">
        <v>7</v>
      </c>
      <c r="G10" s="4">
        <v>274000</v>
      </c>
      <c r="H10" s="4">
        <f>D10*G10</f>
        <v>274000</v>
      </c>
    </row>
    <row r="11" spans="1:8" ht="32.25" customHeight="1" x14ac:dyDescent="0.25">
      <c r="A11" s="2">
        <v>112</v>
      </c>
      <c r="B11" s="2"/>
      <c r="C11" s="3" t="s">
        <v>19</v>
      </c>
      <c r="D11" s="7">
        <v>1</v>
      </c>
      <c r="E11" s="7" t="s">
        <v>6</v>
      </c>
      <c r="F11" s="7" t="s">
        <v>7</v>
      </c>
      <c r="G11" s="4">
        <v>334000</v>
      </c>
      <c r="H11" s="4">
        <f>D11*G11</f>
        <v>334000</v>
      </c>
    </row>
    <row r="12" spans="1:8" ht="32.25" customHeight="1" x14ac:dyDescent="0.25">
      <c r="A12" s="2">
        <v>122</v>
      </c>
      <c r="B12" s="2"/>
      <c r="C12" s="3" t="s">
        <v>20</v>
      </c>
      <c r="D12" s="7">
        <v>1</v>
      </c>
      <c r="E12" s="7" t="s">
        <v>6</v>
      </c>
      <c r="F12" s="7" t="s">
        <v>7</v>
      </c>
      <c r="G12" s="4">
        <v>153000</v>
      </c>
      <c r="H12" s="4">
        <f>D12*G12</f>
        <v>153000</v>
      </c>
    </row>
    <row r="13" spans="1:8" ht="32.25" customHeight="1" x14ac:dyDescent="0.25">
      <c r="A13" s="2">
        <v>131</v>
      </c>
      <c r="B13" s="2"/>
      <c r="C13" s="3" t="s">
        <v>21</v>
      </c>
      <c r="D13" s="7">
        <v>1</v>
      </c>
      <c r="E13" s="7" t="s">
        <v>6</v>
      </c>
      <c r="F13" s="7" t="s">
        <v>7</v>
      </c>
      <c r="G13" s="4">
        <v>164000</v>
      </c>
      <c r="H13" s="4">
        <f>D13*G13</f>
        <v>164000</v>
      </c>
    </row>
    <row r="14" spans="1:8" ht="32.25" customHeight="1" x14ac:dyDescent="0.25">
      <c r="A14" s="2">
        <v>56</v>
      </c>
      <c r="B14" s="2"/>
      <c r="C14" s="3" t="s">
        <v>22</v>
      </c>
      <c r="D14" s="7">
        <v>1</v>
      </c>
      <c r="E14" s="7" t="s">
        <v>6</v>
      </c>
      <c r="F14" s="7" t="s">
        <v>7</v>
      </c>
      <c r="G14" s="4">
        <v>247500</v>
      </c>
      <c r="H14" s="4">
        <f>D14*G14</f>
        <v>247500</v>
      </c>
    </row>
    <row r="15" spans="1:8" ht="32.25" customHeight="1" x14ac:dyDescent="0.25">
      <c r="A15" s="2">
        <v>58</v>
      </c>
      <c r="B15" s="2"/>
      <c r="C15" s="3" t="s">
        <v>23</v>
      </c>
      <c r="D15" s="7">
        <v>1</v>
      </c>
      <c r="E15" s="7" t="s">
        <v>6</v>
      </c>
      <c r="F15" s="7" t="s">
        <v>7</v>
      </c>
      <c r="G15" s="4">
        <v>247500</v>
      </c>
      <c r="H15" s="4">
        <f>D15*G15</f>
        <v>247500</v>
      </c>
    </row>
    <row r="16" spans="1:8" ht="32.25" customHeight="1" x14ac:dyDescent="0.25">
      <c r="A16" s="2">
        <v>60</v>
      </c>
      <c r="B16" s="2"/>
      <c r="C16" s="3" t="s">
        <v>24</v>
      </c>
      <c r="D16" s="7">
        <v>1</v>
      </c>
      <c r="E16" s="7" t="s">
        <v>6</v>
      </c>
      <c r="F16" s="7" t="s">
        <v>7</v>
      </c>
      <c r="G16" s="4">
        <v>265000</v>
      </c>
      <c r="H16" s="4">
        <f>D16*G16</f>
        <v>265000</v>
      </c>
    </row>
    <row r="17" spans="7:8" ht="32.25" customHeight="1" x14ac:dyDescent="0.25">
      <c r="G17" t="s">
        <v>25</v>
      </c>
      <c r="H17" s="1">
        <f>SUM(H2:H16)</f>
        <v>9696000</v>
      </c>
    </row>
    <row r="18" spans="7:8" ht="32.25" customHeight="1" x14ac:dyDescent="0.25">
      <c r="G18" t="s">
        <v>26</v>
      </c>
      <c r="H18" s="9">
        <f>0.3*H17</f>
        <v>2908800</v>
      </c>
    </row>
    <row r="19" spans="7:8" ht="32.25" customHeight="1" x14ac:dyDescent="0.35">
      <c r="G19" s="10" t="s">
        <v>27</v>
      </c>
      <c r="H19" s="11">
        <f>H17-H18</f>
        <v>6787200</v>
      </c>
    </row>
  </sheetData>
  <autoFilter ref="A1:H16" xr:uid="{9BFDA9E5-B974-4E53-B321-9EC2616B93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2026-04-30T05:38:06Z</dcterms:created>
  <dcterms:modified xsi:type="dcterms:W3CDTF">2026-04-30T13:01:26Z</dcterms:modified>
</cp:coreProperties>
</file>